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a40dd75a7e0e72cd/Desktop/EXCEL/"/>
    </mc:Choice>
  </mc:AlternateContent>
  <xr:revisionPtr revIDLastSave="31" documentId="8_{1A1B6528-8370-42D4-8BAA-36DA9823C985}" xr6:coauthVersionLast="47" xr6:coauthVersionMax="47" xr10:uidLastSave="{B19EDB9F-B705-4C78-8C51-2757C976D79E}"/>
  <bookViews>
    <workbookView xWindow="28680" yWindow="-120" windowWidth="29040" windowHeight="15720" activeTab="3" xr2:uid="{298FAEEE-A768-442B-94C8-B7136274E8F1}"/>
  </bookViews>
  <sheets>
    <sheet name="Challenge" sheetId="2" r:id="rId1"/>
    <sheet name="Raw Data" sheetId="11" r:id="rId2"/>
    <sheet name="Pivot table" sheetId="12" r:id="rId3"/>
    <sheet name="Dashboard" sheetId="13" r:id="rId4"/>
  </sheets>
  <definedNames>
    <definedName name="_xlchart.v5.0" hidden="1">'Pivot table'!$K$2</definedName>
    <definedName name="_xlchart.v5.1" hidden="1">'Pivot table'!$K$3:$K$13</definedName>
    <definedName name="_xlchart.v5.2" hidden="1">'Pivot table'!$L$2</definedName>
    <definedName name="_xlchart.v5.3" hidden="1">'Pivot table'!$L$3:$L$13</definedName>
    <definedName name="_xlcn.WorksheetConnection_IIPDashboard.xlsxTable1" hidden="1">Table1[]</definedName>
    <definedName name="Slicer_Age_Range">#N/A</definedName>
    <definedName name="Slicer_Country">#N/A</definedName>
  </definedNames>
  <calcPr calcId="191029"/>
  <pivotCaches>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IIP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1" l="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L2002" i="11"/>
  <c r="L2003" i="11"/>
  <c r="L2004" i="11"/>
  <c r="L2005" i="11"/>
  <c r="L2006" i="11"/>
  <c r="L2007" i="11"/>
  <c r="L2008" i="11"/>
  <c r="L2009" i="11"/>
  <c r="L2010" i="11"/>
  <c r="L2011" i="11"/>
  <c r="L2012" i="11"/>
  <c r="L2013" i="11"/>
  <c r="L2014" i="11"/>
  <c r="L2015" i="11"/>
  <c r="L2016" i="11"/>
  <c r="L2017" i="11"/>
  <c r="L2018" i="11"/>
  <c r="L2019" i="11"/>
  <c r="L2020" i="11"/>
  <c r="L2021" i="11"/>
  <c r="L2022" i="11"/>
  <c r="L2023" i="11"/>
  <c r="L2024" i="11"/>
  <c r="L2025" i="11"/>
  <c r="L2026" i="11"/>
  <c r="L2027" i="11"/>
  <c r="L2028" i="11"/>
  <c r="L2029" i="11"/>
  <c r="L2030" i="11"/>
  <c r="L2031" i="11"/>
  <c r="L2032" i="11"/>
  <c r="L2033" i="11"/>
  <c r="L2034" i="11"/>
  <c r="L2035" i="11"/>
  <c r="L2036" i="11"/>
  <c r="L2037" i="11"/>
  <c r="L2038" i="11"/>
  <c r="L2039" i="11"/>
  <c r="L2040" i="11"/>
  <c r="L2041" i="11"/>
  <c r="L2042" i="11"/>
  <c r="L2043" i="11"/>
  <c r="L2044" i="11"/>
  <c r="L2045" i="11"/>
  <c r="L2046" i="11"/>
  <c r="L2047" i="11"/>
  <c r="L2048" i="11"/>
  <c r="L2049" i="11"/>
  <c r="L2050" i="11"/>
  <c r="L2051" i="11"/>
  <c r="L2052" i="11"/>
  <c r="L2053" i="11"/>
  <c r="L2054" i="11"/>
  <c r="L2055" i="11"/>
  <c r="L2056" i="11"/>
  <c r="L2057" i="11"/>
  <c r="L2058" i="11"/>
  <c r="L2059" i="11"/>
  <c r="L2060" i="11"/>
  <c r="L2061" i="11"/>
  <c r="L2062" i="11"/>
  <c r="L2063" i="11"/>
  <c r="L2064" i="11"/>
  <c r="L2065" i="11"/>
  <c r="L2066" i="11"/>
  <c r="L2067" i="11"/>
  <c r="L2068" i="11"/>
  <c r="L2069" i="11"/>
  <c r="L2070" i="11"/>
  <c r="L2071" i="11"/>
  <c r="L2072" i="11"/>
  <c r="L2073" i="11"/>
  <c r="L2074" i="11"/>
  <c r="L2075" i="11"/>
  <c r="L2076" i="11"/>
  <c r="L2077" i="11"/>
  <c r="L2078" i="11"/>
  <c r="L2079" i="11"/>
  <c r="L2080" i="11"/>
  <c r="L2081" i="11"/>
  <c r="L2082" i="11"/>
  <c r="L2083" i="11"/>
  <c r="L2084" i="11"/>
  <c r="L2085" i="11"/>
  <c r="L2086" i="11"/>
  <c r="L2087" i="11"/>
  <c r="L2088" i="11"/>
  <c r="L2089" i="11"/>
  <c r="L2090" i="11"/>
  <c r="L2091" i="11"/>
  <c r="L2092" i="11"/>
  <c r="L2093" i="11"/>
  <c r="L2094" i="11"/>
  <c r="L2095" i="11"/>
  <c r="L2096" i="11"/>
  <c r="L2097" i="11"/>
  <c r="L2098" i="11"/>
  <c r="L2099" i="11"/>
  <c r="L2100" i="11"/>
  <c r="L2101" i="11"/>
  <c r="L2102" i="11"/>
  <c r="L2103" i="11"/>
  <c r="L2104" i="11"/>
  <c r="L2105" i="11"/>
  <c r="L2106" i="11"/>
  <c r="L2107" i="11"/>
  <c r="L2108" i="11"/>
  <c r="L2109" i="11"/>
  <c r="L2110" i="11"/>
  <c r="L2111" i="11"/>
  <c r="L2112" i="11"/>
  <c r="L2113" i="11"/>
  <c r="L2114" i="11"/>
  <c r="L2115" i="11"/>
  <c r="L2116" i="11"/>
  <c r="L2117" i="11"/>
  <c r="L2118" i="11"/>
  <c r="L2119" i="11"/>
  <c r="L2120" i="11"/>
  <c r="L2121" i="11"/>
  <c r="L2122" i="11"/>
  <c r="L2123" i="11"/>
  <c r="L2124" i="11"/>
  <c r="L2125" i="11"/>
  <c r="L2126" i="11"/>
  <c r="L2127" i="11"/>
  <c r="L2128" i="11"/>
  <c r="L2129" i="11"/>
  <c r="L2130" i="11"/>
  <c r="L2131" i="11"/>
  <c r="L2132" i="11"/>
  <c r="L2133" i="11"/>
  <c r="L2134" i="11"/>
  <c r="L2135" i="11"/>
  <c r="L2136" i="11"/>
  <c r="L2137" i="11"/>
  <c r="L2138" i="11"/>
  <c r="L2139" i="11"/>
  <c r="L2140" i="11"/>
  <c r="L2141" i="11"/>
  <c r="L2142" i="11"/>
  <c r="L2143" i="11"/>
  <c r="L2144" i="11"/>
  <c r="L2145" i="11"/>
  <c r="L2146" i="11"/>
  <c r="L2147" i="11"/>
  <c r="L2148" i="11"/>
  <c r="L2149" i="11"/>
  <c r="L2150" i="11"/>
  <c r="L2151" i="11"/>
  <c r="L2152" i="11"/>
  <c r="L2153" i="11"/>
  <c r="L2154" i="11"/>
  <c r="L2155" i="11"/>
  <c r="L2156" i="11"/>
  <c r="L2157" i="11"/>
  <c r="L2158" i="11"/>
  <c r="L2159" i="11"/>
  <c r="L2160" i="11"/>
  <c r="L2161" i="11"/>
  <c r="L2162" i="11"/>
  <c r="L2163" i="11"/>
  <c r="L2164" i="11"/>
  <c r="L2165" i="11"/>
  <c r="L2166" i="11"/>
  <c r="L2167" i="11"/>
  <c r="L2168" i="11"/>
  <c r="L2169" i="11"/>
  <c r="L2170" i="11"/>
  <c r="L2171" i="11"/>
  <c r="L2172" i="11"/>
  <c r="L2173" i="11"/>
  <c r="L2174" i="11"/>
  <c r="L2175" i="11"/>
  <c r="L2176" i="11"/>
  <c r="L2177" i="11"/>
  <c r="L2178" i="11"/>
  <c r="L2179" i="11"/>
  <c r="L2180" i="11"/>
  <c r="L2181" i="11"/>
  <c r="L2182" i="11"/>
  <c r="L2183" i="11"/>
  <c r="L2184" i="11"/>
  <c r="L2185" i="11"/>
  <c r="L2186" i="11"/>
  <c r="L2187" i="11"/>
  <c r="L2188" i="11"/>
  <c r="L2189" i="11"/>
  <c r="L2190" i="11"/>
  <c r="L2191" i="11"/>
  <c r="L2192" i="11"/>
  <c r="L2193" i="11"/>
  <c r="L2194" i="11"/>
  <c r="L2195" i="11"/>
  <c r="L2196" i="11"/>
  <c r="L2197" i="11"/>
  <c r="L2198" i="11"/>
  <c r="L2199" i="11"/>
  <c r="L2200" i="11"/>
  <c r="L2201" i="11"/>
  <c r="L2202" i="11"/>
  <c r="L2203" i="11"/>
  <c r="L2204" i="11"/>
  <c r="L2205" i="11"/>
  <c r="L2206" i="11"/>
  <c r="L2207" i="11"/>
  <c r="L2208" i="11"/>
  <c r="L2209" i="11"/>
  <c r="L2210" i="11"/>
  <c r="L2211" i="11"/>
  <c r="L2212" i="11"/>
  <c r="L2213" i="11"/>
  <c r="L2214" i="11"/>
  <c r="L2215" i="11"/>
  <c r="L2216" i="11"/>
  <c r="L2217" i="11"/>
  <c r="L2218" i="11"/>
  <c r="L2219" i="11"/>
  <c r="L2220" i="11"/>
  <c r="L2221" i="11"/>
  <c r="L2222" i="11"/>
  <c r="L2223" i="11"/>
  <c r="L2224" i="11"/>
  <c r="L2225" i="11"/>
  <c r="L2226" i="11"/>
  <c r="L2227" i="11"/>
  <c r="L2228" i="11"/>
  <c r="L2229" i="11"/>
  <c r="L2230" i="11"/>
  <c r="L2231" i="11"/>
  <c r="L2232" i="11"/>
  <c r="L2233" i="11"/>
  <c r="L2234" i="11"/>
  <c r="L2235" i="11"/>
  <c r="L2236" i="11"/>
  <c r="L2237" i="11"/>
  <c r="L2238" i="11"/>
  <c r="L2239" i="11"/>
  <c r="L2240" i="11"/>
  <c r="L2241" i="11"/>
  <c r="L2242" i="11"/>
  <c r="L2243" i="11"/>
  <c r="L2244" i="11"/>
  <c r="L2245" i="11"/>
  <c r="L2246" i="11"/>
  <c r="L2247" i="11"/>
  <c r="L2248" i="11"/>
  <c r="L2249" i="11"/>
  <c r="L2250" i="11"/>
  <c r="L2251" i="11"/>
  <c r="L2252" i="11"/>
  <c r="L2253" i="11"/>
  <c r="L2254" i="11"/>
  <c r="L2255" i="11"/>
  <c r="L2256" i="11"/>
  <c r="L2257" i="11"/>
  <c r="L2258" i="11"/>
  <c r="L2259" i="11"/>
  <c r="L2260" i="11"/>
  <c r="L2261" i="11"/>
  <c r="L2262" i="11"/>
  <c r="L2263" i="11"/>
  <c r="L2264" i="11"/>
  <c r="L2265" i="11"/>
  <c r="L2266" i="11"/>
  <c r="L2267" i="11"/>
  <c r="L2268" i="11"/>
  <c r="L2269" i="11"/>
  <c r="L2270" i="11"/>
  <c r="L2271" i="11"/>
  <c r="L2272" i="11"/>
  <c r="L2273" i="11"/>
  <c r="L2274" i="11"/>
  <c r="L2275" i="11"/>
  <c r="L2276" i="11"/>
  <c r="L2277" i="11"/>
  <c r="L2278" i="11"/>
  <c r="L2279" i="11"/>
  <c r="L2280" i="11"/>
  <c r="L2281" i="11"/>
  <c r="L2282" i="11"/>
  <c r="L2283" i="11"/>
  <c r="L2284" i="11"/>
  <c r="L2285" i="11"/>
  <c r="L2286" i="11"/>
  <c r="L2287" i="11"/>
  <c r="L2288" i="11"/>
  <c r="L2289" i="11"/>
  <c r="L2290" i="11"/>
  <c r="L2291" i="11"/>
  <c r="L2292" i="11"/>
  <c r="L2293" i="11"/>
  <c r="L2294" i="11"/>
  <c r="L2295" i="11"/>
  <c r="L2296" i="11"/>
  <c r="L2297" i="11"/>
  <c r="L2298" i="11"/>
  <c r="L2299" i="11"/>
  <c r="L2300" i="11"/>
  <c r="L2301" i="11"/>
  <c r="L2302" i="11"/>
  <c r="L2303" i="11"/>
  <c r="L2304" i="11"/>
  <c r="L2305" i="11"/>
  <c r="L2306" i="11"/>
  <c r="L2307" i="11"/>
  <c r="L2308" i="11"/>
  <c r="L2309" i="11"/>
  <c r="L2310" i="11"/>
  <c r="L2311" i="11"/>
  <c r="L2312" i="11"/>
  <c r="L2313" i="11"/>
  <c r="L2314" i="11"/>
  <c r="L2315" i="11"/>
  <c r="L2316" i="11"/>
  <c r="L2317" i="11"/>
  <c r="L2318" i="11"/>
  <c r="L2319" i="11"/>
  <c r="L2320" i="11"/>
  <c r="L2321" i="11"/>
  <c r="L2322" i="11"/>
  <c r="L2323" i="11"/>
  <c r="L2324" i="11"/>
  <c r="L2325" i="11"/>
  <c r="L2326" i="11"/>
  <c r="L2327" i="11"/>
  <c r="L2328" i="11"/>
  <c r="L2329" i="11"/>
  <c r="L2330" i="11"/>
  <c r="L2331" i="11"/>
  <c r="L2332" i="11"/>
  <c r="L2333" i="11"/>
  <c r="L2334" i="11"/>
  <c r="L2335" i="11"/>
  <c r="L2336" i="11"/>
  <c r="L2337" i="11"/>
  <c r="L2338" i="11"/>
  <c r="L2339" i="11"/>
  <c r="L2340" i="11"/>
  <c r="L2341" i="11"/>
  <c r="L2342" i="11"/>
  <c r="L2343" i="11"/>
  <c r="L2344" i="11"/>
  <c r="L2345" i="11"/>
  <c r="L2346" i="11"/>
  <c r="L2347" i="11"/>
  <c r="L2348" i="11"/>
  <c r="L2349" i="11"/>
  <c r="L2350" i="11"/>
  <c r="L2351" i="11"/>
  <c r="L2352" i="11"/>
  <c r="L2353" i="11"/>
  <c r="L2354" i="11"/>
  <c r="L2355" i="11"/>
  <c r="L2356" i="11"/>
  <c r="L2357" i="11"/>
  <c r="L2358" i="11"/>
  <c r="L2359" i="11"/>
  <c r="L2360" i="11"/>
  <c r="L2361" i="11"/>
  <c r="L2362" i="11"/>
  <c r="L2363" i="11"/>
  <c r="L2364" i="11"/>
  <c r="L2365" i="11"/>
  <c r="L2366" i="11"/>
  <c r="L2367" i="11"/>
  <c r="L2368" i="11"/>
  <c r="L2369" i="11"/>
  <c r="L2370" i="11"/>
  <c r="L2371" i="11"/>
  <c r="L2372" i="11"/>
  <c r="L2373" i="11"/>
  <c r="L2374" i="11"/>
  <c r="L2375" i="11"/>
  <c r="L2376" i="11"/>
  <c r="L2377" i="11"/>
  <c r="L2378" i="11"/>
  <c r="L2379" i="11"/>
  <c r="L2380" i="11"/>
  <c r="L2381" i="11"/>
  <c r="L2382" i="11"/>
  <c r="L2383" i="11"/>
  <c r="L2384" i="11"/>
  <c r="L2385" i="11"/>
  <c r="L2386" i="11"/>
  <c r="L2387" i="11"/>
  <c r="L2388" i="11"/>
  <c r="L2389" i="11"/>
  <c r="L2390" i="11"/>
  <c r="L2391" i="11"/>
  <c r="L2392" i="11"/>
  <c r="L2393" i="11"/>
  <c r="L2394" i="11"/>
  <c r="L2395" i="11"/>
  <c r="L2396" i="11"/>
  <c r="L2397" i="11"/>
  <c r="L2398" i="11"/>
  <c r="L2399" i="11"/>
  <c r="L2400" i="11"/>
  <c r="L2401" i="11"/>
  <c r="B30" i="12"/>
  <c r="A21" i="12"/>
  <c r="A6" i="12"/>
  <c r="H59" i="12"/>
  <c r="G59" i="12"/>
  <c r="F61" i="12"/>
  <c r="G61" i="12"/>
  <c r="H61" i="12"/>
  <c r="F62" i="12"/>
  <c r="G62" i="12"/>
  <c r="H62" i="12"/>
  <c r="F63" i="12"/>
  <c r="G63" i="12"/>
  <c r="H63" i="12"/>
  <c r="F64" i="12"/>
  <c r="G64" i="12"/>
  <c r="H64" i="12"/>
  <c r="F65" i="12"/>
  <c r="G65" i="12"/>
  <c r="H65" i="12"/>
  <c r="H60" i="12"/>
  <c r="G60" i="12"/>
  <c r="F60" i="12"/>
  <c r="G16" i="12"/>
  <c r="G15" i="12"/>
  <c r="L7" i="12"/>
  <c r="H10" i="12"/>
  <c r="H15" i="12"/>
  <c r="L8" i="12"/>
  <c r="L6" i="12"/>
  <c r="H9" i="12"/>
  <c r="L13" i="12"/>
  <c r="L11" i="12"/>
  <c r="L9" i="12"/>
  <c r="L5" i="12"/>
  <c r="L3" i="12"/>
  <c r="H16" i="12"/>
  <c r="L10" i="12"/>
  <c r="L12" i="12"/>
  <c r="L4" i="12"/>
  <c r="J19" i="12" l="1"/>
  <c r="H17" i="12"/>
  <c r="F2" i="11" l="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F2337" i="11"/>
  <c r="F2338" i="11"/>
  <c r="F2339" i="11"/>
  <c r="F2340" i="11"/>
  <c r="F2341" i="11"/>
  <c r="F2342" i="11"/>
  <c r="F2343" i="11"/>
  <c r="F2344" i="11"/>
  <c r="F2345" i="11"/>
  <c r="F2346" i="11"/>
  <c r="F2347" i="11"/>
  <c r="F2348" i="11"/>
  <c r="F2349" i="11"/>
  <c r="F2350" i="11"/>
  <c r="F2351" i="11"/>
  <c r="F2352" i="11"/>
  <c r="F2353" i="11"/>
  <c r="F2354" i="11"/>
  <c r="F2355" i="11"/>
  <c r="F2356" i="11"/>
  <c r="F2357" i="11"/>
  <c r="F2358" i="11"/>
  <c r="F2359" i="11"/>
  <c r="F2360" i="11"/>
  <c r="F2361" i="11"/>
  <c r="F2362" i="11"/>
  <c r="F2363" i="11"/>
  <c r="F2364" i="11"/>
  <c r="F2365" i="11"/>
  <c r="F2366" i="11"/>
  <c r="F2367" i="11"/>
  <c r="F2368" i="11"/>
  <c r="F2369" i="11"/>
  <c r="F2370" i="11"/>
  <c r="F2371" i="11"/>
  <c r="F2372" i="11"/>
  <c r="F2373" i="11"/>
  <c r="F2374" i="11"/>
  <c r="F2375" i="11"/>
  <c r="F2376" i="11"/>
  <c r="F2377" i="11"/>
  <c r="F2378" i="11"/>
  <c r="F2379" i="11"/>
  <c r="F2380" i="11"/>
  <c r="F2381" i="11"/>
  <c r="F2382" i="11"/>
  <c r="F2383" i="11"/>
  <c r="F2384" i="11"/>
  <c r="F2385" i="11"/>
  <c r="F2386" i="11"/>
  <c r="F2387" i="11"/>
  <c r="F2388" i="11"/>
  <c r="F2389" i="11"/>
  <c r="F2390" i="11"/>
  <c r="F2391" i="11"/>
  <c r="F2392" i="11"/>
  <c r="F2393" i="11"/>
  <c r="F2394" i="11"/>
  <c r="F2395" i="11"/>
  <c r="F2396" i="11"/>
  <c r="F2397" i="11"/>
  <c r="F2398" i="11"/>
  <c r="F2399" i="11"/>
  <c r="F2400" i="11"/>
  <c r="F24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G2155" i="11" s="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G2300" i="11" s="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D2337" i="11"/>
  <c r="D2338" i="11"/>
  <c r="D2339" i="11"/>
  <c r="D2340" i="11"/>
  <c r="D2341" i="11"/>
  <c r="D2342" i="11"/>
  <c r="D2343" i="11"/>
  <c r="D2344" i="11"/>
  <c r="D2345" i="11"/>
  <c r="D2346" i="11"/>
  <c r="D2347" i="11"/>
  <c r="D2348" i="11"/>
  <c r="D2349" i="11"/>
  <c r="D2350" i="11"/>
  <c r="D2351" i="11"/>
  <c r="D2352" i="11"/>
  <c r="D2353" i="11"/>
  <c r="D2354" i="11"/>
  <c r="D2355" i="11"/>
  <c r="D2356" i="11"/>
  <c r="D2357" i="11"/>
  <c r="D2358" i="11"/>
  <c r="D2359" i="11"/>
  <c r="D2360" i="11"/>
  <c r="D2361" i="11"/>
  <c r="D2362" i="11"/>
  <c r="D2363" i="11"/>
  <c r="D2364" i="11"/>
  <c r="D2365" i="11"/>
  <c r="D2366" i="11"/>
  <c r="D2367" i="11"/>
  <c r="D2368" i="11"/>
  <c r="D2369" i="11"/>
  <c r="D2370" i="11"/>
  <c r="D2371" i="11"/>
  <c r="D2372" i="11"/>
  <c r="D2373" i="11"/>
  <c r="D2374" i="11"/>
  <c r="D2375" i="11"/>
  <c r="D2376" i="11"/>
  <c r="D2377" i="11"/>
  <c r="D2378" i="11"/>
  <c r="D2379" i="11"/>
  <c r="D2380" i="11"/>
  <c r="D2381" i="11"/>
  <c r="D2382" i="11"/>
  <c r="D2383" i="11"/>
  <c r="D2384" i="11"/>
  <c r="D2385" i="11"/>
  <c r="D2386" i="11"/>
  <c r="D2387" i="11"/>
  <c r="D2388" i="11"/>
  <c r="D2389" i="11"/>
  <c r="D2390" i="11"/>
  <c r="D2391" i="11"/>
  <c r="D2392" i="11"/>
  <c r="D2393" i="11"/>
  <c r="D2394" i="11"/>
  <c r="D2395" i="11"/>
  <c r="D2396" i="11"/>
  <c r="D2397" i="11"/>
  <c r="D2398" i="11"/>
  <c r="D2399" i="11"/>
  <c r="D2400" i="11"/>
  <c r="D2401" i="11"/>
  <c r="G2196" i="11" l="1"/>
  <c r="G1103" i="11"/>
  <c r="G2374" i="11"/>
  <c r="G2347" i="11"/>
  <c r="G2332" i="11"/>
  <c r="G2386" i="11"/>
  <c r="G2218" i="11"/>
  <c r="G2387" i="11"/>
  <c r="G2363" i="11"/>
  <c r="G2331" i="11"/>
  <c r="G2299" i="11"/>
  <c r="G2227" i="11"/>
  <c r="G1603" i="11"/>
  <c r="G2394" i="11"/>
  <c r="G2378" i="11"/>
  <c r="G2370" i="11"/>
  <c r="G2362" i="11"/>
  <c r="G2354" i="11"/>
  <c r="G2346" i="11"/>
  <c r="G2338" i="11"/>
  <c r="G2330" i="11"/>
  <c r="G2322" i="11"/>
  <c r="G2314" i="11"/>
  <c r="G2306" i="11"/>
  <c r="G2298" i="11"/>
  <c r="G2290" i="11"/>
  <c r="G2282" i="11"/>
  <c r="G2274" i="11"/>
  <c r="G2266" i="11"/>
  <c r="G2258" i="11"/>
  <c r="G2250" i="11"/>
  <c r="G2242" i="11"/>
  <c r="G2234" i="11"/>
  <c r="G2226" i="11"/>
  <c r="G2210" i="11"/>
  <c r="G2202" i="11"/>
  <c r="G2194" i="11"/>
  <c r="G2186" i="11"/>
  <c r="G2178" i="11"/>
  <c r="G2170" i="11"/>
  <c r="G2162" i="11"/>
  <c r="G2154" i="11"/>
  <c r="G2146" i="11"/>
  <c r="G2138" i="11"/>
  <c r="G2130" i="11"/>
  <c r="G2122" i="11"/>
  <c r="G2114" i="11"/>
  <c r="G2106" i="11"/>
  <c r="G2098" i="11"/>
  <c r="G2090" i="11"/>
  <c r="G2082" i="11"/>
  <c r="G2074" i="11"/>
  <c r="G2066" i="11"/>
  <c r="G2058" i="11"/>
  <c r="G2050" i="11"/>
  <c r="G2042" i="11"/>
  <c r="G2034" i="11"/>
  <c r="G2026" i="11"/>
  <c r="G2018" i="11"/>
  <c r="G2010" i="11"/>
  <c r="G2002" i="11"/>
  <c r="G1994" i="11"/>
  <c r="G1986" i="11"/>
  <c r="G1978" i="11"/>
  <c r="G1970" i="11"/>
  <c r="G1962" i="11"/>
  <c r="G1954" i="11"/>
  <c r="G1946" i="11"/>
  <c r="G1938" i="11"/>
  <c r="G1930" i="11"/>
  <c r="G1922" i="11"/>
  <c r="G1914" i="11"/>
  <c r="G1906" i="11"/>
  <c r="G1898" i="11"/>
  <c r="G1890" i="11"/>
  <c r="G1882" i="11"/>
  <c r="G1874" i="11"/>
  <c r="G1866" i="11"/>
  <c r="G1858" i="11"/>
  <c r="G1850" i="11"/>
  <c r="G1842" i="11"/>
  <c r="G1834" i="11"/>
  <c r="G1826" i="11"/>
  <c r="G1818" i="11"/>
  <c r="G1810" i="11"/>
  <c r="G1802" i="11"/>
  <c r="G1794" i="11"/>
  <c r="G1786" i="11"/>
  <c r="G1778" i="11"/>
  <c r="G1770" i="11"/>
  <c r="G1762" i="11"/>
  <c r="G1754" i="11"/>
  <c r="G1746" i="11"/>
  <c r="G1738" i="11"/>
  <c r="G1730" i="11"/>
  <c r="G1722" i="11"/>
  <c r="G1714" i="11"/>
  <c r="G1706" i="11"/>
  <c r="G1698" i="11"/>
  <c r="G1690" i="11"/>
  <c r="G1682" i="11"/>
  <c r="G1674" i="11"/>
  <c r="G1666" i="11"/>
  <c r="G1658" i="11"/>
  <c r="G1650" i="11"/>
  <c r="G1642" i="11"/>
  <c r="G1634" i="11"/>
  <c r="G1626" i="11"/>
  <c r="G1618" i="11"/>
  <c r="G1610" i="11"/>
  <c r="G1602" i="11"/>
  <c r="G1594" i="11"/>
  <c r="G1586" i="11"/>
  <c r="G1578" i="11"/>
  <c r="G1570" i="11"/>
  <c r="G1562" i="11"/>
  <c r="G1554" i="11"/>
  <c r="G1546" i="11"/>
  <c r="G1538" i="11"/>
  <c r="G1530" i="11"/>
  <c r="G1522" i="11"/>
  <c r="G1514" i="11"/>
  <c r="G1506" i="11"/>
  <c r="G1498" i="11"/>
  <c r="G1490" i="11"/>
  <c r="G1482" i="11"/>
  <c r="G1474" i="11"/>
  <c r="G1466" i="11"/>
  <c r="G1458" i="11"/>
  <c r="G1450" i="11"/>
  <c r="G1442" i="11"/>
  <c r="G1434" i="11"/>
  <c r="G1426" i="11"/>
  <c r="G1418" i="11"/>
  <c r="G1410" i="11"/>
  <c r="G1402" i="11"/>
  <c r="G2395" i="11"/>
  <c r="G2371" i="11"/>
  <c r="G2291" i="11"/>
  <c r="G2267" i="11"/>
  <c r="G2251" i="11"/>
  <c r="G2211" i="11"/>
  <c r="G2003" i="11"/>
  <c r="G2377" i="11"/>
  <c r="G2345" i="11"/>
  <c r="G2321" i="11"/>
  <c r="G2289" i="11"/>
  <c r="G2249" i="11"/>
  <c r="G2217" i="11"/>
  <c r="G2193" i="11"/>
  <c r="G2169" i="11"/>
  <c r="G2161" i="11"/>
  <c r="G2153" i="11"/>
  <c r="G2145" i="11"/>
  <c r="G2137" i="11"/>
  <c r="G2129" i="11"/>
  <c r="G2121" i="11"/>
  <c r="G2113" i="11"/>
  <c r="G2105" i="11"/>
  <c r="G2097" i="11"/>
  <c r="G2089" i="11"/>
  <c r="G2081" i="11"/>
  <c r="G2073" i="11"/>
  <c r="G2065" i="11"/>
  <c r="G2057" i="11"/>
  <c r="G2025" i="11"/>
  <c r="G2017" i="11"/>
  <c r="G2009" i="11"/>
  <c r="G2001" i="11"/>
  <c r="G1993" i="11"/>
  <c r="G1985" i="11"/>
  <c r="G1977" i="11"/>
  <c r="G1969" i="11"/>
  <c r="G1961" i="11"/>
  <c r="G1953" i="11"/>
  <c r="G1945" i="11"/>
  <c r="G1937" i="11"/>
  <c r="G1929" i="11"/>
  <c r="G1921" i="11"/>
  <c r="G1913" i="11"/>
  <c r="G1905" i="11"/>
  <c r="G1897" i="11"/>
  <c r="G1889" i="11"/>
  <c r="G1881" i="11"/>
  <c r="G1873" i="11"/>
  <c r="G1865" i="11"/>
  <c r="G1857" i="11"/>
  <c r="G1849" i="11"/>
  <c r="G1841" i="11"/>
  <c r="G1833" i="11"/>
  <c r="G1825" i="11"/>
  <c r="G1817" i="11"/>
  <c r="G1809" i="11"/>
  <c r="G1801" i="11"/>
  <c r="G1793" i="11"/>
  <c r="G1785" i="11"/>
  <c r="G1777" i="11"/>
  <c r="G1769" i="11"/>
  <c r="G1761" i="11"/>
  <c r="G1753" i="11"/>
  <c r="G1745" i="11"/>
  <c r="G1737" i="11"/>
  <c r="G1729" i="11"/>
  <c r="G1721" i="11"/>
  <c r="G1713" i="11"/>
  <c r="G1705" i="11"/>
  <c r="G1697" i="11"/>
  <c r="G1689" i="11"/>
  <c r="G1681" i="11"/>
  <c r="G1673" i="11"/>
  <c r="G1665" i="11"/>
  <c r="G1657" i="11"/>
  <c r="G1649" i="11"/>
  <c r="G1641" i="11"/>
  <c r="G1633" i="11"/>
  <c r="G1625" i="11"/>
  <c r="G1617" i="11"/>
  <c r="G1609" i="11"/>
  <c r="G1601" i="11"/>
  <c r="G1593" i="11"/>
  <c r="G1585" i="11"/>
  <c r="G1577" i="11"/>
  <c r="G1569" i="11"/>
  <c r="G1561" i="11"/>
  <c r="G1553" i="11"/>
  <c r="G1545" i="11"/>
  <c r="G1537" i="11"/>
  <c r="G1529" i="11"/>
  <c r="G1521" i="11"/>
  <c r="G1513" i="11"/>
  <c r="G1505" i="11"/>
  <c r="G1497" i="11"/>
  <c r="G1489" i="11"/>
  <c r="G1481" i="11"/>
  <c r="G1473" i="11"/>
  <c r="G1465" i="11"/>
  <c r="G1457" i="11"/>
  <c r="G1449" i="11"/>
  <c r="G1441" i="11"/>
  <c r="G1433" i="11"/>
  <c r="G1425" i="11"/>
  <c r="G1417" i="11"/>
  <c r="G1409" i="11"/>
  <c r="G1401" i="11"/>
  <c r="G1393" i="11"/>
  <c r="G1385" i="11"/>
  <c r="G1377" i="11"/>
  <c r="G1369" i="11"/>
  <c r="G1361" i="11"/>
  <c r="G1353" i="11"/>
  <c r="G1345" i="11"/>
  <c r="G1337" i="11"/>
  <c r="G1329" i="11"/>
  <c r="G1321" i="11"/>
  <c r="G1313" i="11"/>
  <c r="G1305" i="11"/>
  <c r="G1297" i="11"/>
  <c r="G1289" i="11"/>
  <c r="G1281" i="11"/>
  <c r="G1273" i="11"/>
  <c r="G1265" i="11"/>
  <c r="G2400" i="11"/>
  <c r="G2392" i="11"/>
  <c r="G2384" i="11"/>
  <c r="G2376" i="11"/>
  <c r="G2368" i="11"/>
  <c r="G2360" i="11"/>
  <c r="G2352" i="11"/>
  <c r="G2344" i="11"/>
  <c r="G2336" i="11"/>
  <c r="G2328" i="11"/>
  <c r="G2320" i="11"/>
  <c r="G2312" i="11"/>
  <c r="G2304" i="11"/>
  <c r="G2296" i="11"/>
  <c r="G2288" i="11"/>
  <c r="G2280" i="11"/>
  <c r="G2272" i="11"/>
  <c r="G2264" i="11"/>
  <c r="G2256" i="11"/>
  <c r="G1552" i="11"/>
  <c r="G1095" i="11"/>
  <c r="G1087" i="11"/>
  <c r="G1079" i="11"/>
  <c r="G1071" i="11"/>
  <c r="G1063" i="11"/>
  <c r="G1055" i="11"/>
  <c r="G1047" i="11"/>
  <c r="G1039" i="11"/>
  <c r="G1031" i="11"/>
  <c r="G1023" i="11"/>
  <c r="G1015" i="11"/>
  <c r="G1007" i="11"/>
  <c r="G999" i="11"/>
  <c r="G991" i="11"/>
  <c r="G983" i="11"/>
  <c r="G975" i="11"/>
  <c r="G967" i="11"/>
  <c r="G959" i="11"/>
  <c r="G951" i="11"/>
  <c r="G943" i="11"/>
  <c r="G935" i="11"/>
  <c r="G927" i="11"/>
  <c r="G919" i="11"/>
  <c r="G911" i="11"/>
  <c r="G903" i="11"/>
  <c r="G895" i="11"/>
  <c r="G887" i="11"/>
  <c r="G879" i="11"/>
  <c r="G871" i="11"/>
  <c r="G863" i="11"/>
  <c r="G855" i="11"/>
  <c r="G847" i="11"/>
  <c r="G839" i="11"/>
  <c r="G831" i="11"/>
  <c r="G823" i="11"/>
  <c r="G815" i="11"/>
  <c r="G807" i="11"/>
  <c r="G799" i="11"/>
  <c r="G791" i="11"/>
  <c r="G783" i="11"/>
  <c r="G775" i="11"/>
  <c r="G767" i="11"/>
  <c r="G759" i="11"/>
  <c r="G751" i="11"/>
  <c r="G743" i="11"/>
  <c r="G735" i="11"/>
  <c r="G727" i="11"/>
  <c r="G719" i="11"/>
  <c r="G711" i="11"/>
  <c r="G703" i="11"/>
  <c r="G695" i="11"/>
  <c r="G687" i="11"/>
  <c r="G679" i="11"/>
  <c r="G671" i="11"/>
  <c r="G663" i="11"/>
  <c r="G655" i="11"/>
  <c r="G647" i="11"/>
  <c r="G639" i="11"/>
  <c r="G631" i="11"/>
  <c r="G623" i="11"/>
  <c r="G615" i="11"/>
  <c r="G607" i="11"/>
  <c r="G599" i="11"/>
  <c r="G591" i="11"/>
  <c r="G583" i="11"/>
  <c r="G575" i="11"/>
  <c r="G567" i="11"/>
  <c r="G559" i="11"/>
  <c r="G551" i="11"/>
  <c r="G543" i="11"/>
  <c r="G535" i="11"/>
  <c r="G527" i="11"/>
  <c r="G519" i="11"/>
  <c r="G511" i="11"/>
  <c r="G503" i="11"/>
  <c r="G495" i="11"/>
  <c r="G487" i="11"/>
  <c r="G479" i="11"/>
  <c r="G2379" i="11"/>
  <c r="G2339" i="11"/>
  <c r="G2323" i="11"/>
  <c r="G2307" i="11"/>
  <c r="G2275" i="11"/>
  <c r="G2243" i="11"/>
  <c r="G2203" i="11"/>
  <c r="G2147" i="11"/>
  <c r="G2393" i="11"/>
  <c r="G2361" i="11"/>
  <c r="G2329" i="11"/>
  <c r="G2297" i="11"/>
  <c r="G2265" i="11"/>
  <c r="G2233" i="11"/>
  <c r="G2201" i="11"/>
  <c r="G2041" i="11"/>
  <c r="G2399" i="11"/>
  <c r="G2375" i="11"/>
  <c r="G2351" i="11"/>
  <c r="G2327" i="11"/>
  <c r="G2303" i="11"/>
  <c r="G2279" i="11"/>
  <c r="G2263" i="11"/>
  <c r="G2247" i="11"/>
  <c r="G2223" i="11"/>
  <c r="G2199" i="11"/>
  <c r="G2175" i="11"/>
  <c r="G2151" i="11"/>
  <c r="G2127" i="11"/>
  <c r="G2111" i="11"/>
  <c r="G2087" i="11"/>
  <c r="G2071" i="11"/>
  <c r="G2047" i="11"/>
  <c r="G2023" i="11"/>
  <c r="G1999" i="11"/>
  <c r="G1975" i="11"/>
  <c r="G1951" i="11"/>
  <c r="G1927" i="11"/>
  <c r="G1903" i="11"/>
  <c r="G1879" i="11"/>
  <c r="G1863" i="11"/>
  <c r="G1847" i="11"/>
  <c r="G1823" i="11"/>
  <c r="G1799" i="11"/>
  <c r="G1775" i="11"/>
  <c r="G1751" i="11"/>
  <c r="G1727" i="11"/>
  <c r="G1703" i="11"/>
  <c r="G1687" i="11"/>
  <c r="G1655" i="11"/>
  <c r="G1631" i="11"/>
  <c r="G1607" i="11"/>
  <c r="G1583" i="11"/>
  <c r="G1559" i="11"/>
  <c r="G1535" i="11"/>
  <c r="G1511" i="11"/>
  <c r="G1487" i="11"/>
  <c r="G1463" i="11"/>
  <c r="G1447" i="11"/>
  <c r="G1423" i="11"/>
  <c r="G1407" i="11"/>
  <c r="G1383" i="11"/>
  <c r="G1367" i="11"/>
  <c r="G1335" i="11"/>
  <c r="G1311" i="11"/>
  <c r="G1287" i="11"/>
  <c r="G1271" i="11"/>
  <c r="G1247" i="11"/>
  <c r="G1223" i="11"/>
  <c r="G1207" i="11"/>
  <c r="G1183" i="11"/>
  <c r="G1159" i="11"/>
  <c r="G1143" i="11"/>
  <c r="G1127" i="11"/>
  <c r="G2398" i="11"/>
  <c r="G2390" i="11"/>
  <c r="G2382" i="11"/>
  <c r="G2366" i="11"/>
  <c r="G2358" i="11"/>
  <c r="G2350" i="11"/>
  <c r="G2342" i="11"/>
  <c r="G2334" i="11"/>
  <c r="G2326" i="11"/>
  <c r="G2318" i="11"/>
  <c r="G2310" i="11"/>
  <c r="G2302" i="11"/>
  <c r="G2294" i="11"/>
  <c r="G2286" i="11"/>
  <c r="G2278" i="11"/>
  <c r="G2270" i="11"/>
  <c r="G2262" i="11"/>
  <c r="G2254" i="11"/>
  <c r="G2246" i="11"/>
  <c r="G2238" i="11"/>
  <c r="G2230" i="11"/>
  <c r="G2222" i="11"/>
  <c r="G2214" i="11"/>
  <c r="G2206" i="11"/>
  <c r="G2198" i="11"/>
  <c r="G1758" i="11"/>
  <c r="G2355" i="11"/>
  <c r="G2315" i="11"/>
  <c r="G2283" i="11"/>
  <c r="G2259" i="11"/>
  <c r="G2235" i="11"/>
  <c r="G2219" i="11"/>
  <c r="G2195" i="11"/>
  <c r="G2083" i="11"/>
  <c r="G2385" i="11"/>
  <c r="G2353" i="11"/>
  <c r="G2305" i="11"/>
  <c r="G2273" i="11"/>
  <c r="G2241" i="11"/>
  <c r="G2185" i="11"/>
  <c r="G2049" i="11"/>
  <c r="G2383" i="11"/>
  <c r="G2359" i="11"/>
  <c r="G2335" i="11"/>
  <c r="G2311" i="11"/>
  <c r="G2287" i="11"/>
  <c r="G2255" i="11"/>
  <c r="G2231" i="11"/>
  <c r="G2207" i="11"/>
  <c r="G2183" i="11"/>
  <c r="G2167" i="11"/>
  <c r="G2143" i="11"/>
  <c r="G2119" i="11"/>
  <c r="G2095" i="11"/>
  <c r="G2063" i="11"/>
  <c r="G2039" i="11"/>
  <c r="G2015" i="11"/>
  <c r="G1991" i="11"/>
  <c r="G1959" i="11"/>
  <c r="G1935" i="11"/>
  <c r="G1911" i="11"/>
  <c r="G1887" i="11"/>
  <c r="G1855" i="11"/>
  <c r="G1831" i="11"/>
  <c r="G1807" i="11"/>
  <c r="G1783" i="11"/>
  <c r="G1767" i="11"/>
  <c r="G1735" i="11"/>
  <c r="G1711" i="11"/>
  <c r="G1679" i="11"/>
  <c r="G1663" i="11"/>
  <c r="G1639" i="11"/>
  <c r="G1615" i="11"/>
  <c r="G1591" i="11"/>
  <c r="G1567" i="11"/>
  <c r="G1543" i="11"/>
  <c r="G1519" i="11"/>
  <c r="G1495" i="11"/>
  <c r="G1471" i="11"/>
  <c r="G1439" i="11"/>
  <c r="G1415" i="11"/>
  <c r="G1391" i="11"/>
  <c r="G1359" i="11"/>
  <c r="G1343" i="11"/>
  <c r="G1319" i="11"/>
  <c r="G1295" i="11"/>
  <c r="G1255" i="11"/>
  <c r="G1231" i="11"/>
  <c r="G1199" i="11"/>
  <c r="G1175" i="11"/>
  <c r="G1151" i="11"/>
  <c r="G1135" i="11"/>
  <c r="G1119" i="11"/>
  <c r="G2397" i="11"/>
  <c r="G2389" i="11"/>
  <c r="G2381" i="11"/>
  <c r="G2373" i="11"/>
  <c r="G2365" i="11"/>
  <c r="G2349" i="11"/>
  <c r="G2401" i="11"/>
  <c r="G2369" i="11"/>
  <c r="G2337" i="11"/>
  <c r="G2313" i="11"/>
  <c r="G2281" i="11"/>
  <c r="G2257" i="11"/>
  <c r="G2225" i="11"/>
  <c r="G2209" i="11"/>
  <c r="G2177" i="11"/>
  <c r="G2033" i="11"/>
  <c r="G2391" i="11"/>
  <c r="G2367" i="11"/>
  <c r="G2343" i="11"/>
  <c r="G2319" i="11"/>
  <c r="G2295" i="11"/>
  <c r="G2271" i="11"/>
  <c r="G2239" i="11"/>
  <c r="G2215" i="11"/>
  <c r="G2191" i="11"/>
  <c r="G2159" i="11"/>
  <c r="G2135" i="11"/>
  <c r="G2103" i="11"/>
  <c r="G2079" i="11"/>
  <c r="G2055" i="11"/>
  <c r="G2031" i="11"/>
  <c r="G2007" i="11"/>
  <c r="G1983" i="11"/>
  <c r="G1967" i="11"/>
  <c r="G1943" i="11"/>
  <c r="G1919" i="11"/>
  <c r="G1895" i="11"/>
  <c r="G1871" i="11"/>
  <c r="G1839" i="11"/>
  <c r="G1815" i="11"/>
  <c r="G1791" i="11"/>
  <c r="G1759" i="11"/>
  <c r="G1743" i="11"/>
  <c r="G1719" i="11"/>
  <c r="G1695" i="11"/>
  <c r="G1671" i="11"/>
  <c r="G1647" i="11"/>
  <c r="G1623" i="11"/>
  <c r="G1599" i="11"/>
  <c r="G1575" i="11"/>
  <c r="G1551" i="11"/>
  <c r="G1527" i="11"/>
  <c r="G1503" i="11"/>
  <c r="G1479" i="11"/>
  <c r="G1455" i="11"/>
  <c r="G1431" i="11"/>
  <c r="G1399" i="11"/>
  <c r="G1375" i="11"/>
  <c r="G1351" i="11"/>
  <c r="G1327" i="11"/>
  <c r="G1303" i="11"/>
  <c r="G1279" i="11"/>
  <c r="G1263" i="11"/>
  <c r="G1239" i="11"/>
  <c r="G1215" i="11"/>
  <c r="G1191" i="11"/>
  <c r="G1167" i="11"/>
  <c r="G1111" i="11"/>
  <c r="G2190" i="11"/>
  <c r="G2182" i="11"/>
  <c r="G2174" i="11"/>
  <c r="G2166" i="11"/>
  <c r="G2158" i="11"/>
  <c r="G2150" i="11"/>
  <c r="G2142" i="11"/>
  <c r="G2134" i="11"/>
  <c r="G2126" i="11"/>
  <c r="G2118" i="11"/>
  <c r="G2110" i="11"/>
  <c r="G2102" i="11"/>
  <c r="G2094" i="11"/>
  <c r="G2086" i="11"/>
  <c r="G2078" i="11"/>
  <c r="G2070" i="11"/>
  <c r="G2062" i="11"/>
  <c r="G2054" i="11"/>
  <c r="G2046" i="11"/>
  <c r="G2038" i="11"/>
  <c r="G2030" i="11"/>
  <c r="G2022" i="11"/>
  <c r="G2014" i="11"/>
  <c r="G2006" i="11"/>
  <c r="G1998" i="11"/>
  <c r="G1990" i="11"/>
  <c r="G1982" i="11"/>
  <c r="G1974" i="11"/>
  <c r="G1966" i="11"/>
  <c r="G1958" i="11"/>
  <c r="G1950" i="11"/>
  <c r="G1942" i="11"/>
  <c r="G1934" i="11"/>
  <c r="G1926" i="11"/>
  <c r="G1918" i="11"/>
  <c r="G1910" i="11"/>
  <c r="G1902" i="11"/>
  <c r="G1894" i="11"/>
  <c r="G1886" i="11"/>
  <c r="G1878" i="11"/>
  <c r="G1870" i="11"/>
  <c r="G1862" i="11"/>
  <c r="G1854" i="11"/>
  <c r="G1846" i="11"/>
  <c r="G1838" i="11"/>
  <c r="G1830" i="11"/>
  <c r="G1822" i="11"/>
  <c r="G1814" i="11"/>
  <c r="G1806" i="11"/>
  <c r="G1798" i="11"/>
  <c r="G1790" i="11"/>
  <c r="G1782" i="11"/>
  <c r="G1774" i="11"/>
  <c r="G1766" i="11"/>
  <c r="G1750" i="11"/>
  <c r="G1742" i="11"/>
  <c r="G1734" i="11"/>
  <c r="G1726" i="11"/>
  <c r="G1718" i="11"/>
  <c r="G1710" i="11"/>
  <c r="G1702" i="11"/>
  <c r="G1694" i="11"/>
  <c r="G1686" i="11"/>
  <c r="G1678" i="11"/>
  <c r="G1670" i="11"/>
  <c r="G1662" i="11"/>
  <c r="G1654" i="11"/>
  <c r="G1646" i="11"/>
  <c r="G1638" i="11"/>
  <c r="G1630" i="11"/>
  <c r="G1622" i="11"/>
  <c r="G1614" i="11"/>
  <c r="G1606" i="11"/>
  <c r="G1598" i="11"/>
  <c r="G1590" i="11"/>
  <c r="G1582" i="11"/>
  <c r="G1574" i="11"/>
  <c r="G1566" i="11"/>
  <c r="G1558" i="11"/>
  <c r="G1550" i="11"/>
  <c r="G1542" i="11"/>
  <c r="G1534" i="11"/>
  <c r="G1526" i="11"/>
  <c r="G1518" i="11"/>
  <c r="G1510" i="11"/>
  <c r="G1502" i="11"/>
  <c r="G1494" i="11"/>
  <c r="G1486" i="11"/>
  <c r="G1478" i="11"/>
  <c r="G1470" i="11"/>
  <c r="G1462" i="11"/>
  <c r="G1454" i="11"/>
  <c r="G1446" i="11"/>
  <c r="G1438" i="11"/>
  <c r="G1430" i="11"/>
  <c r="G1422" i="11"/>
  <c r="G1414" i="11"/>
  <c r="G1406" i="11"/>
  <c r="G1398" i="11"/>
  <c r="G1390" i="11"/>
  <c r="G1382" i="11"/>
  <c r="G1374" i="11"/>
  <c r="G1366" i="11"/>
  <c r="G1358" i="11"/>
  <c r="G1350" i="11"/>
  <c r="G1342" i="11"/>
  <c r="G1334" i="11"/>
  <c r="G1326" i="11"/>
  <c r="G1318" i="11"/>
  <c r="G1310" i="11"/>
  <c r="G1302" i="11"/>
  <c r="G1294" i="11"/>
  <c r="G1286" i="11"/>
  <c r="G1278" i="11"/>
  <c r="G1270" i="11"/>
  <c r="G1262" i="11"/>
  <c r="G1254" i="11"/>
  <c r="G1246" i="11"/>
  <c r="G1238" i="11"/>
  <c r="G1230" i="11"/>
  <c r="G1222" i="11"/>
  <c r="G1214" i="11"/>
  <c r="G1206" i="11"/>
  <c r="G1198" i="11"/>
  <c r="G1190" i="11"/>
  <c r="G1182" i="11"/>
  <c r="G1174" i="11"/>
  <c r="G1166" i="11"/>
  <c r="G1158" i="11"/>
  <c r="G1150" i="11"/>
  <c r="G1142" i="11"/>
  <c r="G1134" i="11"/>
  <c r="G1126" i="11"/>
  <c r="G1118" i="11"/>
  <c r="G1110" i="11"/>
  <c r="G1102" i="11"/>
  <c r="G1094" i="11"/>
  <c r="G1086" i="11"/>
  <c r="G1078" i="11"/>
  <c r="G1070" i="11"/>
  <c r="G1062" i="11"/>
  <c r="G1054" i="11"/>
  <c r="G1046" i="11"/>
  <c r="G1038" i="11"/>
  <c r="G1030" i="11"/>
  <c r="G1022" i="11"/>
  <c r="G1014" i="11"/>
  <c r="G2357" i="11"/>
  <c r="G2341" i="11"/>
  <c r="G2333" i="11"/>
  <c r="G2325" i="11"/>
  <c r="G2317" i="11"/>
  <c r="G2309" i="11"/>
  <c r="G2301" i="11"/>
  <c r="G2293" i="11"/>
  <c r="G2285" i="11"/>
  <c r="G2277" i="11"/>
  <c r="G2269" i="11"/>
  <c r="G2261" i="11"/>
  <c r="G2253" i="11"/>
  <c r="G2245" i="11"/>
  <c r="G2237" i="11"/>
  <c r="G2229" i="11"/>
  <c r="G2221" i="11"/>
  <c r="G2213" i="11"/>
  <c r="G2205" i="11"/>
  <c r="G2197" i="11"/>
  <c r="G2189" i="11"/>
  <c r="G2181" i="11"/>
  <c r="G2173" i="11"/>
  <c r="G2165" i="11"/>
  <c r="G2157" i="11"/>
  <c r="G2149" i="11"/>
  <c r="G2141" i="11"/>
  <c r="G2133" i="11"/>
  <c r="G2125" i="11"/>
  <c r="G2117" i="11"/>
  <c r="G2109" i="11"/>
  <c r="G2101" i="11"/>
  <c r="G2093" i="11"/>
  <c r="G2085" i="11"/>
  <c r="G2077" i="11"/>
  <c r="G2069" i="11"/>
  <c r="G2061" i="11"/>
  <c r="G2053" i="11"/>
  <c r="G2045" i="11"/>
  <c r="G2037" i="11"/>
  <c r="G2029" i="11"/>
  <c r="G2021" i="11"/>
  <c r="G2013" i="11"/>
  <c r="G2005" i="11"/>
  <c r="G1997" i="11"/>
  <c r="G1989" i="11"/>
  <c r="G1981" i="11"/>
  <c r="G1973" i="11"/>
  <c r="G1965" i="11"/>
  <c r="G1957" i="11"/>
  <c r="G1949" i="11"/>
  <c r="G1941" i="11"/>
  <c r="G1933" i="11"/>
  <c r="G1925" i="11"/>
  <c r="G1917" i="11"/>
  <c r="G1909" i="11"/>
  <c r="G1901" i="11"/>
  <c r="G1893" i="11"/>
  <c r="G1885" i="11"/>
  <c r="G1877" i="11"/>
  <c r="G1869" i="11"/>
  <c r="G1861" i="11"/>
  <c r="G1853" i="11"/>
  <c r="G1845" i="11"/>
  <c r="G1837" i="11"/>
  <c r="G1829" i="11"/>
  <c r="G1821" i="11"/>
  <c r="G1813" i="11"/>
  <c r="G1805" i="11"/>
  <c r="G1797" i="11"/>
  <c r="G1789" i="11"/>
  <c r="G1781" i="11"/>
  <c r="G1773" i="11"/>
  <c r="G1765" i="11"/>
  <c r="G1757" i="11"/>
  <c r="G1749" i="11"/>
  <c r="G1741" i="11"/>
  <c r="G1733" i="11"/>
  <c r="G1725" i="11"/>
  <c r="G1717" i="11"/>
  <c r="G1709" i="11"/>
  <c r="G1701" i="11"/>
  <c r="G1693" i="11"/>
  <c r="G1685" i="11"/>
  <c r="G1677" i="11"/>
  <c r="G1669" i="11"/>
  <c r="G1661" i="11"/>
  <c r="G1653" i="11"/>
  <c r="G1645" i="11"/>
  <c r="G1637" i="11"/>
  <c r="G1629" i="11"/>
  <c r="G1621" i="11"/>
  <c r="G1613" i="11"/>
  <c r="G1605" i="11"/>
  <c r="G1597" i="11"/>
  <c r="G1589" i="11"/>
  <c r="G1581" i="11"/>
  <c r="G1573" i="11"/>
  <c r="G1565" i="11"/>
  <c r="G1557" i="11"/>
  <c r="G1549" i="11"/>
  <c r="G1541" i="11"/>
  <c r="G1533" i="11"/>
  <c r="G1525" i="11"/>
  <c r="G1517" i="11"/>
  <c r="G1509" i="11"/>
  <c r="G1501" i="11"/>
  <c r="G1493" i="11"/>
  <c r="G1485" i="11"/>
  <c r="G1477" i="11"/>
  <c r="G1469" i="11"/>
  <c r="G1461" i="11"/>
  <c r="G1453" i="11"/>
  <c r="G1445" i="11"/>
  <c r="G1437" i="11"/>
  <c r="G1429" i="11"/>
  <c r="G1421" i="11"/>
  <c r="G1413" i="11"/>
  <c r="G1405" i="11"/>
  <c r="G1397" i="11"/>
  <c r="G1389" i="11"/>
  <c r="G1381" i="11"/>
  <c r="G1373" i="11"/>
  <c r="G1365" i="11"/>
  <c r="G1357" i="11"/>
  <c r="G1349" i="11"/>
  <c r="G1341" i="11"/>
  <c r="G1333" i="11"/>
  <c r="G1325" i="11"/>
  <c r="G1317" i="11"/>
  <c r="G1309" i="11"/>
  <c r="G1301" i="11"/>
  <c r="G1293" i="11"/>
  <c r="G1285" i="11"/>
  <c r="G1277" i="11"/>
  <c r="G1269" i="11"/>
  <c r="G1261" i="11"/>
  <c r="G1253" i="11"/>
  <c r="G1245" i="11"/>
  <c r="G1237" i="11"/>
  <c r="G1229" i="11"/>
  <c r="G1221" i="11"/>
  <c r="G1213" i="11"/>
  <c r="G1205" i="11"/>
  <c r="G1197" i="11"/>
  <c r="G1189" i="11"/>
  <c r="G1181" i="11"/>
  <c r="G2396" i="11"/>
  <c r="G2388" i="11"/>
  <c r="G2380" i="11"/>
  <c r="G2372" i="11"/>
  <c r="G2364" i="11"/>
  <c r="G2356" i="11"/>
  <c r="G2348" i="11"/>
  <c r="G2340" i="11"/>
  <c r="G2316" i="11"/>
  <c r="G2284" i="11"/>
  <c r="G2268" i="11"/>
  <c r="G2252" i="11"/>
  <c r="G2236" i="11"/>
  <c r="G2212" i="11"/>
  <c r="G2172" i="11"/>
  <c r="G2148" i="11"/>
  <c r="G2116" i="11"/>
  <c r="G2084" i="11"/>
  <c r="G2187" i="11"/>
  <c r="G2179" i="11"/>
  <c r="G2171" i="11"/>
  <c r="G2163" i="11"/>
  <c r="G2139" i="11"/>
  <c r="G2131" i="11"/>
  <c r="G2123" i="11"/>
  <c r="G2115" i="11"/>
  <c r="G2107" i="11"/>
  <c r="G2099" i="11"/>
  <c r="G2091" i="11"/>
  <c r="G2075" i="11"/>
  <c r="G2067" i="11"/>
  <c r="G2059" i="11"/>
  <c r="G2051" i="11"/>
  <c r="G2043" i="11"/>
  <c r="G2035" i="11"/>
  <c r="G2027" i="11"/>
  <c r="G2019" i="11"/>
  <c r="G2011" i="11"/>
  <c r="G1995" i="11"/>
  <c r="G1987" i="11"/>
  <c r="G1979" i="11"/>
  <c r="G1971" i="11"/>
  <c r="G1963" i="11"/>
  <c r="G1955" i="11"/>
  <c r="G1947" i="11"/>
  <c r="G1939" i="11"/>
  <c r="G1931" i="11"/>
  <c r="G1923" i="11"/>
  <c r="G1915" i="11"/>
  <c r="G1907" i="11"/>
  <c r="G1899" i="11"/>
  <c r="G1891" i="11"/>
  <c r="G1883" i="11"/>
  <c r="G1875" i="11"/>
  <c r="G1867" i="11"/>
  <c r="G1859" i="11"/>
  <c r="G1851" i="11"/>
  <c r="G1843" i="11"/>
  <c r="G1835" i="11"/>
  <c r="G1827" i="11"/>
  <c r="G1819" i="11"/>
  <c r="G1811" i="11"/>
  <c r="G1803" i="11"/>
  <c r="G1795" i="11"/>
  <c r="G1787" i="11"/>
  <c r="G1779" i="11"/>
  <c r="G1771" i="11"/>
  <c r="G1763" i="11"/>
  <c r="G1755" i="11"/>
  <c r="G1747" i="11"/>
  <c r="G1739" i="11"/>
  <c r="G1731" i="11"/>
  <c r="G1723" i="11"/>
  <c r="G1715" i="11"/>
  <c r="G1707" i="11"/>
  <c r="G1699" i="11"/>
  <c r="G1691" i="11"/>
  <c r="G1683" i="11"/>
  <c r="G1675" i="11"/>
  <c r="G1667" i="11"/>
  <c r="G1659" i="11"/>
  <c r="G1651" i="11"/>
  <c r="G1643" i="11"/>
  <c r="G1635" i="11"/>
  <c r="G1627" i="11"/>
  <c r="G1619" i="11"/>
  <c r="G1611" i="11"/>
  <c r="G1595" i="11"/>
  <c r="G1587" i="11"/>
  <c r="G1579" i="11"/>
  <c r="G1571" i="11"/>
  <c r="G1563" i="11"/>
  <c r="G1555" i="11"/>
  <c r="G1547" i="11"/>
  <c r="G1539" i="11"/>
  <c r="G1531" i="11"/>
  <c r="G1523" i="11"/>
  <c r="G1515" i="11"/>
  <c r="G1507" i="11"/>
  <c r="G1499" i="11"/>
  <c r="G1491" i="11"/>
  <c r="G1483" i="11"/>
  <c r="G1475" i="11"/>
  <c r="G1467" i="11"/>
  <c r="G1459" i="11"/>
  <c r="G1451" i="11"/>
  <c r="G1443" i="11"/>
  <c r="G1435" i="11"/>
  <c r="G1427" i="11"/>
  <c r="G1419" i="11"/>
  <c r="G1411" i="11"/>
  <c r="G1403" i="11"/>
  <c r="G1395" i="11"/>
  <c r="G1387" i="11"/>
  <c r="G1379" i="11"/>
  <c r="G1371" i="11"/>
  <c r="G1363" i="11"/>
  <c r="G1355" i="11"/>
  <c r="G1347" i="11"/>
  <c r="G1339" i="11"/>
  <c r="G1331" i="11"/>
  <c r="G1323" i="11"/>
  <c r="G1315" i="11"/>
  <c r="G1307" i="11"/>
  <c r="G1299" i="11"/>
  <c r="G1291" i="11"/>
  <c r="G1283" i="11"/>
  <c r="G1275" i="11"/>
  <c r="G1267" i="11"/>
  <c r="G1259" i="11"/>
  <c r="G1251" i="11"/>
  <c r="G1243" i="11"/>
  <c r="G1235" i="11"/>
  <c r="G1227" i="11"/>
  <c r="G1219" i="11"/>
  <c r="G1211" i="11"/>
  <c r="G1203" i="11"/>
  <c r="G1195" i="11"/>
  <c r="G1187" i="11"/>
  <c r="G1179" i="11"/>
  <c r="G1171" i="11"/>
  <c r="G1163" i="11"/>
  <c r="G1155" i="11"/>
  <c r="G1147" i="11"/>
  <c r="G1139" i="11"/>
  <c r="G1131" i="11"/>
  <c r="G1123" i="11"/>
  <c r="G1115" i="11"/>
  <c r="G1107" i="11"/>
  <c r="G1099" i="11"/>
  <c r="G1091" i="11"/>
  <c r="G1083" i="11"/>
  <c r="G1075" i="11"/>
  <c r="G1067" i="11"/>
  <c r="G1059" i="11"/>
  <c r="G1051" i="11"/>
  <c r="G1043" i="11"/>
  <c r="G1394" i="11"/>
  <c r="G1386" i="11"/>
  <c r="G1378" i="11"/>
  <c r="G1370" i="11"/>
  <c r="G1362" i="11"/>
  <c r="G1354" i="11"/>
  <c r="G1346" i="11"/>
  <c r="G1338" i="11"/>
  <c r="G1330" i="11"/>
  <c r="G1322" i="11"/>
  <c r="G1314" i="11"/>
  <c r="G1306" i="11"/>
  <c r="G1298" i="11"/>
  <c r="G1290" i="11"/>
  <c r="G1282" i="11"/>
  <c r="G1274" i="11"/>
  <c r="G1266" i="11"/>
  <c r="G1258" i="11"/>
  <c r="G1250" i="11"/>
  <c r="G1242" i="11"/>
  <c r="G1234" i="11"/>
  <c r="G1226" i="11"/>
  <c r="G1218" i="11"/>
  <c r="G1210" i="11"/>
  <c r="G1202" i="11"/>
  <c r="G1194" i="11"/>
  <c r="G1186" i="11"/>
  <c r="G1178" i="11"/>
  <c r="G1170" i="11"/>
  <c r="G1162" i="11"/>
  <c r="G1154" i="11"/>
  <c r="G1146" i="11"/>
  <c r="G1138" i="11"/>
  <c r="G1130" i="11"/>
  <c r="G1122" i="11"/>
  <c r="G1114" i="11"/>
  <c r="G1106" i="11"/>
  <c r="G1098" i="11"/>
  <c r="G1090" i="11"/>
  <c r="G1082" i="11"/>
  <c r="G1074" i="11"/>
  <c r="G1066" i="11"/>
  <c r="G1058" i="11"/>
  <c r="G1050" i="11"/>
  <c r="G1042" i="11"/>
  <c r="G1034" i="11"/>
  <c r="G1026" i="11"/>
  <c r="G1018" i="11"/>
  <c r="G1010" i="11"/>
  <c r="G1002" i="11"/>
  <c r="G994" i="11"/>
  <c r="G986" i="11"/>
  <c r="G978" i="11"/>
  <c r="G970" i="11"/>
  <c r="G962" i="11"/>
  <c r="G954" i="11"/>
  <c r="G946" i="11"/>
  <c r="G938" i="11"/>
  <c r="G930" i="11"/>
  <c r="G922" i="11"/>
  <c r="G914" i="11"/>
  <c r="G906" i="11"/>
  <c r="G898" i="11"/>
  <c r="G890" i="11"/>
  <c r="G882" i="11"/>
  <c r="G874" i="11"/>
  <c r="G866" i="11"/>
  <c r="G858" i="11"/>
  <c r="G850" i="11"/>
  <c r="G842" i="11"/>
  <c r="G834" i="11"/>
  <c r="G826" i="11"/>
  <c r="G818" i="11"/>
  <c r="G810" i="11"/>
  <c r="G802" i="11"/>
  <c r="G794" i="11"/>
  <c r="G786" i="11"/>
  <c r="G778" i="11"/>
  <c r="G770" i="11"/>
  <c r="G762" i="11"/>
  <c r="G754" i="11"/>
  <c r="G746" i="11"/>
  <c r="G738" i="11"/>
  <c r="G730" i="11"/>
  <c r="G722" i="11"/>
  <c r="G714" i="11"/>
  <c r="G706" i="11"/>
  <c r="G698" i="11"/>
  <c r="G690" i="11"/>
  <c r="G682" i="11"/>
  <c r="G674" i="11"/>
  <c r="G666" i="11"/>
  <c r="G658" i="11"/>
  <c r="G650" i="11"/>
  <c r="G642" i="11"/>
  <c r="G634" i="11"/>
  <c r="G626" i="11"/>
  <c r="G618" i="11"/>
  <c r="G610" i="11"/>
  <c r="G602" i="11"/>
  <c r="G594" i="11"/>
  <c r="G586" i="11"/>
  <c r="G578" i="11"/>
  <c r="G570" i="11"/>
  <c r="G562" i="11"/>
  <c r="G554" i="11"/>
  <c r="G546" i="11"/>
  <c r="G538" i="11"/>
  <c r="G530" i="11"/>
  <c r="G522" i="11"/>
  <c r="G514" i="11"/>
  <c r="G506" i="11"/>
  <c r="G498" i="11"/>
  <c r="G490" i="11"/>
  <c r="G482" i="11"/>
  <c r="G474" i="11"/>
  <c r="G466" i="11"/>
  <c r="G458" i="11"/>
  <c r="G450" i="11"/>
  <c r="G442" i="11"/>
  <c r="G434" i="11"/>
  <c r="G426" i="11"/>
  <c r="G418" i="11"/>
  <c r="G410" i="11"/>
  <c r="G402" i="11"/>
  <c r="G394" i="11"/>
  <c r="G386" i="11"/>
  <c r="G378" i="11"/>
  <c r="G370" i="11"/>
  <c r="G362" i="11"/>
  <c r="G354" i="11"/>
  <c r="G346" i="11"/>
  <c r="G338" i="11"/>
  <c r="G330" i="11"/>
  <c r="G322" i="11"/>
  <c r="G314" i="11"/>
  <c r="G306" i="11"/>
  <c r="G298" i="11"/>
  <c r="G290" i="11"/>
  <c r="G282" i="11"/>
  <c r="G274" i="11"/>
  <c r="G266" i="11"/>
  <c r="G258" i="11"/>
  <c r="G250" i="11"/>
  <c r="G242" i="11"/>
  <c r="G234" i="11"/>
  <c r="G226" i="11"/>
  <c r="G218" i="11"/>
  <c r="G210" i="11"/>
  <c r="G202" i="11"/>
  <c r="G194" i="11"/>
  <c r="G186" i="11"/>
  <c r="G178" i="11"/>
  <c r="G170" i="11"/>
  <c r="G162" i="11"/>
  <c r="G154" i="11"/>
  <c r="G146" i="11"/>
  <c r="G138" i="11"/>
  <c r="G130" i="11"/>
  <c r="G122" i="11"/>
  <c r="G114" i="11"/>
  <c r="G106" i="11"/>
  <c r="G98" i="11"/>
  <c r="G90" i="11"/>
  <c r="G82" i="11"/>
  <c r="G74" i="11"/>
  <c r="G66" i="11"/>
  <c r="G58" i="11"/>
  <c r="G2324" i="11"/>
  <c r="G2308" i="11"/>
  <c r="G2292" i="11"/>
  <c r="G2276" i="11"/>
  <c r="G2260" i="11"/>
  <c r="G2244" i="11"/>
  <c r="G2228" i="11"/>
  <c r="G2220" i="11"/>
  <c r="G2204" i="11"/>
  <c r="G2188" i="11"/>
  <c r="G2180" i="11"/>
  <c r="G2164" i="11"/>
  <c r="G2156" i="11"/>
  <c r="G2140" i="11"/>
  <c r="G2132" i="11"/>
  <c r="G2124" i="11"/>
  <c r="G2108" i="11"/>
  <c r="G2100" i="11"/>
  <c r="G2092" i="11"/>
  <c r="G2076" i="11"/>
  <c r="G2068" i="11"/>
  <c r="G2060" i="11"/>
  <c r="G2052" i="11"/>
  <c r="G2044" i="11"/>
  <c r="G2036" i="11"/>
  <c r="G2028" i="11"/>
  <c r="G2020" i="11"/>
  <c r="G2012" i="11"/>
  <c r="G2004" i="11"/>
  <c r="G1996" i="11"/>
  <c r="G1988" i="11"/>
  <c r="G1980" i="11"/>
  <c r="G1972" i="11"/>
  <c r="G1964" i="11"/>
  <c r="G1956" i="11"/>
  <c r="G1948" i="11"/>
  <c r="G1940" i="11"/>
  <c r="G1932" i="11"/>
  <c r="G1924" i="11"/>
  <c r="G1916" i="11"/>
  <c r="G1908" i="11"/>
  <c r="G1900" i="11"/>
  <c r="G1892" i="11"/>
  <c r="G1884" i="11"/>
  <c r="G1876" i="11"/>
  <c r="G1868" i="11"/>
  <c r="G1860" i="11"/>
  <c r="G1852" i="11"/>
  <c r="G1844" i="11"/>
  <c r="G1836" i="11"/>
  <c r="G1828" i="11"/>
  <c r="G1820" i="11"/>
  <c r="G1812" i="11"/>
  <c r="G1804" i="11"/>
  <c r="G1796" i="11"/>
  <c r="G1788" i="11"/>
  <c r="G1780" i="11"/>
  <c r="G1772" i="11"/>
  <c r="G1764" i="11"/>
  <c r="G1756" i="11"/>
  <c r="G1748" i="11"/>
  <c r="G1740" i="11"/>
  <c r="G1732" i="11"/>
  <c r="G1724" i="11"/>
  <c r="G1716" i="11"/>
  <c r="G1708" i="11"/>
  <c r="G1700" i="11"/>
  <c r="G1692" i="11"/>
  <c r="G1684" i="11"/>
  <c r="G1676" i="11"/>
  <c r="G1668" i="11"/>
  <c r="G1660" i="11"/>
  <c r="G1652" i="11"/>
  <c r="G1644" i="11"/>
  <c r="G1636" i="11"/>
  <c r="G1628" i="11"/>
  <c r="G1620" i="11"/>
  <c r="G1612" i="11"/>
  <c r="G1604" i="11"/>
  <c r="G1596" i="11"/>
  <c r="G1588" i="11"/>
  <c r="G1580" i="11"/>
  <c r="G1572" i="11"/>
  <c r="G1564" i="11"/>
  <c r="G1556" i="11"/>
  <c r="G1548" i="11"/>
  <c r="G1540" i="11"/>
  <c r="G1532" i="11"/>
  <c r="G1524" i="11"/>
  <c r="G1516" i="11"/>
  <c r="G1508" i="11"/>
  <c r="G1500" i="11"/>
  <c r="G1492" i="11"/>
  <c r="G1484" i="11"/>
  <c r="G1476" i="11"/>
  <c r="G1468" i="11"/>
  <c r="G1460" i="11"/>
  <c r="G1452" i="11"/>
  <c r="G1444" i="11"/>
  <c r="G1436" i="11"/>
  <c r="G1428" i="11"/>
  <c r="G1420" i="11"/>
  <c r="G1412" i="11"/>
  <c r="G1404" i="11"/>
  <c r="G1396" i="11"/>
  <c r="G1388" i="11"/>
  <c r="G1380" i="11"/>
  <c r="G1372" i="11"/>
  <c r="G1364" i="11"/>
  <c r="G1356" i="11"/>
  <c r="G1348" i="11"/>
  <c r="G1340" i="11"/>
  <c r="G1332" i="11"/>
  <c r="G1324" i="11"/>
  <c r="G1316" i="11"/>
  <c r="G1308" i="11"/>
  <c r="G1300" i="11"/>
  <c r="G1292" i="11"/>
  <c r="G1284" i="11"/>
  <c r="G1276" i="11"/>
  <c r="G1268" i="11"/>
  <c r="G1260" i="11"/>
  <c r="G1252" i="11"/>
  <c r="G1244" i="11"/>
  <c r="G1236" i="11"/>
  <c r="G1228" i="11"/>
  <c r="G1220" i="11"/>
  <c r="G1212" i="11"/>
  <c r="G1204" i="11"/>
  <c r="G1196" i="11"/>
  <c r="G1188" i="11"/>
  <c r="G1180" i="11"/>
  <c r="G1172" i="11"/>
  <c r="G1164" i="11"/>
  <c r="G1156" i="11"/>
  <c r="G1148" i="11"/>
  <c r="G1140" i="11"/>
  <c r="G1132" i="11"/>
  <c r="G1124" i="11"/>
  <c r="G1116" i="11"/>
  <c r="G1108" i="11"/>
  <c r="G1100" i="11"/>
  <c r="G1092" i="11"/>
  <c r="G1084" i="11"/>
  <c r="G1076" i="11"/>
  <c r="G1068" i="11"/>
  <c r="G1060" i="11"/>
  <c r="G1052" i="11"/>
  <c r="G1044" i="11"/>
  <c r="G1036" i="11"/>
  <c r="G1028" i="11"/>
  <c r="G1020" i="11"/>
  <c r="G1012" i="11"/>
  <c r="G1004" i="11"/>
  <c r="G996" i="11"/>
  <c r="G988" i="11"/>
  <c r="G980" i="11"/>
  <c r="G972" i="11"/>
  <c r="G964" i="11"/>
  <c r="G956" i="11"/>
  <c r="G948" i="11"/>
  <c r="G940" i="11"/>
  <c r="G50" i="11"/>
  <c r="G42" i="11"/>
  <c r="G34" i="11"/>
  <c r="G26" i="11"/>
  <c r="G18" i="11"/>
  <c r="G10" i="11"/>
  <c r="G2" i="11"/>
  <c r="G1257" i="11"/>
  <c r="G1249" i="11"/>
  <c r="G1241" i="11"/>
  <c r="G1233" i="11"/>
  <c r="G1225" i="11"/>
  <c r="G1217" i="11"/>
  <c r="G1209" i="11"/>
  <c r="G1201" i="11"/>
  <c r="G1193" i="11"/>
  <c r="G1185" i="11"/>
  <c r="G1177" i="11"/>
  <c r="G1169" i="11"/>
  <c r="G1161" i="11"/>
  <c r="G1153" i="11"/>
  <c r="G1145" i="11"/>
  <c r="G1137" i="11"/>
  <c r="G1129" i="11"/>
  <c r="G1121" i="11"/>
  <c r="G1113" i="11"/>
  <c r="G1105" i="11"/>
  <c r="G1097" i="11"/>
  <c r="G1089" i="11"/>
  <c r="G1081" i="11"/>
  <c r="G1073" i="11"/>
  <c r="G1065" i="11"/>
  <c r="G1057" i="11"/>
  <c r="G1049" i="11"/>
  <c r="G1041" i="11"/>
  <c r="G1033" i="11"/>
  <c r="G1025" i="11"/>
  <c r="G1017" i="11"/>
  <c r="G1009" i="11"/>
  <c r="G1001" i="11"/>
  <c r="G993" i="11"/>
  <c r="G985" i="11"/>
  <c r="G977" i="11"/>
  <c r="G969" i="11"/>
  <c r="G961" i="11"/>
  <c r="G953" i="11"/>
  <c r="G945" i="11"/>
  <c r="G937" i="11"/>
  <c r="G929" i="11"/>
  <c r="G921" i="11"/>
  <c r="G913" i="11"/>
  <c r="G905" i="11"/>
  <c r="G897" i="11"/>
  <c r="G889" i="11"/>
  <c r="G881" i="11"/>
  <c r="G873" i="11"/>
  <c r="G865" i="11"/>
  <c r="G857" i="11"/>
  <c r="G849" i="11"/>
  <c r="G841" i="11"/>
  <c r="G833" i="11"/>
  <c r="G825" i="11"/>
  <c r="G817" i="11"/>
  <c r="G809" i="11"/>
  <c r="G801" i="11"/>
  <c r="G793" i="11"/>
  <c r="G785" i="11"/>
  <c r="G777" i="11"/>
  <c r="G769" i="11"/>
  <c r="G761" i="11"/>
  <c r="G753" i="11"/>
  <c r="G745" i="11"/>
  <c r="G737" i="11"/>
  <c r="G729" i="11"/>
  <c r="G721" i="11"/>
  <c r="G713" i="11"/>
  <c r="G705" i="11"/>
  <c r="G697" i="11"/>
  <c r="G689" i="11"/>
  <c r="G681" i="11"/>
  <c r="G673" i="11"/>
  <c r="G665" i="11"/>
  <c r="G657" i="11"/>
  <c r="G649" i="11"/>
  <c r="G641" i="11"/>
  <c r="G633" i="11"/>
  <c r="G625" i="11"/>
  <c r="G617" i="11"/>
  <c r="G609" i="11"/>
  <c r="G601" i="11"/>
  <c r="G593" i="11"/>
  <c r="G585" i="11"/>
  <c r="G577" i="11"/>
  <c r="G569" i="11"/>
  <c r="G561" i="11"/>
  <c r="G553" i="11"/>
  <c r="G545" i="11"/>
  <c r="G537" i="11"/>
  <c r="G529" i="11"/>
  <c r="G521" i="11"/>
  <c r="G513" i="11"/>
  <c r="G505" i="11"/>
  <c r="G497" i="11"/>
  <c r="G489" i="11"/>
  <c r="G481" i="11"/>
  <c r="G473" i="11"/>
  <c r="G465" i="11"/>
  <c r="G457" i="11"/>
  <c r="G449" i="11"/>
  <c r="G441" i="11"/>
  <c r="G433" i="11"/>
  <c r="G425" i="11"/>
  <c r="G417" i="11"/>
  <c r="G409" i="11"/>
  <c r="G401" i="11"/>
  <c r="G393" i="11"/>
  <c r="G385" i="11"/>
  <c r="G377" i="11"/>
  <c r="G369" i="11"/>
  <c r="G361" i="11"/>
  <c r="G353" i="11"/>
  <c r="G345" i="11"/>
  <c r="G337" i="11"/>
  <c r="G329" i="11"/>
  <c r="G321" i="11"/>
  <c r="G313" i="11"/>
  <c r="G305" i="11"/>
  <c r="G297" i="11"/>
  <c r="G289" i="11"/>
  <c r="G281" i="11"/>
  <c r="G273" i="11"/>
  <c r="G265" i="11"/>
  <c r="G257" i="11"/>
  <c r="G249" i="11"/>
  <c r="G241" i="11"/>
  <c r="G233" i="11"/>
  <c r="G225" i="11"/>
  <c r="G217" i="11"/>
  <c r="G209" i="11"/>
  <c r="G201" i="11"/>
  <c r="G193" i="11"/>
  <c r="G185" i="11"/>
  <c r="G177" i="11"/>
  <c r="G169" i="11"/>
  <c r="G161" i="11"/>
  <c r="G153" i="11"/>
  <c r="G145" i="11"/>
  <c r="G137" i="11"/>
  <c r="G129" i="11"/>
  <c r="G121" i="11"/>
  <c r="G113" i="11"/>
  <c r="G105" i="11"/>
  <c r="G97" i="11"/>
  <c r="G89" i="11"/>
  <c r="G81" i="11"/>
  <c r="G73" i="11"/>
  <c r="G65" i="11"/>
  <c r="G57" i="11"/>
  <c r="G49" i="11"/>
  <c r="G41" i="11"/>
  <c r="G33" i="11"/>
  <c r="G25" i="11"/>
  <c r="G17" i="11"/>
  <c r="G9" i="11"/>
  <c r="G2248" i="11"/>
  <c r="G2240" i="11"/>
  <c r="G2232" i="11"/>
  <c r="G2224" i="11"/>
  <c r="G2216" i="11"/>
  <c r="G2208" i="11"/>
  <c r="G2200" i="11"/>
  <c r="G2192" i="11"/>
  <c r="G2184" i="11"/>
  <c r="G2176" i="11"/>
  <c r="G2168" i="11"/>
  <c r="G2160" i="11"/>
  <c r="G2152" i="11"/>
  <c r="G2144" i="11"/>
  <c r="G2136" i="11"/>
  <c r="G2128" i="11"/>
  <c r="G2120" i="11"/>
  <c r="G2112" i="11"/>
  <c r="G2104" i="11"/>
  <c r="G2096" i="11"/>
  <c r="G2088" i="11"/>
  <c r="G2080" i="11"/>
  <c r="G2072" i="11"/>
  <c r="G2064" i="11"/>
  <c r="G2056" i="11"/>
  <c r="G2048" i="11"/>
  <c r="G2040" i="11"/>
  <c r="G2032" i="11"/>
  <c r="G2024" i="11"/>
  <c r="G2016" i="11"/>
  <c r="G2008" i="11"/>
  <c r="G2000" i="11"/>
  <c r="G1992" i="11"/>
  <c r="G1984" i="11"/>
  <c r="G1976" i="11"/>
  <c r="G1968" i="11"/>
  <c r="G1960" i="11"/>
  <c r="G1952" i="11"/>
  <c r="G1944" i="11"/>
  <c r="G1936" i="11"/>
  <c r="G1928" i="11"/>
  <c r="G1920" i="11"/>
  <c r="G1912" i="11"/>
  <c r="G1904" i="11"/>
  <c r="G1896" i="11"/>
  <c r="G1888" i="11"/>
  <c r="G1880" i="11"/>
  <c r="G1872" i="11"/>
  <c r="G1864" i="11"/>
  <c r="G1856" i="11"/>
  <c r="G1848" i="11"/>
  <c r="G1840" i="11"/>
  <c r="G1832" i="11"/>
  <c r="G1824" i="11"/>
  <c r="G1816" i="11"/>
  <c r="G1808" i="11"/>
  <c r="G1800" i="11"/>
  <c r="G1792" i="11"/>
  <c r="G1784" i="11"/>
  <c r="G1776" i="11"/>
  <c r="G1768" i="11"/>
  <c r="G1760" i="11"/>
  <c r="G1752" i="11"/>
  <c r="G1744" i="11"/>
  <c r="G1736" i="11"/>
  <c r="G1728" i="11"/>
  <c r="G1720" i="11"/>
  <c r="G1712" i="11"/>
  <c r="G1704" i="11"/>
  <c r="G1696" i="11"/>
  <c r="G1688" i="11"/>
  <c r="G1680" i="11"/>
  <c r="G1672" i="11"/>
  <c r="G1664" i="11"/>
  <c r="G1656" i="11"/>
  <c r="G1648" i="11"/>
  <c r="G1640" i="11"/>
  <c r="G1632" i="11"/>
  <c r="G1624" i="11"/>
  <c r="G1616" i="11"/>
  <c r="G1608" i="11"/>
  <c r="G1600" i="11"/>
  <c r="G1592" i="11"/>
  <c r="G1584" i="11"/>
  <c r="G1576" i="11"/>
  <c r="G1568" i="11"/>
  <c r="G1560" i="11"/>
  <c r="G1544" i="11"/>
  <c r="G1536" i="11"/>
  <c r="G1528" i="11"/>
  <c r="G1520" i="11"/>
  <c r="G1512" i="11"/>
  <c r="G1504" i="11"/>
  <c r="G1496" i="11"/>
  <c r="G1488" i="11"/>
  <c r="G1480" i="11"/>
  <c r="G1472" i="11"/>
  <c r="G1464" i="11"/>
  <c r="G1456" i="11"/>
  <c r="G1448" i="11"/>
  <c r="G1440" i="11"/>
  <c r="G1432" i="11"/>
  <c r="G1424" i="11"/>
  <c r="G1416" i="11"/>
  <c r="G1408" i="11"/>
  <c r="G1400" i="11"/>
  <c r="G1392" i="11"/>
  <c r="G1384" i="11"/>
  <c r="G1376" i="11"/>
  <c r="G1368" i="11"/>
  <c r="G1360" i="11"/>
  <c r="G1352" i="11"/>
  <c r="G1344" i="11"/>
  <c r="G1336" i="11"/>
  <c r="G1328" i="11"/>
  <c r="G1320" i="11"/>
  <c r="G1312" i="11"/>
  <c r="G1304" i="11"/>
  <c r="G1296" i="11"/>
  <c r="G1288" i="11"/>
  <c r="G1280" i="11"/>
  <c r="G1272" i="11"/>
  <c r="G1264" i="11"/>
  <c r="G1256" i="11"/>
  <c r="G1248" i="11"/>
  <c r="G1240" i="11"/>
  <c r="G1232" i="11"/>
  <c r="G1224" i="11"/>
  <c r="G1216" i="11"/>
  <c r="G1208" i="11"/>
  <c r="G1200" i="11"/>
  <c r="G1192" i="11"/>
  <c r="G1184" i="11"/>
  <c r="G1176" i="11"/>
  <c r="G1168" i="11"/>
  <c r="G1160" i="11"/>
  <c r="G1152" i="11"/>
  <c r="G1144" i="11"/>
  <c r="G1136" i="11"/>
  <c r="G1128" i="11"/>
  <c r="G1120" i="11"/>
  <c r="G1112" i="11"/>
  <c r="G1104" i="11"/>
  <c r="G1096" i="11"/>
  <c r="G1088" i="11"/>
  <c r="G1080" i="11"/>
  <c r="G1072" i="11"/>
  <c r="G1064" i="11"/>
  <c r="G1056" i="11"/>
  <c r="G1048" i="11"/>
  <c r="G1040" i="11"/>
  <c r="G1032" i="11"/>
  <c r="G1024" i="11"/>
  <c r="G1016" i="11"/>
  <c r="G1008" i="11"/>
  <c r="G1000" i="11"/>
  <c r="G992" i="11"/>
  <c r="G984" i="11"/>
  <c r="G976" i="11"/>
  <c r="G968" i="11"/>
  <c r="G960" i="11"/>
  <c r="G952" i="11"/>
  <c r="G944" i="11"/>
  <c r="G936" i="11"/>
  <c r="G928" i="11"/>
  <c r="G920" i="11"/>
  <c r="G912" i="11"/>
  <c r="G904" i="11"/>
  <c r="G896" i="11"/>
  <c r="G888" i="11"/>
  <c r="G880" i="11"/>
  <c r="G872" i="11"/>
  <c r="G864" i="11"/>
  <c r="G856" i="11"/>
  <c r="G848" i="11"/>
  <c r="G840" i="11"/>
  <c r="G832" i="11"/>
  <c r="G824" i="11"/>
  <c r="G816" i="11"/>
  <c r="G808" i="11"/>
  <c r="G800" i="11"/>
  <c r="G792" i="11"/>
  <c r="G784" i="11"/>
  <c r="G776" i="11"/>
  <c r="G768" i="11"/>
  <c r="G760" i="11"/>
  <c r="G752" i="11"/>
  <c r="G744" i="11"/>
  <c r="G736" i="11"/>
  <c r="G728" i="11"/>
  <c r="G720" i="11"/>
  <c r="G712" i="11"/>
  <c r="G704" i="11"/>
  <c r="G696" i="11"/>
  <c r="G688" i="11"/>
  <c r="G680" i="11"/>
  <c r="G672" i="11"/>
  <c r="G664" i="11"/>
  <c r="G656" i="11"/>
  <c r="G648" i="11"/>
  <c r="G640" i="11"/>
  <c r="G632" i="11"/>
  <c r="G624" i="11"/>
  <c r="G616" i="11"/>
  <c r="G608" i="11"/>
  <c r="G600" i="11"/>
  <c r="G592" i="11"/>
  <c r="G584" i="11"/>
  <c r="G576" i="11"/>
  <c r="G568" i="11"/>
  <c r="G560" i="11"/>
  <c r="G552" i="11"/>
  <c r="G544" i="11"/>
  <c r="G536" i="11"/>
  <c r="G528" i="11"/>
  <c r="G520" i="11"/>
  <c r="G512" i="11"/>
  <c r="G504" i="11"/>
  <c r="G496" i="11"/>
  <c r="G488" i="11"/>
  <c r="G480" i="11"/>
  <c r="G472" i="11"/>
  <c r="G464" i="11"/>
  <c r="G456" i="11"/>
  <c r="G448" i="11"/>
  <c r="G440" i="11"/>
  <c r="G432" i="11"/>
  <c r="G424" i="11"/>
  <c r="G416" i="11"/>
  <c r="G408" i="11"/>
  <c r="G400" i="11"/>
  <c r="G392" i="11"/>
  <c r="G384" i="11"/>
  <c r="G376" i="11"/>
  <c r="G368" i="11"/>
  <c r="G360" i="11"/>
  <c r="G352" i="11"/>
  <c r="G344" i="11"/>
  <c r="G336" i="11"/>
  <c r="G328" i="11"/>
  <c r="G320" i="11"/>
  <c r="G312" i="11"/>
  <c r="G304" i="11"/>
  <c r="G296" i="11"/>
  <c r="G288" i="11"/>
  <c r="G280" i="11"/>
  <c r="G272" i="11"/>
  <c r="G264" i="11"/>
  <c r="G256" i="11"/>
  <c r="G248" i="11"/>
  <c r="G240" i="11"/>
  <c r="G232" i="11"/>
  <c r="G224" i="11"/>
  <c r="G216" i="11"/>
  <c r="G208" i="11"/>
  <c r="G200" i="11"/>
  <c r="G192" i="11"/>
  <c r="G184" i="11"/>
  <c r="G176" i="11"/>
  <c r="G168" i="11"/>
  <c r="G160" i="11"/>
  <c r="G152" i="11"/>
  <c r="G144" i="11"/>
  <c r="G136" i="11"/>
  <c r="G128" i="11"/>
  <c r="G120" i="11"/>
  <c r="G112" i="11"/>
  <c r="G104" i="11"/>
  <c r="G96" i="11"/>
  <c r="G88" i="11"/>
  <c r="G80" i="11"/>
  <c r="G72" i="11"/>
  <c r="G64" i="11"/>
  <c r="G56" i="11"/>
  <c r="G48" i="11"/>
  <c r="G40" i="11"/>
  <c r="G32" i="11"/>
  <c r="G24" i="11"/>
  <c r="G16" i="11"/>
  <c r="G8" i="11"/>
  <c r="G471" i="11"/>
  <c r="G463" i="11"/>
  <c r="G455" i="11"/>
  <c r="G447" i="11"/>
  <c r="G439" i="11"/>
  <c r="G431" i="11"/>
  <c r="G423" i="11"/>
  <c r="G415" i="11"/>
  <c r="G407" i="11"/>
  <c r="G399" i="11"/>
  <c r="G391" i="11"/>
  <c r="G383" i="11"/>
  <c r="G375" i="11"/>
  <c r="G367" i="11"/>
  <c r="G359" i="11"/>
  <c r="G351" i="11"/>
  <c r="G343" i="11"/>
  <c r="G335" i="11"/>
  <c r="G327" i="11"/>
  <c r="G319" i="11"/>
  <c r="G311" i="11"/>
  <c r="G303" i="11"/>
  <c r="G295" i="11"/>
  <c r="G287" i="11"/>
  <c r="G279" i="11"/>
  <c r="G271" i="11"/>
  <c r="G263" i="11"/>
  <c r="G255" i="11"/>
  <c r="G247" i="11"/>
  <c r="G239" i="11"/>
  <c r="G231" i="11"/>
  <c r="G223" i="11"/>
  <c r="G215" i="11"/>
  <c r="G207" i="11"/>
  <c r="G199" i="11"/>
  <c r="G191" i="11"/>
  <c r="G183" i="11"/>
  <c r="G175" i="11"/>
  <c r="G167" i="11"/>
  <c r="G159" i="11"/>
  <c r="G151" i="11"/>
  <c r="G143" i="11"/>
  <c r="G135" i="11"/>
  <c r="G127" i="11"/>
  <c r="G119" i="11"/>
  <c r="G111" i="11"/>
  <c r="G103" i="11"/>
  <c r="G95" i="11"/>
  <c r="G87" i="11"/>
  <c r="G79" i="11"/>
  <c r="G71" i="11"/>
  <c r="G63" i="11"/>
  <c r="G55" i="11"/>
  <c r="G47" i="11"/>
  <c r="G39" i="11"/>
  <c r="G31" i="11"/>
  <c r="G23" i="11"/>
  <c r="G15" i="11"/>
  <c r="G7" i="11"/>
  <c r="G1006" i="11"/>
  <c r="G998" i="11"/>
  <c r="G990" i="11"/>
  <c r="G982" i="11"/>
  <c r="G974" i="11"/>
  <c r="G966" i="11"/>
  <c r="G958" i="11"/>
  <c r="G950" i="11"/>
  <c r="G942" i="11"/>
  <c r="G934" i="11"/>
  <c r="G926" i="11"/>
  <c r="G918" i="11"/>
  <c r="G910" i="11"/>
  <c r="G902" i="11"/>
  <c r="G894" i="11"/>
  <c r="G886" i="11"/>
  <c r="G878" i="11"/>
  <c r="G870" i="11"/>
  <c r="G862" i="11"/>
  <c r="G854" i="11"/>
  <c r="G846" i="11"/>
  <c r="G838" i="11"/>
  <c r="G830" i="11"/>
  <c r="G822" i="11"/>
  <c r="G814" i="11"/>
  <c r="G806" i="11"/>
  <c r="G798" i="11"/>
  <c r="G790" i="11"/>
  <c r="G782" i="11"/>
  <c r="G774" i="11"/>
  <c r="G766" i="11"/>
  <c r="G758" i="11"/>
  <c r="G750" i="11"/>
  <c r="G742" i="11"/>
  <c r="G734" i="11"/>
  <c r="G726" i="11"/>
  <c r="G718" i="11"/>
  <c r="G710" i="11"/>
  <c r="G702" i="11"/>
  <c r="G694" i="11"/>
  <c r="G686" i="11"/>
  <c r="G678" i="11"/>
  <c r="G670" i="11"/>
  <c r="G662" i="11"/>
  <c r="G654" i="11"/>
  <c r="G646" i="11"/>
  <c r="G638" i="11"/>
  <c r="G630" i="11"/>
  <c r="G622" i="11"/>
  <c r="G614" i="11"/>
  <c r="G606" i="11"/>
  <c r="G598" i="11"/>
  <c r="G590" i="11"/>
  <c r="G582" i="11"/>
  <c r="G574" i="11"/>
  <c r="G566" i="11"/>
  <c r="G558" i="11"/>
  <c r="G550" i="11"/>
  <c r="G542" i="11"/>
  <c r="G534" i="11"/>
  <c r="G526" i="11"/>
  <c r="G518" i="11"/>
  <c r="G510" i="11"/>
  <c r="G502" i="11"/>
  <c r="G494" i="11"/>
  <c r="G486" i="11"/>
  <c r="G478" i="11"/>
  <c r="G470" i="11"/>
  <c r="G462" i="11"/>
  <c r="G454" i="11"/>
  <c r="G446" i="11"/>
  <c r="G438" i="11"/>
  <c r="G430" i="11"/>
  <c r="G422" i="11"/>
  <c r="G414" i="11"/>
  <c r="G406" i="11"/>
  <c r="G398" i="11"/>
  <c r="G390" i="11"/>
  <c r="G382" i="11"/>
  <c r="G374" i="11"/>
  <c r="G366" i="11"/>
  <c r="G358" i="11"/>
  <c r="G350" i="11"/>
  <c r="G342" i="11"/>
  <c r="G334" i="11"/>
  <c r="G326" i="11"/>
  <c r="G318" i="11"/>
  <c r="G310" i="11"/>
  <c r="G302" i="11"/>
  <c r="G294" i="11"/>
  <c r="G286" i="11"/>
  <c r="G278" i="11"/>
  <c r="G270" i="11"/>
  <c r="G262" i="11"/>
  <c r="G254" i="11"/>
  <c r="G246" i="11"/>
  <c r="G238" i="11"/>
  <c r="G230" i="11"/>
  <c r="G222" i="11"/>
  <c r="G214" i="11"/>
  <c r="G206" i="11"/>
  <c r="G198" i="11"/>
  <c r="G190" i="11"/>
  <c r="G182" i="11"/>
  <c r="G174" i="11"/>
  <c r="G166" i="11"/>
  <c r="G158" i="11"/>
  <c r="G150" i="11"/>
  <c r="G142" i="11"/>
  <c r="G134" i="11"/>
  <c r="G126" i="11"/>
  <c r="G118" i="11"/>
  <c r="G110" i="11"/>
  <c r="G102" i="11"/>
  <c r="G94" i="11"/>
  <c r="G86" i="11"/>
  <c r="G78" i="11"/>
  <c r="G70" i="11"/>
  <c r="G62" i="11"/>
  <c r="G54" i="11"/>
  <c r="G46" i="11"/>
  <c r="G38" i="11"/>
  <c r="G30" i="11"/>
  <c r="G22" i="11"/>
  <c r="G14" i="11"/>
  <c r="G6" i="11"/>
  <c r="G1173" i="11"/>
  <c r="G1165" i="11"/>
  <c r="G1157" i="11"/>
  <c r="G1149" i="11"/>
  <c r="G1141" i="11"/>
  <c r="G1133" i="11"/>
  <c r="G1125" i="11"/>
  <c r="G1117" i="11"/>
  <c r="G1109" i="11"/>
  <c r="G1101" i="11"/>
  <c r="G1093" i="11"/>
  <c r="G1085" i="11"/>
  <c r="G1077" i="11"/>
  <c r="G1069" i="11"/>
  <c r="G1061" i="11"/>
  <c r="G1053" i="11"/>
  <c r="G1045" i="11"/>
  <c r="G1037" i="11"/>
  <c r="G1029" i="11"/>
  <c r="G1021" i="11"/>
  <c r="G1013" i="11"/>
  <c r="G1005" i="11"/>
  <c r="G997" i="11"/>
  <c r="G989" i="11"/>
  <c r="G981" i="11"/>
  <c r="G973" i="11"/>
  <c r="G965" i="11"/>
  <c r="G957" i="11"/>
  <c r="G949" i="11"/>
  <c r="G941" i="11"/>
  <c r="G933" i="11"/>
  <c r="G925" i="11"/>
  <c r="G917" i="11"/>
  <c r="G909" i="11"/>
  <c r="G901" i="11"/>
  <c r="G893" i="11"/>
  <c r="G885" i="11"/>
  <c r="G877" i="11"/>
  <c r="G869" i="11"/>
  <c r="G861" i="11"/>
  <c r="G853" i="11"/>
  <c r="G845" i="11"/>
  <c r="G837" i="11"/>
  <c r="G829" i="11"/>
  <c r="G821" i="11"/>
  <c r="G813" i="11"/>
  <c r="G805" i="11"/>
  <c r="G797" i="11"/>
  <c r="G789" i="11"/>
  <c r="G781" i="11"/>
  <c r="G773" i="11"/>
  <c r="G765" i="11"/>
  <c r="G757" i="11"/>
  <c r="G749" i="11"/>
  <c r="G741" i="11"/>
  <c r="G733" i="11"/>
  <c r="G725" i="11"/>
  <c r="G717" i="11"/>
  <c r="G709" i="11"/>
  <c r="G701" i="11"/>
  <c r="G693" i="11"/>
  <c r="G685" i="11"/>
  <c r="G677" i="11"/>
  <c r="G669" i="11"/>
  <c r="G661" i="11"/>
  <c r="G653" i="11"/>
  <c r="G645" i="11"/>
  <c r="G637" i="11"/>
  <c r="G629" i="11"/>
  <c r="G621" i="11"/>
  <c r="G613" i="11"/>
  <c r="G605" i="11"/>
  <c r="G597" i="11"/>
  <c r="G589" i="11"/>
  <c r="G581" i="11"/>
  <c r="G573" i="11"/>
  <c r="G565" i="11"/>
  <c r="G557" i="11"/>
  <c r="G549" i="11"/>
  <c r="G541" i="11"/>
  <c r="G533" i="11"/>
  <c r="G525" i="11"/>
  <c r="G517" i="11"/>
  <c r="G509" i="11"/>
  <c r="G501" i="11"/>
  <c r="G493" i="11"/>
  <c r="G485" i="11"/>
  <c r="G477" i="11"/>
  <c r="G469" i="11"/>
  <c r="G461" i="11"/>
  <c r="G453" i="11"/>
  <c r="G445" i="11"/>
  <c r="G437" i="11"/>
  <c r="G429" i="11"/>
  <c r="G421" i="11"/>
  <c r="G413" i="11"/>
  <c r="G405" i="11"/>
  <c r="G397" i="11"/>
  <c r="G389" i="11"/>
  <c r="G381" i="11"/>
  <c r="G373" i="11"/>
  <c r="G365" i="11"/>
  <c r="G357" i="11"/>
  <c r="G349" i="11"/>
  <c r="G341" i="11"/>
  <c r="G333" i="11"/>
  <c r="G325" i="11"/>
  <c r="G317" i="11"/>
  <c r="G309" i="11"/>
  <c r="G301" i="11"/>
  <c r="G293" i="11"/>
  <c r="G285" i="11"/>
  <c r="G277" i="11"/>
  <c r="G269" i="11"/>
  <c r="G261" i="11"/>
  <c r="G253" i="11"/>
  <c r="G245" i="11"/>
  <c r="G237" i="11"/>
  <c r="G229" i="11"/>
  <c r="G221" i="11"/>
  <c r="G213" i="11"/>
  <c r="G205" i="11"/>
  <c r="G197" i="11"/>
  <c r="G189" i="11"/>
  <c r="G181" i="11"/>
  <c r="G173" i="11"/>
  <c r="G165" i="11"/>
  <c r="G157" i="11"/>
  <c r="G149" i="11"/>
  <c r="G141" i="11"/>
  <c r="G133" i="11"/>
  <c r="G125" i="11"/>
  <c r="G117" i="11"/>
  <c r="G109" i="11"/>
  <c r="G101" i="11"/>
  <c r="G93" i="11"/>
  <c r="G85" i="11"/>
  <c r="G77" i="11"/>
  <c r="G69" i="11"/>
  <c r="G61" i="11"/>
  <c r="G53" i="11"/>
  <c r="G45" i="11"/>
  <c r="G37" i="11"/>
  <c r="G29" i="11"/>
  <c r="G21" i="11"/>
  <c r="G13" i="11"/>
  <c r="G5" i="11"/>
  <c r="G932" i="11"/>
  <c r="G924" i="11"/>
  <c r="G916" i="11"/>
  <c r="G908" i="11"/>
  <c r="G900" i="11"/>
  <c r="G892" i="11"/>
  <c r="G884" i="11"/>
  <c r="G876" i="11"/>
  <c r="G868" i="11"/>
  <c r="G860" i="11"/>
  <c r="G852" i="11"/>
  <c r="G844" i="11"/>
  <c r="G836" i="11"/>
  <c r="G828" i="11"/>
  <c r="G820" i="11"/>
  <c r="G812" i="11"/>
  <c r="G804" i="11"/>
  <c r="G796" i="11"/>
  <c r="G788" i="11"/>
  <c r="G780" i="11"/>
  <c r="G772" i="11"/>
  <c r="G764" i="11"/>
  <c r="G756" i="11"/>
  <c r="G748" i="11"/>
  <c r="G740" i="11"/>
  <c r="G732" i="11"/>
  <c r="G724" i="11"/>
  <c r="G716" i="11"/>
  <c r="G708" i="11"/>
  <c r="G700" i="11"/>
  <c r="G692" i="11"/>
  <c r="G684" i="11"/>
  <c r="G676" i="11"/>
  <c r="G668" i="11"/>
  <c r="G660" i="11"/>
  <c r="G652" i="11"/>
  <c r="G644" i="11"/>
  <c r="G636" i="11"/>
  <c r="G628" i="11"/>
  <c r="G620" i="11"/>
  <c r="G612" i="11"/>
  <c r="G604" i="11"/>
  <c r="G596" i="11"/>
  <c r="G588" i="11"/>
  <c r="G580" i="11"/>
  <c r="G572" i="11"/>
  <c r="G564" i="11"/>
  <c r="G556" i="11"/>
  <c r="G548" i="11"/>
  <c r="G540" i="11"/>
  <c r="G532" i="11"/>
  <c r="G524" i="11"/>
  <c r="G516" i="11"/>
  <c r="G508" i="11"/>
  <c r="G500" i="11"/>
  <c r="G492" i="11"/>
  <c r="G484" i="11"/>
  <c r="G476" i="11"/>
  <c r="G468" i="11"/>
  <c r="G460" i="11"/>
  <c r="G452" i="11"/>
  <c r="G444" i="11"/>
  <c r="G436" i="11"/>
  <c r="G428" i="11"/>
  <c r="G420" i="11"/>
  <c r="G412" i="11"/>
  <c r="G404" i="11"/>
  <c r="G396" i="11"/>
  <c r="G388" i="11"/>
  <c r="G380" i="11"/>
  <c r="G372" i="11"/>
  <c r="G364" i="11"/>
  <c r="G356" i="11"/>
  <c r="G348" i="11"/>
  <c r="G340" i="11"/>
  <c r="G332" i="11"/>
  <c r="G324" i="11"/>
  <c r="G316" i="11"/>
  <c r="G308" i="11"/>
  <c r="G300" i="11"/>
  <c r="G292" i="11"/>
  <c r="G284" i="11"/>
  <c r="G276" i="11"/>
  <c r="G268" i="11"/>
  <c r="G260" i="11"/>
  <c r="G252" i="11"/>
  <c r="G244" i="11"/>
  <c r="G236" i="11"/>
  <c r="G228" i="11"/>
  <c r="G220" i="11"/>
  <c r="G212" i="11"/>
  <c r="G204" i="11"/>
  <c r="G196" i="11"/>
  <c r="G188" i="11"/>
  <c r="G180" i="11"/>
  <c r="G172" i="11"/>
  <c r="G164" i="11"/>
  <c r="G156" i="11"/>
  <c r="G148" i="11"/>
  <c r="G140" i="11"/>
  <c r="G132" i="11"/>
  <c r="G124" i="11"/>
  <c r="G116" i="11"/>
  <c r="G108" i="11"/>
  <c r="G100" i="11"/>
  <c r="G92" i="11"/>
  <c r="G84" i="11"/>
  <c r="G76" i="11"/>
  <c r="G68" i="11"/>
  <c r="G60" i="11"/>
  <c r="G52" i="11"/>
  <c r="G44" i="11"/>
  <c r="G36" i="11"/>
  <c r="G28" i="11"/>
  <c r="G20" i="11"/>
  <c r="G12" i="11"/>
  <c r="G4" i="11"/>
  <c r="G1035" i="11"/>
  <c r="G1027" i="11"/>
  <c r="G1019" i="11"/>
  <c r="G1011" i="11"/>
  <c r="G1003" i="11"/>
  <c r="G995" i="11"/>
  <c r="G987" i="11"/>
  <c r="G979" i="11"/>
  <c r="G971" i="11"/>
  <c r="G963" i="11"/>
  <c r="G955" i="11"/>
  <c r="G947" i="11"/>
  <c r="G939" i="11"/>
  <c r="G931" i="11"/>
  <c r="G923" i="11"/>
  <c r="G915" i="11"/>
  <c r="G907" i="11"/>
  <c r="G899" i="11"/>
  <c r="G891" i="11"/>
  <c r="G883" i="11"/>
  <c r="G875" i="11"/>
  <c r="G867" i="11"/>
  <c r="G859" i="11"/>
  <c r="G851" i="11"/>
  <c r="G843" i="11"/>
  <c r="G835" i="11"/>
  <c r="G827" i="11"/>
  <c r="G819" i="11"/>
  <c r="G811" i="11"/>
  <c r="G803" i="11"/>
  <c r="G795" i="11"/>
  <c r="G787" i="11"/>
  <c r="G779" i="11"/>
  <c r="G771" i="11"/>
  <c r="G763" i="11"/>
  <c r="G755" i="11"/>
  <c r="G747" i="11"/>
  <c r="G739" i="11"/>
  <c r="G731" i="11"/>
  <c r="G723" i="11"/>
  <c r="G715" i="11"/>
  <c r="G707" i="11"/>
  <c r="G699" i="11"/>
  <c r="G691" i="11"/>
  <c r="G683" i="11"/>
  <c r="G675" i="11"/>
  <c r="G667" i="11"/>
  <c r="G659" i="11"/>
  <c r="G651" i="11"/>
  <c r="G643" i="11"/>
  <c r="G635" i="11"/>
  <c r="G627" i="11"/>
  <c r="G619" i="11"/>
  <c r="G611" i="11"/>
  <c r="G603" i="11"/>
  <c r="G595" i="11"/>
  <c r="G587" i="11"/>
  <c r="G579" i="11"/>
  <c r="G571" i="11"/>
  <c r="G563" i="11"/>
  <c r="G555" i="11"/>
  <c r="G547" i="11"/>
  <c r="G539" i="11"/>
  <c r="G531" i="11"/>
  <c r="G523" i="11"/>
  <c r="G515" i="11"/>
  <c r="G507" i="11"/>
  <c r="G499" i="11"/>
  <c r="G491" i="11"/>
  <c r="G483" i="11"/>
  <c r="G475" i="11"/>
  <c r="G467" i="11"/>
  <c r="G459" i="11"/>
  <c r="G451" i="11"/>
  <c r="G443" i="11"/>
  <c r="G435" i="11"/>
  <c r="G427" i="11"/>
  <c r="G419" i="11"/>
  <c r="G411" i="11"/>
  <c r="G403" i="11"/>
  <c r="G395" i="11"/>
  <c r="G387" i="11"/>
  <c r="G379" i="11"/>
  <c r="G371" i="11"/>
  <c r="G363" i="11"/>
  <c r="G355" i="11"/>
  <c r="G347" i="11"/>
  <c r="G339" i="11"/>
  <c r="G331" i="11"/>
  <c r="G323" i="11"/>
  <c r="G315" i="11"/>
  <c r="G307" i="11"/>
  <c r="G299" i="11"/>
  <c r="G291" i="11"/>
  <c r="G283" i="11"/>
  <c r="G275" i="11"/>
  <c r="G267" i="11"/>
  <c r="G259" i="11"/>
  <c r="G251" i="11"/>
  <c r="G243" i="11"/>
  <c r="G235" i="11"/>
  <c r="G227" i="11"/>
  <c r="G219" i="11"/>
  <c r="G211" i="11"/>
  <c r="G203" i="11"/>
  <c r="G195" i="11"/>
  <c r="G187" i="11"/>
  <c r="G179" i="11"/>
  <c r="G171" i="11"/>
  <c r="G163" i="11"/>
  <c r="G155" i="11"/>
  <c r="G147" i="11"/>
  <c r="G139" i="11"/>
  <c r="G131" i="11"/>
  <c r="G123" i="11"/>
  <c r="G115" i="11"/>
  <c r="G107" i="11"/>
  <c r="G99" i="11"/>
  <c r="G91" i="11"/>
  <c r="G83" i="11"/>
  <c r="G75" i="11"/>
  <c r="G67" i="11"/>
  <c r="G59" i="11"/>
  <c r="G51" i="11"/>
  <c r="G43" i="11"/>
  <c r="G35" i="11"/>
  <c r="G27" i="11"/>
  <c r="G19" i="11"/>
  <c r="G11" i="11"/>
  <c r="G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F15B5F-0331-4389-8725-AEB18C7604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2F6C696-06A9-4BA6-BEAE-3687EE8ED0A7}" name="WorksheetConnection_IIP Dashboard.xlsx!Table1" type="102" refreshedVersion="8" minRefreshableVersion="5">
    <extLst>
      <ext xmlns:x15="http://schemas.microsoft.com/office/spreadsheetml/2010/11/main" uri="{DE250136-89BD-433C-8126-D09CA5730AF9}">
        <x15:connection id="Table1" autoDelete="1">
          <x15:rangePr sourceName="_xlcn.WorksheetConnection_IIPDashboard.xlsxTable1"/>
        </x15:connection>
      </ext>
    </extLst>
  </connection>
</connections>
</file>

<file path=xl/sharedStrings.xml><?xml version="1.0" encoding="utf-8"?>
<sst xmlns="http://schemas.openxmlformats.org/spreadsheetml/2006/main" count="16050" uniqueCount="73">
  <si>
    <t>Employee ID</t>
  </si>
  <si>
    <t>Department</t>
  </si>
  <si>
    <t>Join Date</t>
  </si>
  <si>
    <t>Exit Date</t>
  </si>
  <si>
    <t>Exit Reason</t>
  </si>
  <si>
    <t>Status</t>
  </si>
  <si>
    <t>Gender</t>
  </si>
  <si>
    <t>Age</t>
  </si>
  <si>
    <t>Seniority</t>
  </si>
  <si>
    <t>Country</t>
  </si>
  <si>
    <t>IT</t>
  </si>
  <si>
    <t>Active</t>
  </si>
  <si>
    <t>Female</t>
  </si>
  <si>
    <t>Senior Manager</t>
  </si>
  <si>
    <t>Ghana</t>
  </si>
  <si>
    <t>Customer Support</t>
  </si>
  <si>
    <t>Mid-Level</t>
  </si>
  <si>
    <t>Nigeria</t>
  </si>
  <si>
    <t>Male</t>
  </si>
  <si>
    <t>Namibia</t>
  </si>
  <si>
    <t>Team Leader</t>
  </si>
  <si>
    <t>Kenya</t>
  </si>
  <si>
    <t>Better Opportunity</t>
  </si>
  <si>
    <t>Exited</t>
  </si>
  <si>
    <t>Manager</t>
  </si>
  <si>
    <t>Mozambique</t>
  </si>
  <si>
    <t>Marketing</t>
  </si>
  <si>
    <t>Retirement</t>
  </si>
  <si>
    <t>Liberia</t>
  </si>
  <si>
    <t>Finance</t>
  </si>
  <si>
    <t>Entry Level</t>
  </si>
  <si>
    <t>Angola</t>
  </si>
  <si>
    <t>South Africa</t>
  </si>
  <si>
    <t>Tanzania</t>
  </si>
  <si>
    <t>Sales</t>
  </si>
  <si>
    <t>Togo</t>
  </si>
  <si>
    <t>HR</t>
  </si>
  <si>
    <t>Côte-d'Ivoire</t>
  </si>
  <si>
    <t>Termination</t>
  </si>
  <si>
    <t>Executive</t>
  </si>
  <si>
    <t>Health Issues</t>
  </si>
  <si>
    <t>Relocation</t>
  </si>
  <si>
    <t>Senior Level</t>
  </si>
  <si>
    <t>Personal Reasons</t>
  </si>
  <si>
    <t>Intern</t>
  </si>
  <si>
    <t>Employee Turnover Analysis</t>
  </si>
  <si>
    <t>Internal Rotation</t>
  </si>
  <si>
    <r>
      <rPr>
        <b/>
        <sz val="11"/>
        <color theme="1"/>
        <rFont val="Aptos Narrow"/>
        <family val="2"/>
        <scheme val="minor"/>
      </rPr>
      <t>Create an interactive Employee Turnover Dashboard using the dataset provided in this workbook. Include dynamic visuals, slicers, and PivotTables.</t>
    </r>
    <r>
      <rPr>
        <sz val="11"/>
        <color theme="1"/>
        <rFont val="Aptos Narrow"/>
        <family val="2"/>
        <scheme val="minor"/>
      </rPr>
      <t xml:space="preserve">
</t>
    </r>
    <r>
      <rPr>
        <b/>
        <sz val="11"/>
        <color theme="1"/>
        <rFont val="Aptos Narrow"/>
        <family val="2"/>
        <scheme val="minor"/>
      </rPr>
      <t>Scenario</t>
    </r>
    <r>
      <rPr>
        <sz val="11"/>
        <color theme="1"/>
        <rFont val="Aptos Narrow"/>
        <family val="2"/>
        <scheme val="minor"/>
      </rPr>
      <t xml:space="preserve">: You are the Data Analyst of Company ABC. ABC provides goods and services that are delicate in nature and requires highly skilled professionals. Job safety has been a recent concern, so ABC is concerned about staff health and employee turnover rates. 
To mitigate the concerns, ABS has launched various programs for employee developement and retention. Efforts have also been put in place to equalize number of male and female employees. 
You have been asked to provide a dashboard with valuable insights, allowing HR professionals to monitor turnover trends and improve retention strategies: 
- Global headcount by department, if possible showing male and female employees
- Fluctuation rates (hires vs exits) over the years (employee turnover) and reasons for exit
</t>
    </r>
    <r>
      <rPr>
        <b/>
        <sz val="11"/>
        <color theme="1"/>
        <rFont val="Aptos Narrow"/>
        <family val="2"/>
        <scheme val="minor"/>
      </rPr>
      <t xml:space="preserve">The dataset gives you following raw information:
</t>
    </r>
    <r>
      <rPr>
        <sz val="11"/>
        <color theme="1"/>
        <rFont val="Aptos Narrow"/>
        <family val="2"/>
        <scheme val="minor"/>
      </rPr>
      <t xml:space="preserve">- Start and Exit Dates
- Exit Reason
- Gender and Age
- Seniority Level
- Location
</t>
    </r>
  </si>
  <si>
    <t>Not Applicable</t>
  </si>
  <si>
    <t>Join Year</t>
  </si>
  <si>
    <t>Exit Year</t>
  </si>
  <si>
    <t>(All)</t>
  </si>
  <si>
    <t>Row Labels</t>
  </si>
  <si>
    <t>Grand Total</t>
  </si>
  <si>
    <t>Year of Service</t>
  </si>
  <si>
    <t>Average of Year of Service</t>
  </si>
  <si>
    <t>Column Labels</t>
  </si>
  <si>
    <t>2018</t>
  </si>
  <si>
    <t>2019</t>
  </si>
  <si>
    <t>2020</t>
  </si>
  <si>
    <t>2021</t>
  </si>
  <si>
    <t>2022</t>
  </si>
  <si>
    <t>2023</t>
  </si>
  <si>
    <t>2024</t>
  </si>
  <si>
    <t>Qtr1</t>
  </si>
  <si>
    <t>Qtr3</t>
  </si>
  <si>
    <t>Qtr4</t>
  </si>
  <si>
    <t>Qtr2</t>
  </si>
  <si>
    <t>Count of Status</t>
  </si>
  <si>
    <t>Count of Employee ID</t>
  </si>
  <si>
    <t>Total</t>
  </si>
  <si>
    <t>Attrition rate</t>
  </si>
  <si>
    <t>Age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</si>
</sst>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20"/>
      <color theme="5" tint="-0.249977111117893"/>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2" borderId="0" xfId="0" applyFill="1"/>
    <xf numFmtId="0" fontId="0" fillId="4" borderId="0" xfId="0" applyFill="1"/>
    <xf numFmtId="0" fontId="0" fillId="4" borderId="0" xfId="0" applyFill="1" applyAlignment="1">
      <alignment vertical="center" wrapText="1"/>
    </xf>
    <xf numFmtId="0" fontId="0" fillId="3" borderId="0" xfId="0" applyFill="1"/>
    <xf numFmtId="0" fontId="0" fillId="5" borderId="0" xfId="0" applyFill="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9" fontId="0" fillId="0" borderId="0" xfId="1" applyFont="1"/>
    <xf numFmtId="0" fontId="2" fillId="3" borderId="0" xfId="0" applyFont="1" applyFill="1" applyAlignment="1">
      <alignment horizontal="center" vertical="center"/>
    </xf>
    <xf numFmtId="0" fontId="0" fillId="3" borderId="0" xfId="0" applyFill="1" applyAlignment="1">
      <alignment horizontal="left" vertical="center" wrapText="1"/>
    </xf>
  </cellXfs>
  <cellStyles count="2">
    <cellStyle name="Normal" xfId="0" builtinId="0"/>
    <cellStyle name="Percent" xfId="1" builtinId="5"/>
  </cellStyles>
  <dxfs count="7">
    <dxf>
      <numFmt numFmtId="1" formatCode="0"/>
    </dxf>
    <dxf>
      <numFmt numFmtId="0" formatCode="General"/>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colors>
    <mruColors>
      <color rgb="FFF3C273"/>
      <color rgb="FFCCFF33"/>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[Abubakar Toyeeb Olamilekan IIP Dashboard.xlsx]Pivot table!PivotTable11</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3"/>
        <c:spPr>
          <a:solidFill>
            <a:schemeClr val="accent3">
              <a:lumMod val="75000"/>
            </a:schemeClr>
          </a:solidFill>
          <a:ln>
            <a:noFill/>
          </a:ln>
          <a:effectLst>
            <a:outerShdw blurRad="57150" dist="19050" dir="5400000" algn="ctr" rotWithShape="0">
              <a:srgbClr val="000000">
                <a:alpha val="63000"/>
              </a:srgbClr>
            </a:outerShdw>
          </a:effectLst>
        </c:spPr>
      </c:pivotFmt>
      <c:pivotFmt>
        <c:idx val="4"/>
        <c:spPr>
          <a:solidFill>
            <a:schemeClr val="bg2">
              <a:lumMod val="25000"/>
            </a:schemeClr>
          </a:solidFill>
          <a:ln>
            <a:noFill/>
          </a:ln>
          <a:effectLst>
            <a:outerShdw blurRad="57150" dist="19050" dir="5400000" algn="ctr" rotWithShape="0">
              <a:srgbClr val="000000">
                <a:alpha val="63000"/>
              </a:srgbClr>
            </a:outerShdw>
          </a:effectLst>
        </c:spPr>
      </c:pivotFmt>
      <c:pivotFmt>
        <c:idx val="5"/>
        <c:spPr>
          <a:solidFill>
            <a:schemeClr val="accent3">
              <a:lumMod val="20000"/>
              <a:lumOff val="80000"/>
            </a:schemeClr>
          </a:solidFill>
          <a:ln>
            <a:noFill/>
          </a:ln>
          <a:effectLst>
            <a:outerShdw blurRad="57150" dist="19050" dir="5400000" algn="ctr" rotWithShape="0">
              <a:srgbClr val="000000">
                <a:alpha val="63000"/>
              </a:srgbClr>
            </a:outerShdw>
          </a:effectLst>
        </c:spPr>
      </c:pivotFmt>
      <c:pivotFmt>
        <c:idx val="6"/>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7"/>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lumMod val="75000"/>
            </a:schemeClr>
          </a:solidFill>
          <a:ln>
            <a:noFill/>
          </a:ln>
          <a:effectLst>
            <a:outerShdw blurRad="57150" dist="19050" dir="5400000" algn="ctr" rotWithShape="0">
              <a:srgbClr val="000000">
                <a:alpha val="63000"/>
              </a:srgbClr>
            </a:outerShdw>
          </a:effectLst>
        </c:spPr>
      </c:pivotFmt>
      <c:pivotFmt>
        <c:idx val="10"/>
        <c:spPr>
          <a:solidFill>
            <a:schemeClr val="accent3">
              <a:lumMod val="20000"/>
              <a:lumOff val="80000"/>
            </a:schemeClr>
          </a:solidFill>
          <a:ln>
            <a:noFill/>
          </a:ln>
          <a:effectLst>
            <a:outerShdw blurRad="57150" dist="19050" dir="5400000" algn="ctr" rotWithShape="0">
              <a:srgbClr val="000000">
                <a:alpha val="63000"/>
              </a:srgbClr>
            </a:outerShdw>
          </a:effectLst>
        </c:spPr>
      </c:pivotFmt>
      <c:pivotFmt>
        <c:idx val="11"/>
        <c:spPr>
          <a:solidFill>
            <a:schemeClr val="bg2">
              <a:lumMod val="25000"/>
            </a:schemeClr>
          </a:solidFill>
          <a:ln>
            <a:noFill/>
          </a:ln>
          <a:effectLst>
            <a:outerShdw blurRad="57150" dist="19050" dir="5400000" algn="ctr" rotWithShape="0">
              <a:srgbClr val="000000">
                <a:alpha val="63000"/>
              </a:srgbClr>
            </a:outerShdw>
          </a:effectLst>
        </c:spPr>
      </c:pivotFmt>
      <c:pivotFmt>
        <c:idx val="12"/>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13"/>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14"/>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60000"/>
              <a:lumOff val="40000"/>
            </a:schemeClr>
          </a:solidFill>
          <a:ln>
            <a:noFill/>
          </a:ln>
          <a:effectLst>
            <a:outerShdw blurRad="57150" dist="19050" dir="5400000" algn="ctr" rotWithShape="0">
              <a:srgbClr val="000000">
                <a:alpha val="63000"/>
              </a:srgbClr>
            </a:outerShdw>
          </a:effectLst>
        </c:spPr>
      </c:pivotFmt>
      <c:pivotFmt>
        <c:idx val="24"/>
        <c:spPr>
          <a:solidFill>
            <a:schemeClr val="bg2">
              <a:lumMod val="75000"/>
            </a:schemeClr>
          </a:solidFill>
          <a:ln>
            <a:noFill/>
          </a:ln>
          <a:effectLst>
            <a:outerShdw blurRad="57150" dist="19050" dir="5400000" algn="ctr" rotWithShape="0">
              <a:srgbClr val="000000">
                <a:alpha val="63000"/>
              </a:srgbClr>
            </a:outerShdw>
          </a:effectLst>
        </c:spPr>
      </c:pivotFmt>
      <c:pivotFmt>
        <c:idx val="25"/>
        <c:spPr>
          <a:solidFill>
            <a:schemeClr val="accent5">
              <a:lumMod val="20000"/>
              <a:lumOff val="80000"/>
            </a:schemeClr>
          </a:solidFill>
          <a:ln>
            <a:noFill/>
          </a:ln>
          <a:effectLst>
            <a:outerShdw blurRad="57150" dist="19050" dir="5400000" algn="ctr" rotWithShape="0">
              <a:srgbClr val="000000">
                <a:alpha val="63000"/>
              </a:srgbClr>
            </a:outerShdw>
          </a:effectLst>
        </c:spPr>
      </c:pivotFmt>
      <c:pivotFmt>
        <c:idx val="26"/>
        <c:spPr>
          <a:solidFill>
            <a:schemeClr val="accent4">
              <a:lumMod val="20000"/>
              <a:lumOff val="80000"/>
            </a:schemeClr>
          </a:solidFill>
          <a:ln>
            <a:noFill/>
          </a:ln>
          <a:effectLst>
            <a:outerShdw blurRad="57150" dist="19050" dir="5400000" algn="ctr" rotWithShape="0">
              <a:srgbClr val="000000">
                <a:alpha val="63000"/>
              </a:srgbClr>
            </a:outerShdw>
          </a:effectLst>
        </c:spPr>
      </c:pivotFmt>
      <c:pivotFmt>
        <c:idx val="27"/>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28"/>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table'!$N$20:$N$21</c:f>
              <c:strCache>
                <c:ptCount val="1"/>
                <c:pt idx="0">
                  <c:v>Active</c:v>
                </c:pt>
              </c:strCache>
            </c:strRef>
          </c:tx>
          <c:explosion val="3"/>
          <c:dPt>
            <c:idx val="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51-475B-92FB-E5763405EFEB}"/>
              </c:ext>
            </c:extLst>
          </c:dPt>
          <c:dPt>
            <c:idx val="1"/>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51-475B-92FB-E5763405EFEB}"/>
              </c:ext>
            </c:extLst>
          </c:dPt>
          <c:dPt>
            <c:idx val="2"/>
            <c:bubble3D val="0"/>
            <c:spPr>
              <a:solidFill>
                <a:schemeClr val="accent5">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51-475B-92FB-E5763405EFEB}"/>
              </c:ext>
            </c:extLst>
          </c:dPt>
          <c:dPt>
            <c:idx val="3"/>
            <c:bubble3D val="0"/>
            <c:spPr>
              <a:solidFill>
                <a:schemeClr val="accent4">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E51-475B-92FB-E5763405EFEB}"/>
              </c:ext>
            </c:extLst>
          </c:dPt>
          <c:dPt>
            <c:idx val="4"/>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E51-475B-92FB-E5763405EFEB}"/>
              </c:ext>
            </c:extLst>
          </c:dPt>
          <c:dPt>
            <c:idx val="5"/>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E51-475B-92FB-E5763405EFE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table'!$M$22:$M$27</c:f>
              <c:strCache>
                <c:ptCount val="6"/>
                <c:pt idx="0">
                  <c:v>Customer Support</c:v>
                </c:pt>
                <c:pt idx="1">
                  <c:v>Finance</c:v>
                </c:pt>
                <c:pt idx="2">
                  <c:v>HR</c:v>
                </c:pt>
                <c:pt idx="3">
                  <c:v>IT</c:v>
                </c:pt>
                <c:pt idx="4">
                  <c:v>Marketing</c:v>
                </c:pt>
                <c:pt idx="5">
                  <c:v>Sales</c:v>
                </c:pt>
              </c:strCache>
            </c:strRef>
          </c:cat>
          <c:val>
            <c:numRef>
              <c:f>'Pivot table'!$N$22:$N$27</c:f>
              <c:numCache>
                <c:formatCode>General</c:formatCode>
                <c:ptCount val="6"/>
                <c:pt idx="0">
                  <c:v>432</c:v>
                </c:pt>
                <c:pt idx="1">
                  <c:v>96</c:v>
                </c:pt>
                <c:pt idx="2">
                  <c:v>288</c:v>
                </c:pt>
                <c:pt idx="3">
                  <c:v>288</c:v>
                </c:pt>
                <c:pt idx="4">
                  <c:v>192</c:v>
                </c:pt>
                <c:pt idx="5">
                  <c:v>192</c:v>
                </c:pt>
              </c:numCache>
            </c:numRef>
          </c:val>
          <c:extLst>
            <c:ext xmlns:c16="http://schemas.microsoft.com/office/drawing/2014/chart" uri="{C3380CC4-5D6E-409C-BE32-E72D297353CC}">
              <c16:uniqueId val="{0000000C-CE51-475B-92FB-E5763405EFEB}"/>
            </c:ext>
          </c:extLst>
        </c:ser>
        <c:ser>
          <c:idx val="1"/>
          <c:order val="1"/>
          <c:tx>
            <c:strRef>
              <c:f>'Pivot table'!$O$20:$O$21</c:f>
              <c:strCache>
                <c:ptCount val="1"/>
                <c:pt idx="0">
                  <c:v>Exited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43B-4E1C-A4C5-AB1C38CF0A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43B-4E1C-A4C5-AB1C38CF0AA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43B-4E1C-A4C5-AB1C38CF0AA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43B-4E1C-A4C5-AB1C38CF0AA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43B-4E1C-A4C5-AB1C38CF0AA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43B-4E1C-A4C5-AB1C38CF0A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table'!$M$22:$M$27</c:f>
              <c:strCache>
                <c:ptCount val="6"/>
                <c:pt idx="0">
                  <c:v>Customer Support</c:v>
                </c:pt>
                <c:pt idx="1">
                  <c:v>Finance</c:v>
                </c:pt>
                <c:pt idx="2">
                  <c:v>HR</c:v>
                </c:pt>
                <c:pt idx="3">
                  <c:v>IT</c:v>
                </c:pt>
                <c:pt idx="4">
                  <c:v>Marketing</c:v>
                </c:pt>
                <c:pt idx="5">
                  <c:v>Sales</c:v>
                </c:pt>
              </c:strCache>
            </c:strRef>
          </c:cat>
          <c:val>
            <c:numRef>
              <c:f>'Pivot table'!$O$22:$O$27</c:f>
              <c:numCache>
                <c:formatCode>General</c:formatCode>
                <c:ptCount val="6"/>
                <c:pt idx="0">
                  <c:v>144</c:v>
                </c:pt>
                <c:pt idx="1">
                  <c:v>144</c:v>
                </c:pt>
                <c:pt idx="2">
                  <c:v>48</c:v>
                </c:pt>
                <c:pt idx="3">
                  <c:v>240</c:v>
                </c:pt>
                <c:pt idx="4">
                  <c:v>240</c:v>
                </c:pt>
                <c:pt idx="5">
                  <c:v>96</c:v>
                </c:pt>
              </c:numCache>
            </c:numRef>
          </c:val>
          <c:extLst>
            <c:ext xmlns:c16="http://schemas.microsoft.com/office/drawing/2014/chart" uri="{C3380CC4-5D6E-409C-BE32-E72D297353CC}">
              <c16:uniqueId val="{0000001B-CE51-475B-92FB-E5763405EF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345650049673518"/>
          <c:y val="6.9473622851028968E-2"/>
          <c:w val="0.35433686531501507"/>
          <c:h val="0.861052754297942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[Abubakar Toyeeb Olamilekan IIP Dashboard.xlsx]Pivot table!PivotTable7</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s>
    <c:plotArea>
      <c:layout/>
      <c:lineChart>
        <c:grouping val="standard"/>
        <c:varyColors val="0"/>
        <c:ser>
          <c:idx val="0"/>
          <c:order val="0"/>
          <c:tx>
            <c:strRef>
              <c:f>'Pivot table'!$N$31</c:f>
              <c:strCache>
                <c:ptCount val="1"/>
                <c:pt idx="0">
                  <c:v>Total</c:v>
                </c:pt>
              </c:strCache>
            </c:strRef>
          </c:tx>
          <c:spPr>
            <a:ln w="28575" cap="rnd">
              <a:solidFill>
                <a:schemeClr val="accent6">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Downward</c:name>
            <c:spPr>
              <a:ln w="19050" cap="rnd">
                <a:solidFill>
                  <a:srgbClr val="FF0000"/>
                </a:solidFill>
                <a:prstDash val="sysDot"/>
                <a:headEnd type="none" w="med" len="med"/>
                <a:tailEnd type="triangle" w="med" len="med"/>
              </a:ln>
              <a:effectLst/>
            </c:spPr>
            <c:trendlineType val="linear"/>
            <c:dispRSqr val="0"/>
            <c:dispEq val="0"/>
          </c:trendline>
          <c:cat>
            <c:multiLvlStrRef>
              <c:f>'Pivot table'!$M$32:$M$61</c:f>
              <c:multiLvlStrCache>
                <c:ptCount val="23"/>
                <c:lvl>
                  <c:pt idx="0">
                    <c:v>Qtr1</c:v>
                  </c:pt>
                  <c:pt idx="1">
                    <c:v>Qtr3</c:v>
                  </c:pt>
                  <c:pt idx="2">
                    <c:v>Qtr4</c:v>
                  </c:pt>
                  <c:pt idx="3">
                    <c:v>Qtr1</c:v>
                  </c:pt>
                  <c:pt idx="4">
                    <c:v>Qtr2</c:v>
                  </c:pt>
                  <c:pt idx="5">
                    <c:v>Qtr3</c:v>
                  </c:pt>
                  <c:pt idx="6">
                    <c:v>Qtr2</c:v>
                  </c:pt>
                  <c:pt idx="7">
                    <c:v>Qtr3</c:v>
                  </c:pt>
                  <c:pt idx="8">
                    <c:v>Qtr4</c:v>
                  </c:pt>
                  <c:pt idx="9">
                    <c:v>Qtr1</c:v>
                  </c:pt>
                  <c:pt idx="10">
                    <c:v>Qtr2</c:v>
                  </c:pt>
                  <c:pt idx="11">
                    <c:v>Qtr3</c:v>
                  </c:pt>
                  <c:pt idx="12">
                    <c:v>Qtr4</c:v>
                  </c:pt>
                  <c:pt idx="13">
                    <c:v>Qtr1</c:v>
                  </c:pt>
                  <c:pt idx="14">
                    <c:v>Qtr3</c:v>
                  </c:pt>
                  <c:pt idx="15">
                    <c:v>Qtr4</c:v>
                  </c:pt>
                  <c:pt idx="16">
                    <c:v>Qtr1</c:v>
                  </c:pt>
                  <c:pt idx="17">
                    <c:v>Qtr2</c:v>
                  </c:pt>
                  <c:pt idx="18">
                    <c:v>Qtr4</c:v>
                  </c:pt>
                  <c:pt idx="19">
                    <c:v>Qtr1</c:v>
                  </c:pt>
                  <c:pt idx="20">
                    <c:v>Qtr2</c:v>
                  </c:pt>
                  <c:pt idx="21">
                    <c:v>Qtr3</c:v>
                  </c:pt>
                  <c:pt idx="22">
                    <c:v>Qtr4</c:v>
                  </c:pt>
                </c:lvl>
                <c:lvl>
                  <c:pt idx="0">
                    <c:v>2018</c:v>
                  </c:pt>
                  <c:pt idx="3">
                    <c:v>2019</c:v>
                  </c:pt>
                  <c:pt idx="6">
                    <c:v>2020</c:v>
                  </c:pt>
                  <c:pt idx="9">
                    <c:v>2021</c:v>
                  </c:pt>
                  <c:pt idx="13">
                    <c:v>2022</c:v>
                  </c:pt>
                  <c:pt idx="16">
                    <c:v>2023</c:v>
                  </c:pt>
                  <c:pt idx="19">
                    <c:v>2024</c:v>
                  </c:pt>
                </c:lvl>
              </c:multiLvlStrCache>
            </c:multiLvlStrRef>
          </c:cat>
          <c:val>
            <c:numRef>
              <c:f>'Pivot table'!$N$32:$N$61</c:f>
              <c:numCache>
                <c:formatCode>General</c:formatCode>
                <c:ptCount val="23"/>
                <c:pt idx="0">
                  <c:v>48</c:v>
                </c:pt>
                <c:pt idx="1">
                  <c:v>192</c:v>
                </c:pt>
                <c:pt idx="2">
                  <c:v>144</c:v>
                </c:pt>
                <c:pt idx="3">
                  <c:v>144</c:v>
                </c:pt>
                <c:pt idx="4">
                  <c:v>144</c:v>
                </c:pt>
                <c:pt idx="5">
                  <c:v>96</c:v>
                </c:pt>
                <c:pt idx="6">
                  <c:v>48</c:v>
                </c:pt>
                <c:pt idx="7">
                  <c:v>96</c:v>
                </c:pt>
                <c:pt idx="8">
                  <c:v>96</c:v>
                </c:pt>
                <c:pt idx="9">
                  <c:v>144</c:v>
                </c:pt>
                <c:pt idx="10">
                  <c:v>144</c:v>
                </c:pt>
                <c:pt idx="11">
                  <c:v>96</c:v>
                </c:pt>
                <c:pt idx="12">
                  <c:v>48</c:v>
                </c:pt>
                <c:pt idx="13">
                  <c:v>96</c:v>
                </c:pt>
                <c:pt idx="14">
                  <c:v>48</c:v>
                </c:pt>
                <c:pt idx="15">
                  <c:v>48</c:v>
                </c:pt>
                <c:pt idx="16">
                  <c:v>48</c:v>
                </c:pt>
                <c:pt idx="17">
                  <c:v>96</c:v>
                </c:pt>
                <c:pt idx="18">
                  <c:v>144</c:v>
                </c:pt>
                <c:pt idx="19">
                  <c:v>144</c:v>
                </c:pt>
                <c:pt idx="20">
                  <c:v>96</c:v>
                </c:pt>
                <c:pt idx="21">
                  <c:v>192</c:v>
                </c:pt>
                <c:pt idx="22">
                  <c:v>48</c:v>
                </c:pt>
              </c:numCache>
            </c:numRef>
          </c:val>
          <c:smooth val="0"/>
          <c:extLst>
            <c:ext xmlns:c16="http://schemas.microsoft.com/office/drawing/2014/chart" uri="{C3380CC4-5D6E-409C-BE32-E72D297353CC}">
              <c16:uniqueId val="{00000001-D16F-4283-BA32-371C6A2BF6E3}"/>
            </c:ext>
          </c:extLst>
        </c:ser>
        <c:dLbls>
          <c:dLblPos val="t"/>
          <c:showLegendKey val="0"/>
          <c:showVal val="1"/>
          <c:showCatName val="0"/>
          <c:showSerName val="0"/>
          <c:showPercent val="0"/>
          <c:showBubbleSize val="0"/>
        </c:dLbls>
        <c:marker val="1"/>
        <c:smooth val="0"/>
        <c:axId val="1637063951"/>
        <c:axId val="430545839"/>
      </c:lineChart>
      <c:catAx>
        <c:axId val="16370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430545839"/>
        <c:crosses val="autoZero"/>
        <c:auto val="1"/>
        <c:lblAlgn val="ctr"/>
        <c:lblOffset val="100"/>
        <c:noMultiLvlLbl val="0"/>
      </c:catAx>
      <c:valAx>
        <c:axId val="430545839"/>
        <c:scaling>
          <c:orientation val="minMax"/>
        </c:scaling>
        <c:delete val="1"/>
        <c:axPos val="l"/>
        <c:numFmt formatCode="General" sourceLinked="1"/>
        <c:majorTickMark val="none"/>
        <c:minorTickMark val="none"/>
        <c:tickLblPos val="nextTo"/>
        <c:crossAx val="163706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8F25-49E8-B6AF-1DE94A7FD54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8F25-49E8-B6AF-1DE94A7FD547}"/>
              </c:ext>
            </c:extLst>
          </c:dPt>
          <c:cat>
            <c:strRef>
              <c:f>'Pivot table'!$G$16:$G$17</c:f>
              <c:strCache>
                <c:ptCount val="2"/>
                <c:pt idx="0">
                  <c:v>Male</c:v>
                </c:pt>
                <c:pt idx="1">
                  <c:v>Total</c:v>
                </c:pt>
              </c:strCache>
            </c:strRef>
          </c:cat>
          <c:val>
            <c:numRef>
              <c:f>'Pivot table'!$H$16:$H$17</c:f>
              <c:numCache>
                <c:formatCode>General</c:formatCode>
                <c:ptCount val="2"/>
                <c:pt idx="0">
                  <c:v>1176</c:v>
                </c:pt>
                <c:pt idx="1">
                  <c:v>2400</c:v>
                </c:pt>
              </c:numCache>
            </c:numRef>
          </c:val>
          <c:extLst>
            <c:ext xmlns:c16="http://schemas.microsoft.com/office/drawing/2014/chart" uri="{C3380CC4-5D6E-409C-BE32-E72D297353CC}">
              <c16:uniqueId val="{00000004-8F25-49E8-B6AF-1DE94A7FD547}"/>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D10D-4D8F-A406-7B7D105D325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D10D-4D8F-A406-7B7D105D325E}"/>
              </c:ext>
            </c:extLst>
          </c:dPt>
          <c:cat>
            <c:strRef>
              <c:f>('Pivot table'!$G$15,'Pivot table'!$G$17)</c:f>
              <c:strCache>
                <c:ptCount val="2"/>
                <c:pt idx="0">
                  <c:v>Female</c:v>
                </c:pt>
                <c:pt idx="1">
                  <c:v>Total</c:v>
                </c:pt>
              </c:strCache>
            </c:strRef>
          </c:cat>
          <c:val>
            <c:numRef>
              <c:f>('Pivot table'!$H$15,'Pivot table'!$H$17)</c:f>
              <c:numCache>
                <c:formatCode>General</c:formatCode>
                <c:ptCount val="2"/>
                <c:pt idx="0">
                  <c:v>1224</c:v>
                </c:pt>
                <c:pt idx="1">
                  <c:v>2400</c:v>
                </c:pt>
              </c:numCache>
            </c:numRef>
          </c:val>
          <c:extLst>
            <c:ext xmlns:c16="http://schemas.microsoft.com/office/drawing/2014/chart" uri="{C3380CC4-5D6E-409C-BE32-E72D297353CC}">
              <c16:uniqueId val="{00000004-D10D-4D8F-A406-7B7D105D325E}"/>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[Abubakar Toyeeb Olamilekan IIP Dashboard.xlsx]Pivot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table'!$I$27:$I$35</c:f>
              <c:strCache>
                <c:ptCount val="8"/>
                <c:pt idx="0">
                  <c:v>Better Opportunity</c:v>
                </c:pt>
                <c:pt idx="1">
                  <c:v>Health Issues</c:v>
                </c:pt>
                <c:pt idx="2">
                  <c:v>Internal Rotation</c:v>
                </c:pt>
                <c:pt idx="3">
                  <c:v>Not Applicable</c:v>
                </c:pt>
                <c:pt idx="4">
                  <c:v>Personal Reasons</c:v>
                </c:pt>
                <c:pt idx="5">
                  <c:v>Relocation</c:v>
                </c:pt>
                <c:pt idx="6">
                  <c:v>Retirement</c:v>
                </c:pt>
                <c:pt idx="7">
                  <c:v>Termination</c:v>
                </c:pt>
              </c:strCache>
            </c:strRef>
          </c:cat>
          <c:val>
            <c:numRef>
              <c:f>'Pivot table'!$J$27:$J$35</c:f>
              <c:numCache>
                <c:formatCode>General</c:formatCode>
                <c:ptCount val="8"/>
                <c:pt idx="0">
                  <c:v>120</c:v>
                </c:pt>
                <c:pt idx="1">
                  <c:v>192</c:v>
                </c:pt>
                <c:pt idx="2">
                  <c:v>225</c:v>
                </c:pt>
                <c:pt idx="3">
                  <c:v>1488</c:v>
                </c:pt>
                <c:pt idx="4">
                  <c:v>36</c:v>
                </c:pt>
                <c:pt idx="5">
                  <c:v>132</c:v>
                </c:pt>
                <c:pt idx="6">
                  <c:v>63</c:v>
                </c:pt>
                <c:pt idx="7">
                  <c:v>144</c:v>
                </c:pt>
              </c:numCache>
            </c:numRef>
          </c:val>
          <c:extLst>
            <c:ext xmlns:c16="http://schemas.microsoft.com/office/drawing/2014/chart" uri="{C3380CC4-5D6E-409C-BE32-E72D297353CC}">
              <c16:uniqueId val="{00000000-C126-453F-ABA1-0DFC1BB090DA}"/>
            </c:ext>
          </c:extLst>
        </c:ser>
        <c:dLbls>
          <c:showLegendKey val="0"/>
          <c:showVal val="0"/>
          <c:showCatName val="0"/>
          <c:showSerName val="0"/>
          <c:showPercent val="0"/>
          <c:showBubbleSize val="0"/>
        </c:dLbls>
        <c:gapWidth val="219"/>
        <c:overlap val="-27"/>
        <c:axId val="1636975791"/>
        <c:axId val="1666245583"/>
      </c:barChart>
      <c:catAx>
        <c:axId val="163697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666245583"/>
        <c:crosses val="autoZero"/>
        <c:auto val="1"/>
        <c:lblAlgn val="ctr"/>
        <c:lblOffset val="100"/>
        <c:noMultiLvlLbl val="0"/>
      </c:catAx>
      <c:valAx>
        <c:axId val="1666245583"/>
        <c:scaling>
          <c:orientation val="minMax"/>
        </c:scaling>
        <c:delete val="1"/>
        <c:axPos val="l"/>
        <c:numFmt formatCode="General" sourceLinked="1"/>
        <c:majorTickMark val="none"/>
        <c:minorTickMark val="none"/>
        <c:tickLblPos val="nextTo"/>
        <c:crossAx val="163697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table'!$G$59</c:f>
              <c:strCache>
                <c:ptCount val="1"/>
                <c:pt idx="0">
                  <c:v>Female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table'!$F$60:$F$65</c:f>
              <c:strCache>
                <c:ptCount val="6"/>
                <c:pt idx="0">
                  <c:v>Customer Support</c:v>
                </c:pt>
                <c:pt idx="1">
                  <c:v>Finance</c:v>
                </c:pt>
                <c:pt idx="2">
                  <c:v>HR</c:v>
                </c:pt>
                <c:pt idx="3">
                  <c:v>IT</c:v>
                </c:pt>
                <c:pt idx="4">
                  <c:v>Marketing</c:v>
                </c:pt>
                <c:pt idx="5">
                  <c:v>Sales</c:v>
                </c:pt>
              </c:strCache>
            </c:strRef>
          </c:cat>
          <c:val>
            <c:numRef>
              <c:f>'Pivot table'!$G$60:$G$65</c:f>
              <c:numCache>
                <c:formatCode>General</c:formatCode>
                <c:ptCount val="6"/>
                <c:pt idx="0">
                  <c:v>297</c:v>
                </c:pt>
                <c:pt idx="1">
                  <c:v>140</c:v>
                </c:pt>
                <c:pt idx="2">
                  <c:v>161</c:v>
                </c:pt>
                <c:pt idx="3">
                  <c:v>252</c:v>
                </c:pt>
                <c:pt idx="4">
                  <c:v>223</c:v>
                </c:pt>
                <c:pt idx="5">
                  <c:v>151</c:v>
                </c:pt>
              </c:numCache>
            </c:numRef>
          </c:val>
          <c:extLst>
            <c:ext xmlns:c16="http://schemas.microsoft.com/office/drawing/2014/chart" uri="{C3380CC4-5D6E-409C-BE32-E72D297353CC}">
              <c16:uniqueId val="{00000000-05C4-49A7-9D8D-3A97179E92D1}"/>
            </c:ext>
          </c:extLst>
        </c:ser>
        <c:ser>
          <c:idx val="1"/>
          <c:order val="1"/>
          <c:tx>
            <c:strRef>
              <c:f>'Pivot table'!$H$59</c:f>
              <c:strCache>
                <c:ptCount val="1"/>
                <c:pt idx="0">
                  <c:v>Male</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table'!$F$60:$F$65</c:f>
              <c:strCache>
                <c:ptCount val="6"/>
                <c:pt idx="0">
                  <c:v>Customer Support</c:v>
                </c:pt>
                <c:pt idx="1">
                  <c:v>Finance</c:v>
                </c:pt>
                <c:pt idx="2">
                  <c:v>HR</c:v>
                </c:pt>
                <c:pt idx="3">
                  <c:v>IT</c:v>
                </c:pt>
                <c:pt idx="4">
                  <c:v>Marketing</c:v>
                </c:pt>
                <c:pt idx="5">
                  <c:v>Sales</c:v>
                </c:pt>
              </c:strCache>
            </c:strRef>
          </c:cat>
          <c:val>
            <c:numRef>
              <c:f>'Pivot table'!$H$60:$H$65</c:f>
              <c:numCache>
                <c:formatCode>General</c:formatCode>
                <c:ptCount val="6"/>
                <c:pt idx="0">
                  <c:v>279</c:v>
                </c:pt>
                <c:pt idx="1">
                  <c:v>100</c:v>
                </c:pt>
                <c:pt idx="2">
                  <c:v>175</c:v>
                </c:pt>
                <c:pt idx="3">
                  <c:v>276</c:v>
                </c:pt>
                <c:pt idx="4">
                  <c:v>209</c:v>
                </c:pt>
                <c:pt idx="5">
                  <c:v>137</c:v>
                </c:pt>
              </c:numCache>
            </c:numRef>
          </c:val>
          <c:extLst>
            <c:ext xmlns:c16="http://schemas.microsoft.com/office/drawing/2014/chart" uri="{C3380CC4-5D6E-409C-BE32-E72D297353CC}">
              <c16:uniqueId val="{00000001-05C4-49A7-9D8D-3A97179E92D1}"/>
            </c:ext>
          </c:extLst>
        </c:ser>
        <c:dLbls>
          <c:showLegendKey val="0"/>
          <c:showVal val="0"/>
          <c:showCatName val="0"/>
          <c:showSerName val="0"/>
          <c:showPercent val="0"/>
          <c:showBubbleSize val="0"/>
        </c:dLbls>
        <c:gapWidth val="75"/>
        <c:overlap val="-27"/>
        <c:axId val="1685215391"/>
        <c:axId val="1666287343"/>
      </c:barChart>
      <c:catAx>
        <c:axId val="168521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666287343"/>
        <c:crosses val="autoZero"/>
        <c:auto val="1"/>
        <c:lblAlgn val="ctr"/>
        <c:lblOffset val="100"/>
        <c:noMultiLvlLbl val="0"/>
      </c:catAx>
      <c:valAx>
        <c:axId val="1666287343"/>
        <c:scaling>
          <c:orientation val="minMax"/>
        </c:scaling>
        <c:delete val="1"/>
        <c:axPos val="l"/>
        <c:numFmt formatCode="General" sourceLinked="1"/>
        <c:majorTickMark val="none"/>
        <c:minorTickMark val="none"/>
        <c:tickLblPos val="nextTo"/>
        <c:crossAx val="1685215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8369-4ECA-A533-7FC9BFB3361D}">
          <cx:dataId val="0"/>
          <cx:layoutPr>
            <cx:geography cultureLanguage="en-US" cultureRegion="NG" attribution="Powered by Bing">
              <cx:geoCache provider="{E9337A44-BEBE-4D9F-B70C-5C5E7DAFC167}">
                <cx:binary>7HvbcuU2suWvOPwyL8MyLsSFHd0nokHui7buKtXF9cJQqVQgCZIAwRvI7zp/MD82KZftlnbVKbnn
OMLnYfTgCm9uKoGVmSszF6C/34e/3dcPd/6H0NRt/7f78I8fi2Fwf/vpp/6+eGju+ldNee9tbz8P
r+5t85P9/Lm8f/jpk7+by1b/RBCOf7ov7vzwEH78j7/Db9MP9sze3w2lba/HB7/cPPRjPfTfefbN
Rz/c27EdHl/X8Jv+8eNFqR98effjDw/tUA7L7eIe/vHjs+/8+MNPx7/pK6s/1LCwYfwE7yavOEKI
Mi7gn8cf9uMPtW31r4/FqwR+BJa/PY5/M31x18Drf2A9v6zm7tMn/9D3P/z675MXny3+yedlb9Mv
e0/t40Ivdr/s7Kfn2P7H348+gL0effIE/mNgXnp0jP4/W23rPxH8CONXUggmuKRf0MfP0MfiFeMJ
JjHBj26An+fov7yeb4P/23tH2P/28TH0/7z866FP/89/Dg/Rp/91MtnSP/wGw38//iHAZSKoQOQL
wIl45oGIgQdEErPkMU0ef+hvtr8kwC/r+uGPrOvbrjh+/8glx4+PXZOe/PWuASDKj38mJ0WEviKU
sjjB/4r7J6QEaUEJxRgx+cUn5LlP/sCCvu2M31888sLvnx/Df/HPvx7+XXHX/omcJF8h4CIiKf01
IYDxn2Af4VcIUCcC/fr4mJNeXM63of/1tSPgf/30GPbd/q+H/dyud83Hshv/RDKKcPKKIkIoEfGX
yH5eD2j8KsFxDHwln0f8H1vMt5F/+u4R/E8fHfvg/MNf74PTh3b5E0Mfv4pjnEAtBj55EvJUvoop
pgmPxZeYhxLxpf0CXoDO5MVVfBv3X187gvzXT4/RPt389WjfWm1/2/l/v/DKV+KRR3j8a6Q/FtYn
oAPNAPcLzr7kAUKQCU9Bf2kx38b8y1tHkH/58Bjx2/8B/eZZ+fHP7fbZKxEft/NPQI+AfjiTjFD2
G7s/R/0PLOjbwP/+4hH2v39+DP/ZzV8f8K/tOBQ//POzL+//RJaJiIShilOCxHOeIQxKq8AxSY6G
rD+6jm9D//ztI/yfPzx2wod//vVOuL1r17v2T20v+StGYoEJSn4ll+ctDoUskULGjP/a4xwV2z+y
om+74l9vHrnhXw+OXXD7P6DMHg8hf5b28P9nr+F7asXvsk12N9xtftF7nggW33/6S/yBBnX06vdk
oy9ePfn0jx85NDi/i0iPv+FZ5d3oxQ2/lYXfvv5w1w//+JHyVzIhEiNJMKPAcFDT54fHJyR+xRMW
Q1bRhFKY3EBmaq0fCngJv+ICMyapRJjAt+Cl/pF54S0MTBljCqwInQCmsLDfNnZl60Xb9ncUfv3/
H9qxubJlO/T/+BHS1n351uMqBaQ8ZzyWMaQ+tHhMwC7d/d0N6HfwZfy/ZbRY7GOu01nGSga6b2x9
cF2hqs6puO63XXn7BJhvWAQe+dpiApMqWIUOkkMP89SiawpZ+FXo1Ah5SpHdNXmZft8EBgnoGzY4
Y0hingjy+PzJrjhZhylPpE5dVp2sY1qTjH/OD+W+VJdBPcBO1cjvvTq4NPkiJnxR2L6xPYy+ti0F
wJqA92IEDnpue6mxq32b6zT390V/WedUFdydOu6U1lEWo4uG2LRZPr+w56/sSppAlDEELTkXsTza
czmOS2EQ2G0Hmpnc7iKPL6yWp5xuGNWbULlrUrOd5F/Y9b/c8WOIPAshGXOOqaAxF+DOY7AHGVm9
LMSkNra5CpNvFRVuU0/TraV0zgTO2QsO/ipqwWQiJQGICZYkPoqhcmKy0SOY7N3ysQ9hOohKDqoY
o6sJiTc+iZObvqmM+j7G3zCbgM0kkYzFGJMjsyhMnbBlVaR21RVWMyYfTT72mzyYk9nMGU0O8Syi
++9b/SphZAxWk5jGjIDqduzYDsuoM4uu0jqKe5qOeKjfLbVswvb7dvjXfoQAIpxwikHfo0dUwHXN
fd+1VZr3teos3gZilEXt6bzoF4AEYjsKGYYw6OtISMaBE49ileuJCtaRKm3FoMr1IhAgm/UFI1/j
9mgkQTEFIfmRBp4nolvr2uIoqtLSl9tyEHnaz2H6MlP+l8H/zZ0wDvIETxLKjkFrQlP5caJV6gub
b6MpOBVWd0crVGTfd8+3LMWxhEoSCxZLfLQdXSUVgRyHMChQCrydDrZOIfle2NC3UIsZg1IVg5zI
HgvPU+oUtpIxcbZKNSluBfOvu9q9YAJ/0wZkEYGiSBE9Bi2a8ehQAM9MPfapySm5qvPO7idvX6+o
yXQ7JyZb8DhlNErM3ieLT0k7ohviJ0zSMLBhE/LFvrCwb6wLkgzglcAr/CuIQ+n6FaHOpGZthVZD
k8/bxsr85t/2JIz4EJdEgKLIH6f4pxA3Eaa617JKV1YqogvVR7WKvX8h/r+ugpJBgZVQ3kHO58lx
pR2Qw0NfDialYf7oExG2eqhuUVKzDBkWbQiyD4mw/GfW6E4VlpdekW7sDyVD5qzTXbmPq8BOutil
oxjp52GkXs01LbIVjejT91H5uowwELAlSSCXEIyCR4HHhY7rJBaAyvK6Dp9EflGn5Hqhb75v5pf6
+7xcgZ2YYR5jITmk7XP0cbJOiQnUpGzih9FN83bumnAhbV5Faev7qUt9j4VQCwkzVzT4/WjIuPGR
1rslMpZvUN29wL1fVxZoDUWCH5s+ScRxZWlcT9Ay9lBDI51Kv+irkEx3ZtiP7GRo5mjfdjh6oYgy
2OgxEKBnQwyCkASwHwHBo6aFqoJN2sViY2dZq6JsD7kdDt9H/DirODRBkE7ksXJilBw3RBWOCB4b
cKxbdHSZFDTPxpn0L1g5rl7HVh5X8aTlW43NadMWkLu2I1lBtUhru/JTMtFuUzd+fMFjx+gd23t8
/sRegZJSTxPsivnzGJ+u3Vv87/LELyYoJINg0O3z+NhBFo1+SMBEUp/xdlWNLJWNm5do4pFunsYB
mAG9kUM+JDFhUF+e74QYM5qqRZAQTM9nPY34rs5d+HkSxXSBkO/v+r5H23LtVGjCVY+BtVY7rv0L
CzkmgF/WgRESj3lAv9puqBfc9nIxqe6L3dQyr2Q+Ai8hthkImjZVYl+ImV9q5ldbh0YEWDJBcF/h
qKZKNlOG2smksRjDLnZNft2MoVU5p7Vay6l6nfcJyxaTx1lHp4zTiGyDKa4M1i5F1cXadnsqrjHm
3e3Q5Rffz5xvxFgccwn8DeMZSx6vITyNMbbGMBvFMywvn/v7SFKztUkPpTDPA38B/ZdsPebXk3ju
JLWMVECLS1emC6Kf+JJsQ2lf2NJjzH6F+JMtHSGOeDMX8wqd+6wTeaZbdzBlns48vlyS8mYhBVGD
He+Et3X2fTC/QUNwSvQ4OUOvBr37keW1NAOLqIcw59Gogufm1BP5Etnhr7IJygpJ4OoLhwsMMaTt
cxyhOKJBlwTamqYIqmya/QJjn2IWpczxra/0GzvrfZK3h2ksdnVSvEBMXw2g0LoTjjgc3otECCmP
mFBHjQ+rjH0atP4khviipvVrZFGpxqa4xH64RSPJ+pIq4vOT74P8VRQd2T6K2MFOCTL95FNP7+ep
ViQqVZDyhVjF5DiKjswcgYzdbLsZZIS0m5eNEONeROXdABKL4sQdeKM3ZlpOuno8oSKK1dS2RYb7
aff9zT5GzLNYflyFkBjOBmIJpwNHEWVE16OyB1cPprrqiulQRtEmwtVrWueb3Db/NkGCvUcekNAe
IVBtjsCVIl8MDcynBTcKKGMXQptxiCnOtmGy/y8gC0JgdwloVzBIPY/kIpqmvtfgy25O9oUrDwWb
rvukPLRxd42r5Nxx7xRexZkrc6LcIola/EscfdwZPUbz48Ev/FeImBx3RqYU8zgPuEvXoo3H26En
wFFr1IvLyHSxf9vScXav65jabhvqybGb7zv5K9qAQViC1gbiHczhsThqS9s+ROswQFNo1vkMUNZq
4sW/qaA8DttQgBgTIGiAHHhUgW1VNpYE5FMX6p8ZG1Ptiis5JDcc2fdDvrzQ+H1zS0/MPWbXE6qf
TUHXQlc+raJyVKvpDmEaX38ftscMPMqNZ1s6gi3IuACxYfWPlZUpPvtsbsVmyiEbgRNe2BCcUnxF
uzAYU2heQPqioLod50bOIlnUTREpzzuUhn4hOGMjjvznceVLrXAdySjreWTyTTLk9rWF0ZOpgY+M
KrfmbllV3VeMp1JW7lLqfCzeFVqy+qKscCsObpmqyqphYetrsopwUc84er+0SJzSFa3mQ993eZHx
IbaXs4VpQpUut4VaqqoC870c98Z3/kqKpXEPrSzJZY4mb94keNUYaGNcz+aQ3IiqkpteROINHBU3
1zMpZnlWkn6W+2VOop9xAqclu37u7bVHlqYY9zxXfJ3CWzSTCVqSVS6XMWqak8Ap26CO5J9LKKzv
da3dObFYXFSCORWZwe1jYz4z1q/xSW9CMis3Ybykulh1lwXLi3TwMTKbpdaa7xYCI2LaQj/f7fKW
woTkE3NXG+m3JVzYO7SgNs+biaECxM++mN4jl5BB9Xl7lhOupWLSrf4wDSW9MkO1rclQnM4szw8d
NtO2NnEP86fn71BkVr9nC0ZnCLfxdRIami3V+pobO1x0oHSfzGvRk8x4ue3HYpt3VZuf4D4RaU5s
sZnnthj2kc3t/LFn9dKkw2jn7TTGQ9bQUlz6aSBXQ27cuGlYQ7cjeDTDS7SOr3XekjdsCP0MklTp
WBYkS5qTSbbrKTYOKdORBoBrNoONxlJFvguK9qi4mpvlMMfVkK7tqDqJul3jjHjPbd1/9migm2Xy
57jXJBVuzQq0dFdNcI2CyKxVqMNnyRvo8AvTGIWKNspV1+wcWw4EzZFa65h/cs1SVClvtTLVWmdR
OfONWIXrUxJretE1xFxhEaFr8NdwGcoS4fOkWz8ytK4KgdO0KnUNOMctt8pAR02T9jOdwgLdrLyy
j7qSjYZUV0WjZhuTtO1Q/M7060dBS/5zVdP2DPez2+Tt4wJL4+ByIncnpRUrTrmOTogjnx2NPUvN
XHSqMeXG6aBGkaioNm+qoGvFnT2RU7SAYhvf5MVDsvSyVUgv0fvA7OViwcdATFh1C71dqbfpvC7u
IFwzpfClaN+IZT74x4Ifrbk8dfBVlruRXJZJv8B0Ypd0HQu7aQPC2wpPlxwqXdrzBe/nBmb7ej6t
Q7dZa3Rb027qFWSdTpl+lL2mSXU0lB/aHpqXnjVjGvLuniJfbbqydudwQW89QOtkLmvIsE9zGNGa
Ul7Eh9x/WOvqFIQ5PKfJ0OrkvQiLmvPmsh7WNw177/LNPOL5jYXwaK+JLILdyHlst21djvuiT0gL
idma13MEBzYK4Y68HtHneCV1huSY8SLJZF38vBJypyMIs4CRVyLqUQauH24NSFunfdXXb/o8LjPc
VXwDGnlhDgNQWzeVhRqjbjtGnNz3ZcS3ZdcnJ40GVtjo0Chk8Ll38UbXg1qKuVY6YQ9iKk/7mh3a
Qm/nxW3WoYcEMvGmkDw0m6lmg1aIrFNKsW1SOdi3eqpdxgkmCi+DwnPlN2XTNzDJSnh/XndxUexj
2W/aNTkpmljFKPnARrJdqjoboEDUa7md4jadqvFdECZDVQnmqqzG9fBpbDRclF7Qvsd8M8Ruw8O4
d+O+okFhZtWMZtVPeQaFQE3WzsN+cpy+62Ycsrbt3wOPZQmv0XRAiz7AsOthylw/czmkcemccrV4
O7gwXVQcaEFzVqluNcFt4aIU/ojRPEMTQC4jiItD7OP1HBnKu21Z0ZkoucLgNOmxv++r7l5qdr2i
ut7LiutGDXnTXbp4yDdTVGG/4a18TTV4umdxcVmNa2SVnNd1O/q8uwlmWMHf1NXKLgRdEVzXabzE
5uO6ivxkWvJPsseVavTE36JW1/uVFudxm58NRfS2ZfH7yk6pk9WitJRXnLZhI3q618vaXTEzdTdd
JKhKkgD02kZzmeoudBBPekzwCeuwbw5+CfF1k4BAiEPuC1UkXawWAfVhrfN3Q2tJmsuxqjdN283h
kMNgs0smvcsDpHe+RuPnuHEj2lRLuRS37dAuVxSZsIuiJjrTvM75bu0bcTq0poiyRa4yLfsmPq9j
coCU02dS2ijzHs7yetC7iyqoeZCNWjG+78fwDk2BuwMcKMSbcZrz+0QsoVN5QOtuZeyqpo2Dib0x
2WzcRUntsoO2NotCyGBeyKRZDnDpQdXebYa2TUnZxOm0FOno+rAvBUGDSnzOQP4bpU059B7vqrq1
8QHVrY9vek3pg8cdtDhuHjfQw26Q5+cUFecgkez6vN+sYk5XrfLuopwuyh4kPZfwtKoLe1LXse/T
GXQXoire3fjFj4e68DNTiJYN5I2s3ktdLPWhL8KCVcw6rYomVMovSaghoSFFWd4Rf+LZSaWpf5sE
ww5MIKpG1JIulW1bJ6dBszXtQKFQEMyoSoceGdUuoOSATspVUaz7YtbrrZxGCxt03fBm9fMEmpMH
a2kvebtJtFj3uR5FBq3PvUa0ve/tOvWpxe49MNUdiNAORPMh7rMkJMu1JtG8X3nTXdTRVImsz1Eo
0z5f6EVE68YqrMPigWLMXGd+MUSFSlqnFpwbGBsjex7EgjLLaPUmMt7OqpmqsK+TUaQWhASjAmK+
3JNOjH3qdaIvqrWTHzrv5l1I2JpASWFBZ6SXcw/HdS0es6lMOpbWzL5L2pBWFX/fC8czWkdiVmQK
ZwOJTpjrXgeJ7YdSsGFXx2u3dTzCAtCb581QzvNFw5vlqmhFo0qUvKPV0J07Ee1Da+ciCwVrdsIZ
ksK39CUO1papAKaOaFQpPOXNqohd3Ra1zZueVXDa0c0OZUuXVOdDU1pVaa3fa2KhQclLCRzadHs3
tEWlCFt/jpflog29rPZc030hXRpRXdZwgD/Zq2GWw1luQnXfLLTNUJvMEiSjcJ3H+U5M9hSzobux
hS6zBYb1bChis2/Gojhr5XwyFIhikBr1Zl2bn301nsxt7YtNZ66bXN62ru0vk1y8a6JSK93S7cpc
D8pgYHDgDeJkFJupea9XQOW07iezc1AfUuC0/KI3sdjH63SZNMVraZjNmmWE/nAyE1Ku5c0NxdNU
KgO5pCy0wJFK6vim6kitIh6hQ7xYfypJ0b+vl3Cja3xN8/AuWuhuFvWg93UNlFMPG0ZbW8Jv1PzO
zCudNrmntFEG4eqKllBshvzEr/F0VQ62z1XFojxRRrb+41y03bshl/7GQeN72fXtkM796m7H1Z0u
0dT4zM7upiyTKSPDsKNmEJm1znxeC7Qbcx/eOyeaWokSxNqujt8WrAoZQ+ROjOVD06zhrCBBu01S
svzgxXheVmTe4QCbsC1B28KUbym1NvNmbLI5REblU63VONenmll2qeuK7Bgzo4onaMf7pbzQCJ0N
nmySFUNhE/38uluLLqvKEIyKnMgqW95xX6R8cuKzFxzEgsHpy2aUB16ajZN8C8NpyuEsOx5ttBsq
6AfqjtqzGdN2P9lk2nJZ9HuOZQt1WPosiUSl1Qw0kEVufczH1Bb8agmJmgzpzkXNazjKMV2lWGiG
XWJgvp1dDYWbwNHvdErZZIs0+HzHAydpjYfPobIg+KLFd72yATU7Q4dFpwKGkvtRi1zNbCZp3BXz
B59DJ8RK/ZGTMKkx1xoa5/4mSeyHtluKzYT02px13s8KOGQZIAEKc+JHPJ53Dpos+EO3cJn4VmeS
uWC3VcKD4iOaTFYapOGADPRCleTFtHGYb7sYjoHiEvhUBO+7NKx5+5nQIjrxwSWbqeqqGMqmKIZN
RYFVm8SDMNWVdkNMg+BIeKg2uOw/tgsceA55+c4k+aSqGTqqpeyAxE0xuW3tx3hPhDYZHGSUk7Im
vG3jxKjYRhc6mM+WjP664kNbb+mc1JdlCWVyPwCNFmk5ztCH4gFkmIzPndUZJE57t85J0h1gas71
6bQS156Fliyrhcaets3esDK5SfLHKxowYuqQjVhOdVrmQ2P2yTz6kFLRtZ1QCdTM4dw0g4Bjqjwk
Q5Y4A2tbcGL4jQf1hm7hxGXCWbmg5CQEWpODc/GCrmLM2zyNiraf91PcSKZ8NURZITjejPVCl3el
j0mcajbDAqoo6RWc32jlBimUGdqkUZojmr8jtpnKHYqLudvhAlde0VG4u47nXqvKmBbaI4bqN0s/
iXozh2V5A/q+obvOLcmDJmYasikW7myqaHEl+np4nXA9/jwSlrcbvS5FOHPVNB/gmzj6MGupm11V
ePm2aNZpSRdbB/qxLF1yBWOHBVZ2FaWX0JCI+W0xknaT6zIhKi+jRb6dIt3ml4Wbeqm0C6I8q8ae
6wtLF8QyoCcHlNQ4BSVpOHO2wPvg55u5tetJ1HYM9uIf/GBCWjC426VcA4OWgrNvTw+NabvknW2n
cTwFObpu08jRZGcMS3Yl9GPDPqzlkIHA0yrimDYbKN45h2hMLpZ4mM/hDP5uxtVpG+Ehy9uO9ApH
8EeXCpjN3M9e+zclnosz55caRi7cAg2OcQE69hCHN+VE2TztXH4bJa/L0h9KbmEQr4BV1tTxPIVK
soXC56biwhZwmSx+KHX32ldbmh+4JOQMRnN9gGo6ZTqGKRbtMLpmBsbioFEdNo2notkXa8ZYqssZ
Braox1leEA8leERZT0p5li+r7LbtgDeTpGubAdAXdZmf0pJtHFpOqX8Xiw/LmqSrx+U2p4u90KWn
9bX3hOf7qknnMV1XiLuLoWD22rUsE+sVGLTvZ4Lddp6qD6aCdl+vGEat8zV/52UWcZfG4XTpxzwr
KgYKXeW7bVHFH0HwiNJ5WuJStb49c315VnRoOB9gquNSuQhQ4vMwKpz7Mo3CMCtTot0UVvTQw6nB
qEq25iKlVPrbGmYBZiDxFjiQmvwpEgm9oQR3b2fSvXGnknJ/JkZbQ7V08Nt9lVYwb0dDfEbo4GqU
wlXBTDdoYwi+4F2lW6BznkRbl88F3tbI5Jcl54si5VhkMLFXaoRmr4g+El4o3oZB8WFNEZBsu46q
al26mFYNGG/mqeXA7rVLy6lM0QzdISAkaI2VgyPKE5asXb0pPW8iOFYrEyA4XXY+bXlxvaCGRtvY
22I4b1h0KAj5kKxLuBe6NpklkTNKz1QWKQQkDDei5XetiUB0aS2IMh70+PZMmnLw2yjUxYZAzmVT
QixcVqqX/kKbLgdBh+Zw4adAsGBo3OrN2In4dljCqRl1IZVo3c/BoBPh8xlauHgM88ZqiPiLaMGL
6sbitoNLZm4zi/ihj+muEf27oYMpbN80QyFAsip4JuC48gK3LVUt1OaNgTy5hZ5U3wyJ27Kax3qT
Fzk7IRgkqHVG9FIufe+3daQ7qWjXTOE25jZWIH11aYllPme96DdID7eBt45/HDHKzyojBSggJUsp
VOaUrPDHCrFqeuC7dluINo9ORhadG9PjrS38YbbTxeSXR+UtOYyRcxcjijetRThbRtmbjA3r5HQ2
RgxruOM102KEwGHmTFC6DtmgIwiptWXnrvMjHDdM7g7ncxXSBTrtg2gbAnqCgRt3ICaEKC2mOlxO
rQFWlOUKc5iwn+u6qKvrVq7odZLDuVCK+7UvFaqjd9ZUxVmIBGovTYsW6PKGkJ+MsvMkV56MXaRE
7sf1MLEenVG4YiU3eW77FrqFAqKs1mtmJmhwtwbUC6uS1bS3hUnmk7XgxTtb0Ko96wtio1SauiMb
zYmZL5d80tVuJYtYDtjpW2iflmiTRPM6qDiE+DMySzNvegPz4RSRKhtBMD1JWjLc5zGfb3so+p9q
5E20m2TUXK+1GKAxnXKcGWc6mB76ODxSTQOXZle4S1LoepewRd+beUCnCa70Pl8nMaS5GSzlqoab
MCdSSrxZJIbjh23Vi9C1W9CuXcNu3CCKPEDTtCZQ75QdHUyjP88ljWHyiuLQO5igegEcr9Co4RYQ
3hb5Cr8Czm1NFI27ledwql04B8IAa8viCnqo+A1o4le0X9u9af4ve2fWXLWybtlfpBtK9XqpiJK0
GttgG0xnXhRmA0ql+lSvX19DwNkHm31wUfeloqJOG2DHzrWkVOaX3xxzyravVrN3b5aKg5EYbSNh
D53VZTaU5Rs1MbPoS4imjytzChzOZ5VyD1a30oU/L6XZzmkRFdraOuNhnqFnDNNJyyqaltkti4gV
YD3/marA9PtGNOGAcuCm/CeSFKbwTcpm1nE/6CSn/bWyhnvhm3R5RvV5qjrtAyHqecKzsJ+EzhOB
0Vq6IXQm5AtUhSH2ldXGlVDvC+m959A6J4hRAwCR0zyjZDyVZr6N68KLI1NjOXX3z/WTNCMBwjOj
hHabqqo8mTorrqu1aZ/hHp4Kl/soLnybB8bk8j9PLmM2GIOUJZdROl5s1yLOKqs7bn5wrCtvuhgm
s35GTHyqC38bcdcufbxWIHZPFK5BTqvdzGiJdXVjrFdh78SedJ8Z5KnmtA+CMBq60M8+cOGTi0dl
WUPU7ahgfkHbmVPXIZzsyGdP+/NpGCKLoos6rm3v1qSf71JbWk5l7SCGQw85M9KTqgt9XYx19zpP
1TOS+j98KxdgAQ1UCNDLp7yaWgzHCsqBwSZOh5Qe1Nl9o2Oe3meu3y/sAhfQRVd2PIwA+Dr9JxfQ
9NWagZgz+z6EN3V69PTbtDq0bA61pl+eHwP3whPPzfl/+IIscnxFUCdcAU+/YK7DLDNTzkVlL+tE
9p35fkmtOa6LsknSRhnPXNB/eMYAIjE7eC6HCtCfx3dP0qTV5co0CYtM0a41+2h0xOH3U+SfB/E8
yG3WENfcOZifHmTXpF6Ycx4xX9CKGLrCTWzprM/csX+4dKHpg3oA8ZHF8NS9MaKw9rPNpauDm2p6
Xc+fHflal+9+/12+PTg/i7nMC4ZhFcSNEuIVeQIemF5aFa1autgqkcpU8a7P5wd2P7id8tJW6hao
52ibZROVYxr5OjgXynth+WNM6+mtVXOZjd5Z47AJb/25//OnkQcRYBT53Ac1fLK2yKHqu5Gqgf6T
qM5tTct+Wtv6QkPpxDac0fn3l2O/dY+vhmNakJo+kxWG2X2yeorZtxur5SkJenUKszUug+Ba6ZCz
6Hqe1+G4Sv1pKMoPvx/213vtQEsHnI4c7JBojo9nVM7u3xW+5sFvqxM7R7IMMnZ773U6BM9M3n8c
ynExOfBUhlgPHg+11F1hTXunoqItXKAKwZsIzTH7mX1of9IeX0k2BMhQNrrQFdy9x+PUyF1h37KO
2p1KkGmTYWzRl7fDrGWyDmKvkJ95Yn7Bf30KB9v5xuy4oDvhk6c/mD1bGz47+ygcO1oXcRqkKPYj
EFK5+bYXxX3f9OcMXaMzOa8WdO3s4bVSaJm/v6G/fHvHY5ndDWEYILxfdpHJEP1a7NSHm/Nt7VfN
bMZIhZGtOaaV5/o508wv83YfD+u4j43Ep4x6Mm9ddC5TNxaqwaG8Ha62qEug/d4Pp99/rV+KC4bZ
V9cdPA9tYpKe3FSPBoLHuSGmHV5H2Dz8GHDpdesabyhC8ziwpuS/N6L1eMSwtoPKQsSLvfKzLnEV
lAb6CSKEMRxV9ewuuV+nn2Yt+KCzI0EguRSIrO9PZhCoUjdkATtw24yXwkuv7b5KWs6otEea7Gxt
4TFrjaNsne8T5kc00+33Mb6b9/5q2lXnmfwRjvX3H//Hm6biP9/inP79l3u21r//dPrS7BkM/dNf
2sf5+7cY5se4u5fx0R9+cVX+y174xDf5Pb3rP/zwf89UycLynz2V/7N8FOu1+xX5/e+mSjKiINfZ
lvYi3UW7ZxZ+N1UawX95Hrdmp+SsH/7Iv12VPmZy6k/+jVAX8OT97aoU+M+piEnXCdhCdhr6T1yV
oGGPJwlGLfZ+6l2eNUw7MP2P5yS3NtXUoJfNbHRZ8UabveO8nMwF1ZVO0mrNS54ELVUPq6tN/02d
Mo6xS5ztX9cIozacjcG+tsLVvK/WObNpGlVeO/aJP/V2Vn1osmEJ/UPo0G3tIlPxd/pBSfoFr3w/
M4WMqnHNZ+uju4TdVN9LDWqKYmbgaliiTbrSeevn5YyaJ/JxubP72kVvqEZ3SpZtdqdDsGEZidqg
7q4GaaVzpEQ5yePamNvdWvSFjd9NZtceHFEeC4AYK2rwCG7x1Ezyc2YHZXdqFEaoC0dJo30hvNz0
4smxmibaQK2MRCybkZ/9oE4R2EMxDS9RoY3SiB2ndjt17wxLu0hwJL15Z98aPfXOaazO7DEX+rO4
M9p1CU7ISnb2shur+U0ZtmF/doyBVkSXz6F5kEMN1sBd98wjjTevPldBa8Z014fiaNUIc1EphTtG
Vt2i0nZDVVbJ2JDDFDlybc909+slCspqq+ls6U6cxOoEWdL6dj2dHLv3vL2PZ3jVMQgWb5yOgy56
LSJqknLY6SILJeKyM/IpbSM1tI55Wbr5chF4hlvS7RD6U1EIOccdFWMFYVLJ0QyjwcqRcI526WVr
mayEpun+MrMcVXIQyJx6uVtb089uK83PjmlGPyDy8bXUVuRuomZyTXVXXeNSgFgcWm3hZDLC1Y6c
sShgjmwxmmA06eS3UT1VUxBXluHV0WwEQXuuBDtvDGXcFcfCW/ztEDYKTD7vO4Svbe27+TLbvP6a
HllvnMxxcYrTxD9nOc8D28MrUdHRO5RlKaYkzaaui/uJUirGauOKOLTW+i2NR+8VXTN1j4wwBHSZ
Auutt5mLFavCb283owxoZ2bN8MJItX65ShuQ2M9TwDPOjyvNSoDqMdnwWoXwfUX9bggm6VyYss2+
+tJT9WkV/kJjNM0c80WqrKKPS7UsTWLKvvTOXrBybWVahWHSN55x4xkNSv6s5lzEhlZhfem2pfyA
c3a2UH0rbR5wwAZjrJ0mhziq5z49mtXS/1VsbibibTIa7AuyMm5F6w41MFFGU7yszbA/LsrAujaI
1vsowmrso87LQjMOvbmuo8ywMT4EQdpNkatc7pmf5aMZBRUdrbhRGYzCLH1DRxtiykPPmB+mpTK+
FoEaMCkpQQ+UbI1yBg+YZ1r2wzDrSPeBkR27rFavw6Yax6QI8sZ+0SyLvC9154sIOGyYY3T5PDvY
7Rg+GIvvUxjU0u6OhmbFjGjV6xMyStoc/Gks37lN4Yu4qPuaFrZRble113cPKugsyK4aBxBTSnN9
s/lgSlRWCP+towldOwKKZN0cUBlUO0WDagyXNDJDdJ4HGUxVeGn0WwU23piN4P8cnrWZYrDsvTfj
1CjzJm3nvnwVrK47TFHhp3WVhOE0VM1BB5w9HuZpnpY0ztLBGIsotzMpPy8dqwQP1tZtsezp8WfA
P0a4uTeBzIvFofLUJlDMiD70vi9lUJ9DEEdnJyR7fQfHot2DTKc0v/K3sSk+ykIF9hq1Szt0d8C0
PvTCpMp9yXWmrsoueD5ZvVkvYIGCw0JrukqWXqwwaxWDcKz1dU/PPfZ71m9QOscAMA29tH2Xqslz
TsEgZHidi3qoksmi1bpGuWyb9UM1o22/CtIynCIxAE6MkZEGTnuxWGLw3/u5NVjnfemt0sMYGDkS
rZr8IPtcGTxamPe2FQBhrSbDiwyEaPsoNZL+Iae958eqVbpI7LkCCTGRENsLmJjgYVC5dT/NlmHc
TZO7LSyno/PKSb1xRu+txIPcjCJItrmF9RunZRIHuxAQp6ISZn9c53S04tmayy2ShonUIEd3Lq+D
1ljn0+jZo/MmDEYdHJzGQ4WdnTm786xRvClNsS6RomcexMu4yDJiBPxQftAtOiosO4MgxNj7okyX
OY9KZVRZ4tA8ZTtprXmKzBqSgweyaUGIHBCG1rFkdbL1Nr+dGlfqY7g4XX5RgOOE0TZPPGD0ofP0
YI1y6RMHHdAvYo26WSUC0Ma+SMsmdJhI2mwncK5W3Ke6rIOzmgzXOGUdT09c5mWnT/2KlIVeV6Ql
5+I63SJ6L2CYMzaj5jimBkKhrMuAqyKb8rUsc+UmrpPro+nMS3aaS7aOuKt1lp1r6XTdhV804o0r
OB9C9hm291L0zujAk7SBfbLtcvtaBWPnQQRp8ZF5nPdR0OdWltRVJrObcRLzFuV+larLcO7alxwz
1rdGuTTFseQ6FtfrFOC2SiG75RCZuRT9QUqk78g08zK83Cp426zrmvpk5QqBwa1L2eIzsSmQ7urC
cgvmmzT1TQ0HbQK/OJLbYk7TnfLUQL+gc8TXMVA0iXOjnO2ENm+/HuqxXZxI6cy/LdUUKKTO0C2O
3ZJNb9YKxipx6ry+m5T2PkqoNMBY15NLPKgVwEFi1i1if2lFesjoYVh7dePJQ0EN+LqtNTp+aVV4
QhDVlk+bldbB0TJS+5VY2tHGAloHzUFQVXmHyUJ9uaKuWjSQysZGnoA1CueyC7slfyjDru+LwxCI
NAAbUTBIbxc1a3UqRJP+tTWG28RYQrI3gwhXcYXmmtfXw9R241/N4s9fnVRwSydpwUaUZWHIpBw9
F37B6YYW+NKxw1i5nXvO9eC2p77Sg5cgMde0arNKlCA8a2Hson3uH4OpofLbas9rbkRmV9OxL+cF
Rqmvu6M7GF2fpHllJTzDuJ7sGRY2GvM19yMyPkAKi2qmadIEXvYgqslsEpqYWp8z3Rj+Be3v4r61
tnW4EWXrt6+tah30nSGNXp+E3eivYdlv3cGpMaNF+Tyu5mUxB3l5bCur9mOZa9Bk8ns9VPOwL9Vl
DoYYPuT1gpo/2KtobjfsZtYB04x2P9R20Ze3VmCq8c5VVM95Hs0VlCkSjVG1lALyJAPdNst48hq+
BipaaNhjLngKTalyt4inLbP7F0CK6mtmuCbQozJ9ebJWoUBRJoSKyOgAyFttbjZwTkbDylA+XIkI
dhBtCBt+ZS7ZEi+lrS2bCl3l5Vn3nvOSHVZuMZVPmcIcIzNtZVG8orpKB/ZqexRRmqWBeWEzs7yo
69e1jYFEnfugAJeJwZqtNC5MD3FzCame435sg4c2lfYQQRKgJIisMRTFVWVMERvc/NKfJn0z1r0D
PZiK6YGqZV2OOa17F+3V6T76HCLf+KCpZoxTMntVlLO1JI2XYhb1RLX1iVYNtJhouyGaQmlWB4Xg
eUwhEyitQCPhSHLpf8jn0hxZmBxHUVvNhhuNtqm+2osztQBckLtRozDbAHUUQ4wrcAEELavCOgaZ
zr/KkErhOHY2u9Ke2xGcheujL27wk5+E681tFIzpirE6q9e7pmoQZUs12p/90gKgM7PZpK3ttWji
ZZMB/5h+zv6e6RKcWEpvO2fVlHG+r52pPBWmIXL2kEJ/WBsLaNOE5+3h8CEd41F2DjnPi/lFpWkJ
QpP7oz6oUlGmOga4RFQ23uRFIQcN+X9wPn/5r0Tsp6fvnw/f/+MGh8fdoL98GV4+tE9/8//Cc7q1
pz/+55P6z7mD+zH926//OKj/134SxmYuvmUg0ej7+6Bu/hc71R5oyL9+HNb/zj/ifE90h8uPiWOg
4WnRRfqRf+T9F8kre7fbND1h4t31/uSkTrjJk5N66DvubgelkUD2GTa+xyf11txW11df/bxwvFM9
l8YLX9XO+nIcmVWx9kO9PbR+s16DS4XihewXVpM5DyEFLFFx0LDYgzinpbdZtaTvFN3OjxLY+C2J
TNI8WNaI6cJ0oa0imZkgQjTIhoeGCtOOjNkAvzAtyeMYis6UUeFO4007GOkW92zCLKSBX+sodZzm
1gYXHqFdKT0Oq9HZ92LmHPRXna5avBejSuVJ9zzmp0zlcnnpwUhchFtXmcmshNe9rUXbhFlsZMJ7
i5G5APwTRnBkS5m7ZCqhzQ6o04Aicd20wj74M9RU5DfSGC9wTrAUqC7cc2G8WqjXvQMiGcOeySgd
Dcd7YWZZ9TJrVaGPymdFQ6NfAy9aZK8/GWqBoQ28QY1RVjTFTUPv+TT3fp7fsr8qHEMrzZASb9Zi
V9txzvW03uixX0GObN8DmuvIbUgwdeRBtCKnpC/WvIUqc4B/35TCLXKOlXUQHrcOTRvqCVSs/9yk
FYEKAmLnrdsv7jXbTz66x17mHlunzfHsFV0m8TnM8nSKqbvqrw6+jaup8hdMIZrjBztzQM/UKebm
2E7CrTiUZZ+dNA3XyPNd6oFwcjDXmlUpArojpHhFc600hKsVuic3C6c10R3xBIBeRVrEhhVu8iJM
3c084Q7rXgxbJVntppZKpTMLo4zdNc2+jmmftdFYDMwCKKyU9c8lYCbySIKBj+y27jOHarzyM10o
FfWU6TCIpvTx9Jm9Qrvv+vAtDQMU+WbNjShQFS63TWWzl2Rtl37oyxZ6xyqV80AmylUeLnV74ol0
pqhOx+Kuo8LAAlM4RRfPlJc4hly/vA5dw3xvBbwY4Koop17GcBrlEln27L+lmsevPq8+QFkKwLDG
ts6qz17n9RCzwBdb0ofp0sZWoLPyMHitd73lXf5loz7wY86UzSsg/Nw+NP3WfCqDbL7iEBcWhzQ0
ZJXYlTv0h7Ura5xC1vBJZQXVeCMr/4s15Xl/Ae6lPmWhkrewSlUe4x+FTOgKe8SNLA3DivCCsNlz
lF0oVlsHHzSyfnYxQSgBGpu1UldznksTK4kG45BFbdxYmClGqHY1r4myh/lCbRaOtYzUn6gyJdXy
CB4JNJOvdtzag2lEw4gFjoaSV360Q6O4N4ah2ffOAkucnTn6E+DjbnypAjg9s/Exz/qVn56Dxpoq
YPsFwgqXYGgkm8A0FQ2G5d3Zykmpq7d2+KS3IOwOvjMpcdzCVJ/CZZJuzHfwCfmaTW1ReJmij9N0
kBnnkMF4iwGg2wG1PP1SIvh1x9VWmX6xbaazH92hxtgYF9CW0cBHUrZGnWAzU18WEPG3kgaiEbXM
e0qltqpeZ2sfjhH2IiwcyoIanbRZPoxswR+ZMYt5MIsiaM41KwriWJZi4MLZYUX2knlvrVCBzGwN
TTOYzdoDLhG1ceVMqfsF4dSGR8TV8qIRY94RRFe2VpSjD2eHFuNFf8b0NgB8USKNLKjaOdWhLIkL
mhY89ZBXxYXXELjy/3d4Xpixb9kEwPxuh38U5/z373/f4h168SaJc0h5hEYJuIF/bfG2zU+Q2lG3
/k4x/BFwSKzrN9kPNTn0TR9Pwd8bvOEQyEuKHX9v4j5Bdw7/ZId/qvjZCJmYnclCsmjzBrzY4PEG
n0ojX6tafHKXOhXWh4WnycsjGwJ8/oCJBsc4gNpsXFAdKpyIK/3FmqfAeJE2Bjze6ASbEZ6Q1UZY
9CIVw3r/06X8Iev8nMH4BI759gFp64cBmrLpmU/hGCvzmzYtxs+LBK44cIBwqtjllSwwc8vY+qff
j/ZYmQAk87094o1QNFhPstGeyFfTBsBOE1hhBBV0S/qtfNcuRfvqz0exCcUngdEi7PGptCslUQXS
qlWUrR1XrVL9RVn70zNpIo8l1O/fxUa0Qf8hcDHYs4N/piwCk3rGt7AYtKJSx6mdzetwkSNLjptd
4ScL6UC2X5w+W5/5eo9v2Y+BgWUQOS0K0acZGx1t8H52GlppM5AfxOh8oXujOAq8C3+EN/wYyqGB
Aq4iUAueTN+tXlq32zQ2CqHqeBygFeXWPczG9tW0K/F9heP0QfDps3OR0ejoshagj3kBRftTOCas
8lKoXT0icfD94NC3DZz+y+qJ7ZmvtX/sf6uo3wYKGIJgGyTinUd7fOsUewMdOdpDqRBGYhGBcKid
2Tl0Xj3HLkTxFb679ftLWP7jt/tl7geCeGNCFjh0oryH+1ngJyondaZcLSWthWLWfoURtR2/Ujij
i/3h7N/HAUVzSa7mv+YTqR0YGaeoYpzNkc0HN7WbKMtb9en3o3DS+eUafotKsolLMrmkT4ZxlVrp
9wYywnQ+RrKlfFEUo6ccxZHi/GWZNQnF3anXadx1+sx0ORcAfpvZvFzDEYOhbq5tb7v9/ef6p6u8
o2quhcIakG/7+CpPuVs3tATA/je3vhAu9tNi4kDz+1F+eQS5xmSyExbFN7d/iRUzN1UFk8M1rmY9
71bphh6i20PFxiViyvjMLf2na807hzjL+vt28jSezgnTwgg4YtExyozj7AQfxRRc9YF7iYaVPbNG
//Nge9Q26ScB3/DxFXQbsn8d4iTohVcolps5vBJ5Q1e+MGzrkFpd99xU+vVxtHgKhU+nFv2bQR+P
mLqL0rPgcZzoDF8rGXzoRXAZNvMc422OcNMaw4ecI89C7AJxGVtiFyvOLJS9cjDIE8j4tGut3kmj
eS7I8Nf5REOBcA/P5XbvKWWPP5u375t8ZqzrZL5Cq8PJWHa1XvzpfGIUXipl++BIeyfg8SgizWXA
SJLenemtV0srcUMh66TzKUtzKtjfD/cEttwXQMYjOJfby2rAhX88nj2nZocWhU/R1H11OU0eTeFm
k8VXrBHOzLEXB6gikkChRRIXeejswHhPq9MJEkwLzcvff55/usiYR/aCCyAJ0+/jjzOMdRZUmq9f
FeHYn/H+jssZVyLW5P/eQE/2s0aN0kXKlBHQQ3luKBMOiNvPrQ6/VAZc3Z1AIjDVBDBznswZa5gt
x5u4unU9SZHo2jYX5BrbezejPOZn9PV5vXAGpRes2Q2I6++/5a+rE+OT6m3RwdoXpyd3txGlv+YD
a2DhG1uysh4eq8zfPXOTcf79ULZpcW8e7aX7LsA9g39nTP7w+N6ZZPbVGNoULpS5786I7inuUB3S
tq3mOjOTMQ/CN5azVF6Ej8KfYgs3ecbu5Irws0hF8Dav0trAkjLXE9wdWiOGnKgxpqD5RH3f1X9p
ifP7OtTtmOaRKyVRC9RbpOARRNKl90O7juLSwN6JA8gs5j1sl8bYK3xmZRWPALfma7nkbDz13PW0
JLIBCyWEewukSzrBXICDkK2DGQ2+5Fq2S+bEo+IzxQat++EYQngOh2nxhimZ9YIhJwgNI25HlX/O
jAw7InkdmXdlN+GGqVNg0uEjDEVx6kMO5PjS68ajR7Ha9HnyJtXJYC5DddJhoLtLnnP3IwWRXb0o
dKmtU+X5ZCNBQbj+Gjk2Pns6WaUvccNMFUcKbPi0C+b0pe5bfEuvSMtadXhlNpzs1b1qa5H5SAmy
mPDDymoKnfMaisWQKIc6WIMEYV6PF36TDg9OZw+3bVXmr/yghart+6qZEqVNM4y73GnXpCjFdofZ
sstOpoL7iBGtio/o3tVnrQ2ESBuGpE361ccPQQpCeFsQEHGfV0qw+49Nin+Ypy2/tCROsQtR6qA4
BIvOvSRfbJknzhxO8tJL7fweadjUV5h/AiHjdVhtcHDqQP3BnB1a8yorjfveRrb0YUxU6dFdoiHE
BUaivEznrDboQpHzdJuFOblJXaUzBDis9xhq2kV5iUK+PuEdw+mv6mFtYVHs7KErKpJbsKhjnm4K
Q0haIGXeXuGLXd85LsImKT9ONSXjkjpnsmlRATO7qQhqFM3c8YgXqM1Ra7eCsJnAA+yBhlpeo2/n
VWyINbgBUQiJsvAX94hkstFtm50MlVfPVosURLszX17SujRctODN0ARBKkLkewYu63K3gM36fTZC
b5CxPrSvjKacjHjdbXh974R5Qj0k/De1vS3m65lg6B6NZZThqXXEVobYnLKpRkPpx6QV2WDeFTQ/
9CGwMGHSvSmJwL2kz2vUwVU9eaTPXCi2qvyCE03tnSuIFBrPciyrEzkJ5i0xP+oTHs5BvmyWPNRJ
PSE8UyKUwTXKLSiIzyEBk35To5mz9Hdl3Gdb3UYukrwRoaHJLy6NRZzxdLXDQ1lzxtqd/KTJKAva
K4IQJkQB97edRqwPXkpPF4CCTutgjkfZbT5CU01PNSLeaf9HQi7DiTWKSzd2Ykh54BZnSdq5Wooz
+SqWs4cxbC+UsfQNzFfoSgy5oauTdgv7G85yTXhokbSyWDV6DwDyBROiNzMiULF3pBHdWadN0rZs
i6Sv7XnhcJmTWZXKeiVuYckDI6ryYXsg6Nd9T6YoLdwFg9pFntmWlUw1DepEmEZ7L+d5Du8LsJD+
vZNCACSDlRZ/dWUgeAo27VknD5IjvGo0ERSXgfZb/yAgATSJez0HaF1W9scpHUpx7IDH6CmES2ck
qWeqv2QQltOJtCbzbHHqqA+gFWDwnV94bsRVwibfa9V1R6oA34sljRUv8nmgV0zyJPnTrO0rWole
3l33onE+kHqhvjaDlwa7E5d3GqDDk90iK1F9KEJzI66pslqJLaRmlbCl3cvDOE+TigrSQuk6Dw0u
fMKl3NfZWJdeXHp24e6tRAU6NiuixKY1k+VVXQ7dejd4AtdoHFRD55wsS9YtGROD1OLYF9rUYB4l
aWgzGOONsfkiizOes614N3thFhTof0BMPtDNqPdsJu3b4zB88VXq6vtKtu5AnMykhQQhWDVP2Egt
P94uU2ZdgAA1OK8VncsldWuVgBAXxaVEMahZccoFXiCnL93Gmsx3Y4m1Xc2em3AQmTPnBFtmFt33
2vCPyNv/N5W933b9/vXu03+/BYVf/970490lGOMwhAS8kTIA0+An3wFcpDvCtPb3X9Cx4Hf29xX8
aPrR2aPZtb8wzuJ9TrwCxKWS+SHrGRC4nBZppggTEJcf2X/S9fOeFGAmVQn+LAttaDfSUWA/roka
aQ5Uhf4R795gnnS5hawjJBHlY3kK7NK8hX1079Z+h24Qp4aLxWAbi60uXKknPLwrtQyqBwLI6AeS
zL180JvEROpOxschB2JNLJJs32vld06M9jJfO4Mng6tyHHQVOyEYVyQqbfw1OYbUpCeokH2pqnm/
AqFL7DBa7fbpshjDO+UuI4oE9MMSB06zThjaeSXMKSWRIXxv5kbtk3cEJtW4pGgcnUKmXzNSKqqk
QHNcD6Ic5zA2+zJ/t66qa2AqckbwaTm88aEU/Tg0XOJWGoBMwijSkb2YXv2iEnjkwIlpnTYkBbWd
OcV5LYZ3zpxny2U7o6AcekS6Iuqyxg0hHZZ5zl4SxlOesO9OzZLMK6F+LD4YZvND1WK9/fr78vbJ
wcQkf5T3KyAQO+F+AHx6+pvbFtXI8y5ys/ZvCtOf37Oehe2fdRPoUmN324/azp4GzcH78XQhQWEY
J0vczFNhk2jSOF111g0SznkiyyZ/pkPiOXtr5ueSnSOmZTMrGRBInA7p4/Fq4KI0zcdPUOS6JFsa
u1Ad+tVDHoZ9c95yo5GcvglwOvi9ZxFMRfIbKTsrqUwH6uj2qskWFOVtkPO90qRtJpKb1vVfgI4J
LvqQZWtYn9pSZLdLMTZjNGRDYAIWrsTlQd+QPOD14CQRQQjMvWwJtU25a5Ogk+tlubSpfkBaqnI/
VVTZnnonjeHWHkTzPnBWRLNgGni5y0b7h6SgzBFxiRc8TEbYcap7ENrgTTrbLdEN2rHptfmbDdkW
tDpxxrzfIuhJ3Z5Lbc/rpZ9jMSdHprLF0SUE5rNZQaWszC3imnWgNrKqnEmeewjy87hpwOwuJ/KT
HJzS/TIE0r2c3ZbgpZks840kEHDrcDh0WLaXNbE6UM1pjBtrpYOqpHBvtL9im9abhcrbFlv1qei2
zYmyDso36hfPmBLHJrLjFJqVe7sQGheScZHbc2RvXAJKy6L4RDmX1UdokjyIN8svTLYqkXax6zQV
EWRE2j4Ima1zPBbVSjiioXMn6qWRVscScdJ6vW30tmPy/IieWnCTXPd21bsvvAHpOjap4y97N81C
UJuxCEmrLgMr3kJnfC/tkIzIlYqkBuDic146rb2RRc/T/2KbQXMulDbGNxrUPIs4HTnWEV7Jfr9B
uAUR5npyHi2FHn+QVe83ceFUKJm0fQpNh6ebh8vBCLgUqBbLXZulVg6A1tq703wwyX+z62A5LcLJ
wZInlfZxF3R7jgJvLvAv7brwXzRDWeHmtO3FuJAEJMsk29p8Rwg8kEEfNCKP1dyZ9WGk4fy/2DuT
5bqRLNv+S80RBjjggGNYt2dPkWooTWAiRaLvG4fj62vhUvFSobTMfDGusjSLNEnkbdA4jp+z99pU
RiiqP+dIxV91bPLXxFPjspksIrG4Gxe/vWzirrzohDUCllQ9yC6WvuU02DK4VmE6MUtk+rjtF3kr
MlRBl03aMRlVbpZfLu2MGrE3FISuWuZPiNyby9LWw74BwfE6Yy34knIUxS5g99ZsaR6n9Q4GBZb3
YinHcssu1cN1IKbuHlmFoQYrlqra68pkIA5HdOcUj1LdDc7ivfgc4y+FZcXySjVhyIS9c3K1NcZM
1nFhZgwOvB0HgFlpzNkoYJkEO/ak0JQ7UelH9AvleGhwNdHZzU06btO4qnaRPeInLZRJ88OgA3Ux
+Ev7VrDAsE+pK+3sWtgwnxZlzc6+ckX30Uny+VWOGkmkdv3+Qs6OFYMkCIBzGp6HYGjnPNhFhrbB
JkSO2OyVmWpY98aPPtQFIIVTtgBx2SCGtAC9mWJeQPGA3thNolbPSozFjWXM7FwByFJvsyv9O23H
zWuy1E23R6QiIZB1BY6suO2gTxa6qBY4ei7z5GXsbiChzm9jyaKHNaWMniB8Ms7h8kjVLnYalqnF
0eIx9PrmwTSGH+MmQlAjxjA1OyQgwV1s50hci5iW/qEYMJ0dlGnil3Wf8MVNcmrpIVhIQeksUaAg
UYzvt3KKuP4WVaan3kXheUBxHj5EqrLLTRWkNgdsmkc+rvHsdldRpH+KeDxC08q96NVfpJ9taDsJ
n81RYZutV0wKcpxbq/GlmitEclbbZuUm4nLlZ3RfKrhffv3B7ucm3SQrZvEUFqU9uqSCLV59dGv0
s8tVJJbVCzEOq0nGRu9x2Y4r0rJAL2TtJIoSAPnlBMLUYyeL/sIsoGG9jmwv0+hqC78jm3aqEund
EkjdbH0SRW7mLI2DfRNK/1se26U6WaaoXlPgcfLgwxf81LVW5G8cZVUCxRFMvaHqEdG4PskQuzrO
UGscq95tbkMzAQBEYpqibe6McY5FHjeAdFrgRKgmqQXA9OTQp3SUsvkcE2V/1v3gvAK0VD9kKTmq
QL2SOxq+0F6nTHCRR1b6lsXGXUheKNrxUucIgFHHtzimW9Uj4xBqhItd0qh7q4CEe7sYdnV9UKWH
qt0zGBo2RQS2YV/QpBg3Kk3bajMt8DA2em5noHvQWNB+RH5kaFiErP6pWcCGNLH1gtXD+xqC+b5D
2Bl8qbvORlUVRYiyMAxQ9biLMtynKKp3Re/oYet09gTCKbZbs1Ec936LrjL7kgWWBdkgjCUtlWnS
9RYZZWSvYiTZ7lPPc58TvxR4dITRlHBGtJvWsoe7iOUXu0gxUGN5tHjtK1nW8nNsD+njwPXebSMj
8w9dLlj3QftEd/MQFnoXDuPCSCKdLWeXIP/82sQT4KjRWpJ6xy5/geuDX/hSztxdG2TdXgxIucrv
ddaPPHRMWCMZyZPh3lmoJTFGOMULW8im2zB0sd/aaaye8ikGNJrbRY/2KFZPbNU4+ag1bH91z9De
EUHt/ygSCcRGzY3x2AkPldgX+ex/XLrC/z7grvhaDtx0m6ofUIkDHmyHg7SxhxGBtCDmRgdsuxsa
ldQyE16ip7KK/KehY9U+4FxjqwehG1lJcZVrTQDABssKbhuJcvmtdMxqSfF6QZSYX3+rsWe9yEAP
q7begrQW+BDPd5hB23xXFnkwXTcqKFZulU66+16FGXaaBUxTk+YZ9ifaU/TE2hHN/ZRU+XZuJ7IQ
A0RRSNRyNaHOi/IAFF6k8mYbSaIGNqJJF+dauvMSHCHDWMNVuPRN88XEbuRtZyu1poc5qUIQxvCp
HwmjiMSttvq5PXUw5rkiK/oCHbuNeokgyUzSGxzwrX4nnecqamP28raIjay2DKgYBGz81lRyPMLY
E6bdjAIpRcPHwHD2JU8pKS9bCTCaTL5exTkN91hLfRhpE3Hqy7xb0ueUTi6dybhw521dR5G8LsDd
0cMB8bPy/ShxovIekSJSwK1FGSG2biFlgn4X+XOmtyVVq+XivE2FdW+Wccmv1RhaxBDOdr8kP0Qn
C+tQVl4W3OcduvwfQMb4PirCC+zt4TWV6sJWkx1WGyeByASQS1eh2IpQ1SmkKtE1u7qd+RYSDiZb
Gax7Jjj2wdimn3qUdLIAdKey8fNi2qX+hK2mFIeiJwrx45iVJGRtcndJ/QOliEDdHkLlHTcSJ4P4
kCauL4INzvTOf0gXNh/xFuUktTcNkYCnqFXxaXdzvuQJwPTIr/tPphvGEDtb4gNJAday0BOyY6+/
sZI6qa6rtpv0TR+0qzypsVQeZJtkZuN7EXlda9+NrYdSvWRooD80zRSJR9GDX7yhS1og2HLN9Dm0
VqeOQ+YM8z5TUt5Azyy3TpR57hedzOatxwxYbu28m1ZDHHjMUxW7mokdzfk9fs/pqvUNOsk+jzTl
CQq8F3w8vfXRoraeN1VmL/4+jegOU+ANIr7O/KC3WSjNAjQMV9GxRIJL90lp8ZQsoml3XT96zqlN
vGLZq3qRgJFkEopLR7fE0THH73CHuRx8rq8IXADwop5Nq2cWhuDlXI937UA2yh5W2gRPvqMk36Wl
5TWXmVvGKeE+mPZqpup4YlQVZhvYZd2DLct0ORkg3GKP8I3S3sB/vp8xZ2tRX2VTGXs8uoOIL2JN
KdsE7VEGMzkFGI+konjQeDtfRBa6Pxb2vfGTZbfpU9F08QfaouCL4nqiD+y7PaDDBXDRD2FPIruP
alC7eymSAJ18FQJ2aJMaN6fv8PTGSNG/dlwSCcy8OT2pbllwo3VKspmwDZ1eYg+7+QKA0vhp9tzh
s+QpiFZkaSvsMFPqB+jSe/1B1XWfwZ4C8HFM1p46FL+GA6bxLd05WYCpygaO8tGGo/Z1oVxCt84T
wtrhSHSLQ5tYCbdQEi/PC/mX8BKxSLUbkKb0EfAap96FkJl6aaMg/hD56RztsmbBS+bTK2dfFro2
D6UM0SG3iDMPh/PG/f+aZv8lJE2Kfy2Hx33Pyvn91zjg82/87JzJPwQ4n7UnBdT8V7kcnTPso3gi
6Hk4nkdA4D86Z46PPx0EEF0DpppALGgY/Nk5W7PTz1IuSQAGexNP/p3O2W+NM1ae9X9Ic5hMw1UJ
fuuEgBkJHWQl8canQfuhn4dvPQXo3s+VeL9A/qUaB6nUb10QYkYDVP6sJeDJGMj+NqXt2w7BFGBA
sHCd2lijbg+a+KQNBjGwckMVzXIjC4gxrTf6t/YE7a/xZ/2Iha363gxudVvbGtc2a/6FKmV+mrwg
32R4lXB1i9fQ8r1T08xf0jp0L/uxt+7TUQw7upniPi8i76sL8OiRtA4GJpju5SzDfS+nV9NByGVy
6r6kOK+3KoqfohAhLJRv9h6+V1LBDCmOlo3HNtnfRpM/3fXlcD+JdniN3IhtNJq4ZyWT/piyeUG7
uook5uyygIS1jWqk1dslKMNtN3YeDtCx+mEU49m1m7ktp66ByA4Z9hGTrsl2GHNC2vkmCijByiF+
XeJ8mXcIadNDIvp6l7tyYOlMS55I3fCI1dvKnX1QAhOzH8PEdxNHnWrA0hGo61F6RXtpY3JdhsM0
1ybQl/ikLf1kRIHQLNFZPG1CODc0Spg330+5M74Uc4yy3BpLD5eOXbnfKVyceR/bI5ZrhYR/69WD
YbPTD9bXMMLcveBz/DH6dfrgjCZU2yZKJ283Of00sPU38tuwtH54UQC7YziWCI65o1H0XUo8tXh7
qtDazEPG2lppewZk2Pnxwekgdy7R1H/qaw24RXd+6l96S09lh4MCrZEHLgCIOJ7ygseFnUKN7bMB
a3Fu7E3M8tuyFy2D8LJu6GuzVod5zixnHOU+LnPQnSFvjBuuk23LXsuV6P7bOLkMxsZatpbJQCGQ
T1J9ln4N7YfvMHzMbKnDjRcaHqOpPfpvala1AZE/sSDHg4bs4KiEhh3aTvbazhIQ2uLZvaBUNmte
Cp5q90sPc6/ehg4e17VVbL1O0Toq79JC/FBNbi1H4M7hl8ENmD/jLqAMczOUVtspVJjGQD/i0dQp
Spwy8JAAuEixsLxb65Vb0+N9yfAQ3nl21Ha7rFdzewh0QKuq08is+emh/bHkPuK/KYjymuonaH1a
asWIDRKx3nSYSGId4g/9oA3rAouSafpXHnyU7PbaifTYplbUjhbNY1Hky55YjLDFhLq2MBOrcNp9
ZY1VQmFKUtQpGIbyu48L8Ml08Cl2xfkphNOEg1Oen04q7+l/qSi3NQTV9QnWrQ8zd32scU3whGvO
TzvIFDmryPkpKBkRPdNk4dk4iFwUh8yrunSfj4rVhMunZOZnW4/i/HxFyOXd0YYz7AfPT2ASTxdx
DM9PZk1j5APEYZ7XaeqXcLxwivMcXx/pVFLjp76qBF7Jmmg52pzr878PLDNtACCmiFA1hSQc6/61
OtcNJgUyVJ2rCbbwGFBoM1NluOeKw16Lj+BchyTnmoQNIfUJjgXrPnYoWuxz/eKupcy8FjUUQsUD
GGwqnfpc9QTnCgh1ANUQDHYqo1a6CYPWTZAUiyiJLzF+f4+FfvE3fYNMf4+bhfqqHuPuYfVvrTra
tQLL12Isf6/LzjXacq7XxnPt1p3rOKgH1HT2ub4Ly3kICFlb6z51rgG7cz0ozrUhzvlA0Mtea8bW
dbgopiR1nVM4yLrdOVkmnkYamy4O8XA6xjPAaJon1XojCc+Or01rYC0EoTb+fqnsAXgJJCzro1jL
WszVVLi+UiBd/bXwzVN2mZBcKYfVuTJ2zlXyrBacN+xR4ITrsqQ/1+cSJiujKP9ajqu0LqGQBX9s
F9NnLNcU4zHu8+GmCGUZf6sJUBheVedUJXviapmf60hkzF+Q4tGRKRxHdw9hNnvqQ19La5FAzisg
c5sENLEkP6mx9SOo0Ti9NRWe1Wyjg4j2SFX2IhswbCfV1GyBnDEfRoBWW+5x7Eym7zjOjnVRKqum
eWbTJQ82Lq8fnZLUykesMcbjK80YJKZgE4k4ct8yC8DHaXB9HxFkP0yWWo0S0gSHunUtTbPQVKAb
Smt0lnYHDDJiRbKDtv8EMIWB2BZxRKk+B4ySEG03cdY+NK2HWVsZIZYTqRG1d4x6sAd77bYTS8kQ
CRY/FBzpZZwCuDhJCInBvTVkRUuDmMwpZ8uDdnwq6UjWR3IpMH9FgOQgTxJwyR3VBmhdfLRhFMgl
CiHvIe+5O05Yksfgwipw3mG0MbmT/XC1A/ra9P5g76sulFGxW8Es2csyDWL42Iz+JG7YNs3ljZSN
Q45V6ZmOtraugwQkMyf0GE148D/RN1ymXWgzWTgK5tUln77vln1ulfpOa4QdoO6LNLlh/dX6dSCa
mrkZbRL5Qee2e42sIJVXemmhWPdwIARHyJ+rh5z2Eg7iJPJfGseLDQ3sMBv3aY8CfjcsfTLej8YV
z9LR8fjWGbYr3z3PKccbbyza+Lr2s0Bc5GRDZDYojBAlk2YZtQncqkyLSXFq5gwufed1RsLwpH94
iYvxxyzxE80zDuMQOfWtb1mUC1QpeMCZmLCnAsoiT2MB0HGblX3h7bCFoQxxyXuP5oyKI5LxSXrz
x0z41Vedt6SNRKVs9ulSpHsUngWeR/q1hFkWezOwUQKKbfUHr7IX7mR6ZERPVnfsLpKDGFugqc0k
WXMtEoXohrUXHhrHI7thg7+shbWN+udimurlc8WAwNmMjmCOP7TJVtAkwgQ9gC+PPdDGlQPopxPI
Svw0pO2l5K1S9qZqguDkNq6+dpyefK8++NGYfDrh7fDJ22AlybEdHejjxIdsmH/gaxqOvigEiQE5
OAldj19axCr3pKbobRaAYO98L3uqdBKBhy67fA3uBPRM+hfgm74QIV7MRfCQE4Yi0yokbHCQDwc/
kyeviNmmBv5gdjTwBRd0w2h60wHn3UVeWBzsYLFewsh/5jLp72ePSGd3YIeZdd540+Gc287Cwjg3
q6LbJ+643AOcJ7nG0Fpt/VbizRusl9jzrgmOGnatlZe7cnGtu8gXybZp2/wyC0z3OPljTScjGC2b
VQw8AS7Bt5H4xB3VXM1zknbMDnkW2PO5Y+btFZ+Z6BKvMCMB1L0GmxAxAYNsFVy0XbwOhqrysYlm
c4NWsL0ZkE1eVMQ+HZaSHiDUUMikdghHhsEJ+a04vQzDaJ5sHlNFv7DTa2cQj7Qs471TJ80OLgvT
DwvwCFrAdgO2KH7i5u12JA8NXzHJ2rQDZ3Ezd7J5q2oTfYgM7YTGpYXL+PY+CatPRBnYmyQjDKwY
ojfPyPKkmQNhL12YJFYp8cEMcI80881n+CDYT5PQ+yYpcTfT6M8XULtx3Xp2MeidWripyZ1S/veR
cJN7d+axHoS9vPF5cB4bR38GCVF+NZPk+ZGP7mVBKBVLVVv/aENB8FU/1JdiKYqLKikewxZBUgLI
H6JhxPB/QYVJLgQN+22fepbeCuF/ClOGjRuvSepXp678bO9mfvcmINtfkLsW7cQo63CH/5E+U5+H
6yLvpuhHrWHcIXrNc267bHhdUMatoVbWvp0oT5XvPGW4NNnjEPNuEQhwIQd8iyAXNGbkwYxvGVGl
8fv4/P/2+v8Fw+3f7fVvEH+9vNS/7vXPv/G+17ecPxC0+DKkM4rpCs0G2/afnDon+GPdzUMS9CQD
C7VKlH/qZFz5B7oAD0kCsMoQw8H/2+sL+w88YnR3bU8hV2A9/Dtb/fcN9j9kCIDzaOgTl+kCygMF
/U+YWrWEsUUK/Pdu9KzligesKG8bL4NFVVYjxJk4rTJu6XgoEd0NjPdcSZfJD3t8tIvKZJEe6fxW
vr3F5V6N5l7PTPWj6xxVdoskhUVtvcfK7g2dCny7zSozZ7ukXStMACS5tRddkNY8NzFaySqAZuPj
Wm6/gEmqC9fbRY5M5m7XinTOV02gZdPM3glwEKP66FlxjVc5CRH7VDehN4thgvwvi/ERCMhY3JuY
Xd0TmqRC7EGHuPW9D0CMsTY3ECySMiyzS08mAQzXapz9PZVsTYeZBJbikJaxbYNc64k5nKeBVtls
vO4N7S8ElNFjFPwo3S5sHsKRnsVd45fFV/AisFMCLfruZL8zVVa8SnYmrVCpQl0p/SoLIIYoaCxk
PUBmiXQndt6Z1yJXdAtpkCbYyFFV04FZl6rvCG2C9IL0MgsO4ZkAg8aIGIv6TIZRUzsyiDkTY1IJ
PKan1xJuMW9h50W17dObPLNmCLLMn3rG1zfumUOjh25+I62jH1+8eMyrW1Z427kipyb+aIHDQRag
3OgFCAOgWxIRG/2pkXYaRhuKQoPxPbXVkn7H/+x6l27ZFeq1bcinxFXpLd0dBJCwv7LPYJ2xr8N6
n0zB5F6WpvU+IKhuQA+sRJ7yDOeh2UMjNluZPVYtg2TvOROrvVUgyqT+WBE/TcyAYNOd0T9pu2KA
FlfJb1BFq8fljAnqVmLQwK2WH8psBQnlK1MoIPwKMZbngxpCUULYHf8Egiiua/E2kQE+AGaBUUQ6
3GrZCipJ3bBSjLpAKzo96Vhp8nuCvOgbnvRn5lGUu/CPkjMLqUqNOtBogJA0QMeHTGWnokc41RYL
0R/K6vaLzc0MbdZyQImlVZjfZqPT5IdpJTA1o93cJGcsE8UWE/aM8Kj4Ljijm+IzxmlofOdbcYY7
LbaD8++MfLLP+Cc2Q65PXp6LuNYMdvFQNtpRFxqMizxOZ4gUAwoTH3k4k9R6xkylK3GqYPePxuIM
oiIXhXAS/wyomn32JhtzBlfZ4cysT/ZD1x1rSd7KFqRWYB3HxtTqNEbwr1J4FBMn6szFEmdIVn8G
ZklxpmcJ/P79bkR0Fu3tM2KrOOO2OCmgt/QZw+V1ELnaM5zLgtP3ASIWyC60GviLWo7JtKEBCNaL
yCAim8p33FcJq6MQKwRMqRUI1p7hYE6FipU0rzM0bEZegLQkcD6y3MaPXjWCtCQfB9gY3CLtfQTG
ZusjTAiAZOkZThZHOelsyxlaJs4As8xKZPI0ncFm9hlyRrzDCjxb2WccZa3vycr1PkC4wmSiz6A0
mJsTIe+ztR9XhBpjEmhq3pmsxkSNXlV2Jq6lZ/oaTgJIbFNFc3hDGChyu6xho4w+vZ+r7pTO9dQf
0mBwioMY2iLAM0QTGR9WqUTzTZR1dWV7DJfvRUMu8KEnbUTSbCQ4adMyd/y+dFLSxwhYyQWMyuBI
9JwGBZnF7VvQe+I0sco3X8oRB9ge9XOrjilzKuea7KUKWoF2nPg4UtE+GXI4Pnpxz9HKtNXM1/g7
l2XvB9MU0LasVHboZqm54Ev4AoTDYJYDKeSjaL7VU+OJm4ygPSI/EPCIz5ibg+/4S/PxS48mciAd
qGwRd8+oqx4lKj930zEUTk/aTx15waBkng4yllZN+l2Nfj5wcSSgEfazy8QbbPuAkkY8T4lLmcYY
K4Dr1eW5yy460c7ethpapZ3L9mTnmcAS+7FfFrFD02TMlgbi7L22JvFIJtSMgEkrmJw8ntEox6Fq
4LQkeWvumc6PkCqisk/HHP10Go39ZlhMMAso0lGNRa1LRoQbqgji5MrLkQ8SCZz7Q3AtM1T8zyqO
o9jdwmzoyMsxRafdrUWXofkhhlmx77H7GhVRXoOjVnQBanZCiKxmVJxlxMJCP6UlwjgejXeqdVGa
Q5C3w0p5WTVy7O57hvzrgr7Npqwc7ydCx80xrQzPx53XYXOP6VjAQdtRmWTEWgmETg8lYMthCzZv
yffzPDsOEotZLrdZnzgzCNeUWBwTeGN8rEGtjlu4KeKDp9IAnCxRIm18YTMNdY7SSUSOcCZDyYZF
KwHzGCMJf8pr4scy/CNZOhH3FtauYtaHPqRvtmFWJgMRUZapr5jcSmI02UTMpNuswd7Dd7WUFSDP
mDus2jlT6qmVbmJE9Rmy08zGu1yUn9BL5eQ2F0WGdKHYNxECiBmizJCYm2qOAmajCVacK49JgLrs
oQ/6R0+UKSdugecHoD4owQzuPZ5yfURiHGRFOpi2iMCt2AxXyYYLbcTzCEKcGWbsPFbORCy2NRv6
sWNhL3g1crSP7A7DILnBH2D531Blmf5mcuxmvNMVWLR241pp1H1phNvI6wGjoLgRY2f5V4mVDfm9
GvK62oWtDgKikjsy1e4bv7LMxzbq7Okr7UbMK/Cu4JQRdTGb9MKIuAWkFYMo7R5kFPhNj4wpdt/q
zssichi1Ve09yR7vaxTSdtuXYIU+rr7EGw5csEDq8qrnJhix2GxRy2XTNw3TJdxUSRSbK4LefO8y
pRrIPwK3T6bvBKmVz20F//BU1FMxXc8+t/FFZMNO3VdMsvR9XrL53yJkJiwGBWqVXCGE8MrLyFK6
OgV5tQxPJVc6V6Gdxt0XYn7kY1eO1VeEVY745BO4UhBsYIB7NIvdpKeYlt201XM1IcxhF2/vxKQx
UTlKp9ZHtM21ftAIWkqL+xeD0Im+NPagCcA7H2po9UNis+jv/9eNOSv6KGj8f93EBB7S/H894vzv
ty59+cuE8/wL77se6f0hEf+DV7FVCCTBQ3v/c9Mj5B9rjsnKFzjztx3e5c9NT8A/2QI4N9safmaF
Ofw54XS9P5CB24THKI97V7En+5M7/pNp8I5N//9hHMjAZr3D/L++HFknzKaYSv5KAQhylzA+EgPN
bIKw26aZkO0zhjLA7jtIVpK/++Xg/PwEvxI+VgPmr9ssjoMTYoVfd4Lqn5kbQezlDZkUr9p06xvS
mxTtszXZ/DfU2vaPsS566/FvvinGYu6ukKaLfUaf/PVr5mievbrQz13nuu3z0E6D9egXZrQew7Fb
VjfEgMnsb7+pWEfadqDWd+VU/fVN/a7Mxk4HvGnN2yV27ec3URK7+U0Vpl5+Q7jfauj699/0ryNr
Tmjo8k0lqHU87BgFfntTLAz5Kpr7PiIR4hQyu+J8khXH145KhhvD7t+/31/NxYzu3dUg7vElA/Ix
zjv3Xy+geCDhVIGdslUZtM+ZD5iUC+d8OpNBrocWF0hqxxvFn9AQA836z9fUX7/0egEH7jqh53Dz
Cf6JMcHjQgXY/jwIuDjXCW89n9qiQ8LKmkcGLX/3t76254LF9x06BeslhUNnvcp/uW8KL8s6YO3o
14q6zvHzQSG2yr3sSDysL4IMCSHxDok983+JzYArO9hZUPXp8d9/jr/eTcrGXbQCBZnqeKtd/3fV
QFJhgvarbw4HfgsHqiKmg6vO5cZCYTytRl3K0f9wif32nixZDJuwiNi8JcqI4LfvHlu2QZyXFZs0
qybr0S19jyVD4ePQG1OjyXlEOK19+/3h8i8lEqvY4h8LBwshjzrcIZxedBJMPFcBxS+HnNSR0Qe4
VaISTbX12BZpzhvaZjKcZLjR3Mw1J20aNu+Xe9o367UAcTzj5/7WYXegjLDwugGXHs5jMJ5//Sxg
vWPA1xY2kYbVjtCW8zGYWcCsR2tyyzbeZ5HlcwP++/ddl+NfjwHNKSqgFdtCWBkGsd+Wa5Gi62yB
TG4Ao+GW2dqA7vhyoVz+801FA+y3dwsEN9OqgEEEsn7N3050aQKbnRY4MjjGgoMMtrfjmxX9GMIt
Tzx/th6rhVF5vEeMPHfOrVMLaN7HjLmY/cHFpRTFADMVV0l8vlayNJuGgKzXHuk1BR3ZCXq6HjDV
8ie7Qj9g70sC+XhFJLXMXPZ2k2XSAQnRhLMgoj1D71pclBSiDljHqGn4fVmF67v++eaNREW2l6kv
s/FLndZDWp9yFS61PqFLLdWNyUyGPSdgS8YFMmq/Wq+TdAkHtoN2ZJO4YzVDCHetH0XESUxEVqNp
iHp0QmRlFV3P2zVJNOT9hWNldm8B1g7XFyug9LEAJr2/BI/aFFnDLYiVR/zQhBOM2XVSJU6QfjRT
k6oVID1OaX+rCBCk8eV3Yc1riGLIebchJB4eeYXVMvS4+/mXYmbYgtp8jBvniZ1+0XwRY9Dw422f
cOdFvCBHLUt0wd81iMu5PGQWRHzuuh3Xgz7bU8Dpe7+Lfn6z9+sXVOP6QHIR7Or2uGiWAUzu70v6
z4MriGFk6DRYniqaI4D4shyOZWatPaTFd9fLA250zhQo70cGqEfmiq07XdLliPvu8/v7oNh06xtR
JhKiHzjPhoQcEiDASl5BpwQYei0W7aGDJod8XVT6Fr8Aeo9kfbb8vHR+Hg9fpZqPDJGw4vs6709U
CqrWelzqnnWJGLx4fQlJVzM40mw9rwkzQetk4zWOGRMM9I0zwhxOyRXPabH4djxta3tGh7lJG2P1
n8MlVObrz5dij7q+hvGH9bEyNXXNlx4ju+ZrwidlLLb9eUpicMecwZ8r1bA2A+QGFHpZvYazJhH3
iGWrtp/NOKGa3TVRvd4GP388dBnf2vvZLWt+MLWjknerseBwbJuqMvybNXWtUru2HCxyGKHHU1Qo
0ieVAnGUot85eAtueygU7z/Pbp816fB+Egr2uxzOaXLWSySoFlrdFzEPlPzG4Q9rlUQR+AxDnM3h
ZhjQCXVYObImAWK4Ee2UT/On3I9LN/gSLqlW1kurTDgvhzqWger3XjuTHvRsQgAt8nKyI5F3n2ve
JVI/TGdKJ36kP9SX5hNrnRv3eKVkZ8aHfgjXe86t+8kR39lhmSm9eK+eCsAIa8vm/UIudb3+YITL
j2Pe1zONib0DiLF9Yd8jJvoeCdtfALGAIfjBnzf6+4WvcskD4+e/OF4h85upEdxBNCrXQ2zoELK0
THlRcPjjEsda9zlBT0Qu9OzDbjQf2gTjLVdu6ND/ADQ1rpWdXs/sQxQsOhivfpYj7JuH9VRm5cyl
8l7xqj6MW5IwKIoapMOYneL4SOYtLf6LMVnScTnkooOUuhVVo1iY2Gevl7gWmUOdZeyaszaE6XrH
ybULMuxQ8qXL8NWbiZu/rQDn4KgIXW6s27KY1udD2vp852zw+qQ4SBcmRXMTBVTA1W5AMyct0hA6
OeTXbF1D/5tP/E5xK6VrqGyK1Ba8HpMHL5M4cyPf/1ZwNfC7nY36qWMF5Dp8rIVSxS1ogYVfslvV
wtjOBjuO6D0GsOu4LrqGDfppTNeqeVcEOcCIfWY3c2iOrZAlt9GEiIRXZFCp+fUm57IIbim1W0bI
oHZdPggywAgMko/3k1dZczb5S0tRKpoj8SbrTyqa5OOFCnHpVzs/0yN/Fzk5xh9pCJKk9dBzE7To
XBj9J4cS1hDeNVQ3E1jz95cgcryKEgIrxlYx76VHtzJ7S1mGpykpkHfgEMo6Xr5U3sDLtyitOIww
KSpNtEpoxYODes5r5vpkd63hmxIX7pXWKbHwhlqnyDG4rI/vx7OU1frbmjyBNtmFshmn+zTVQNXQ
/Lx/+S7srMeUES4GbHpr03qUqyXlPE1xvy7yRa4zXjAG3EX/olNdVJ1cf567Z49t6PQRR2Gq3jI7
SrLnHjYIgUCts3RXTEKXgPZqoVuzo9mC6RtcIZc7jfD1Mpg1Kpr2kNGRKm6N6jze2CLXZT13xh/X
DqzN1VPtqnbkJ7AysPDuhpA0kHE31/PCl3V7+A7f3k8BV/a0fgfI+wHnUTsNS9pdyj5jbq7Mgt9u
XU2d9aKA+4X2/JCgUufdUgIXOUiL19tjft26gmsfYxS5oLfvRxHFDkJOUn51ldxNnVMT+RsNseGy
tfxsWY/RAvWlQgwT9bx8uGT2aJ0wBDWltw+xZHIi1xthfd33I5zT6+VDwrdvCjTv7aAGbzsFLU8Y
JmFZpRkdBItB0Wl8ChVzLLW1Xsc5K37uXWB86lnm7eJ/qDuTJkmRLUv/lZJeN09QBgVEqjcGNvo8
hbvHBgkPj2CeQRl+fX+4WXZlZou8qreoRUkuUiLC3cwwQLl67znfSZCfPxCsvb5Ywd6t51rVa6xk
SEYrPpHQByCwr4Sprwc843rgB50oXf/ycgJkWaxHUvXeaCNnM4ru696rs3hNpNdadl5BKnvXpHU3
cqlfjvx83tDjrTfs+V86Ogy8PKtL1Ec3xPUsMjnYY0XQDRU0QUG4nedpvdvP326ZUn4q1KGR7Ya7
SGHlD1C9ohbyp5Ja64+fCyu75669XLFj5QpOV1fnBX+ZuBzTdwd3Bh+D5wmLSBnTJdeQOTNHxLjT
t+uZT5qx5OymlYGb7fl8PFpYhp5xdL9WtHRSiu8ZTajgt1Iar7wGkv/1jKBEWk/hkCQGf8mG2eKc
a12k9TiBLYScOyEzfCM/or7p+MFMA9X+FSW1PrtdQnMsOm6LcsXPjnQmUyI6TBI+VcxwlleUFulQ
fSCigQptgyRP09sf3eKA1wn6keGX3HFb6iidedRnrFwy7TX00QV4mZrc8ssCRnecj66m+evM17Qk
khO0Xy9+Z4oVaQ10X9KG+JowKvDlLvhQSlboUWL4Wm2/ouO1lN6r5FQUOkJRWvSIe4xDTgYRj67I
m3OeOuhrEVJtxzjWqZjLcsx4WPEAKynXkzAqlbeDk47h9uGycalnvSxR6trukmEipj1bETzDbTTX
O9ImTMoE9vcVL91YccQjyXVTwUtjWl4fhwsCqfVxmHZrOW1bai0f8H8bJT3pBu01eGnV2WX84JU2
XKwbvtyZT+1izmw4Gcw7x2HbaSXI7D33hlsSspGn2ZBedV5b8H7xYq53MWSb0Yz8OI0N+FjmyNaQ
UByl1pqgz43GMK/DxQ2l6TcFKT5qY4QFiOSgRBDOr1+e3lh8edihqv6qJZDjUWlevjLC0Ni4hBq7
Cd1HqqyV/V7IeD2eTs6DTmXPwKaaH82e65XqM1Q91QkNmLWKtqc55i+JKlk3BOeSqslhQ6gTDGCR
d0Q4dM6aV3t+62z2UnM8aUyS0O27Ky++wUDUMcbxrcSzOarLZ40FquxwmwIkqhC8YpTi64sY3qYp
OY/RPOS7kNDZHiqMg9uKuB/8t3yU3BpCx/HNRPRIAUOcYmW6rWTZhj90ijQUkoUV9vpncS6ZBUJk
fgtJHLWRxvSHgoPlzOHwKw3DJSeC8AouNGrNnk+Qrh/yowFNw+lX5w/OorQuTz0iPX4+WeuUD9b/
9aXq3BbraT/335yvcixEbE9D4XwqWU/XM4o8wo3sI6q0oa381KzWFzzv8Ks2XV+27saaq5GleW0I
zEk3pMuuVe3QPkB+qNaC8av/1UXpuhJ4Xy0x3HWYjK+Nss8xXuFNXA9Bptp66qpWrjvQ8bxRuuxw
KflMbhkdlByVHeDt9dMX9hInxsciyfSN3yd3Xq/PbIrXa7AOnXUD27QKLfpzP2XTMF6nyUgeFzvf
eFWKthu2vyWCDPdc7F8uzWSWHi8AiGz9Ai7bVHV+cXTHLQerWVVjFNcauuJBXqHucguXcvBrH61Q
4c0lejTXaxjxNnbujjNmrtLmjvqjK+ItQFu3YsgTvp/+3Cys6Mvyp5qW5nq1MZTjXq9woK0/Ei8E
6JFkX6t1r024IFuA6x6YWwgCDE0uyloL8heXN9JuzmKiOjqq9Venc1FhzGtYmh2xjAo0M4aLu7Bg
+sgkHbuaxxKer4tWSanLe19ao+fzZp1bhi0GmvVrxZDD18pIB4PD0Y1nBPrkOOgLDNdpmTSucIba
60OkmTyRiaORdsgE944V9/xCwy7cTbZxxdUwb0ejX3dXl4uWPLGEp8PYAWUC7FWw3uNCMWTnxgHd
HMVrjj3CyuEK4T4rNVqSr92+CD2Xt72sDTFlaxaTmlXDhD5QXdcsjsBEJP+7XFKXijk77yRRiDhV
iiAUyHsD63/t1V4ufmSlovm43PeFXNZvKvfYn/RoFnuFZ4Uti0obv0CrzfmcS+g1CAvPXYIZEEFn
+mYkWxUF5xeWs5NyHAObb16k++qHQ0/LOT0DhKMqfjj/3Pi1GULCsG4wLsuQnqn1l8w5WRtcGAU7
/kf8xLoDv3Qd1flKUnW+tnKgT6y/gJF//UlP4OZoduDEOpKLqsVo14BM1h3+7XLNSas1Qj6ChJo4
XGvkcPFlWxqr/5ocziaQHMLEmdjc3sT1KAnWQP2TT/U7fkUKw71Ndc/XfPm8QN1M0FmOnS+dcRPm
mRtfe3UVy3ZT4kl2vWM92AU+zdysqjZ6skvE5dnPch7xDR6jznBgXLiQEWfzwYrhYYhbI0HHKW5l
3fZ8ssthXi7h+rwt7ap8XbMxtOhUtAOpW9ZnVSbYmoOycNZe5KWFcbm/sQOvhbvHc4bv6nIGicwi
To7oQrIxHsKvdvo/7yT+tWWOh4B9GG1jJgVwZGHG/r23J71KGgVpke55+0wEx1oEXVbAmbqAk/rP
31KsE60/ty8N7gK65TRQDOi1ePr+9qa5bmiQXNauybnrUOmazdc4nq+WtVTlHCbnscGEwrhenoZz
N8CyzSWKD26H+i19AJJYm7/ZT0upQVLMJoW2tgb8yJNW9nPHBd6FVscV6Hb2+icNQ896CS0Nqze9
KSgHHKxW22Gn73UT7dRnGyohB5zEc48pejq3wpCYrv1V+t2CFzPPj8LzVKxix8TbaU5hwzKdlaxl
R0n7NXKwl2Tt7kDTXqvNSKAMwF907g2ZuLF57/58lVw6BHqEl6jehZqTQ5oxp2x9+IdyXO+stXrk
T+e2wWKO61gHcpeQe1Qn6wNt+XPRshTN+gg7/x3qvWL9EgbVEuaSRTMd6zGicEcwfa7dqPkYubGh
HUAcZpVckCddmsqzVa9vFc1txnVcLd26wFw+U9nXLFJ5ZK5lQGmKta64lJYTbnu+suT85MfzRRjj
/jIKqsxu4sPZXHKE+pUWTeBsP6M94ihisI28wWUJv1QMhZWvv6DIzhuRmBWs1ubJgxvSdNvp/Pk4
9+sCcllSqcx1PrTbWOt5S89P4strjjmzMAJG7HL9uFY7rT+SNUOBtrgTUZ5b23gY1nV90PFDdIGW
l2nMA3Qq1xYZMWxfRxu164V1eQJcjnZeoMA1O+Nc+lWGnWdADW0aigjoSxYCmi9Un9r3y13+dWP9
NyiO/wflYRv6PxUbP1Xgjv7t/5+9f/3aefZuQtGD34ysWOoMjQAy/DF7x0FsSSEl8D3mVyyNl7m7
Zhj/EDQMDJ2xh7vO1hmw/DF4t7Adu4yeHGTMzH3Wl/sXBu8CyNlfVkPMyWv8m2D2zwSV8fB6vH8e
aFlJB4BcQUBJCKgzgkgfG2Aoecd8xHL64d2YLBKxlMY24To20bk0vtlM0KLDyO7qW1Ms0oIEOjRF
0NbtBGDFsog0hUoRL7fE1w3uw9iYXoSZd+mj8DGzEDxdQzzIV6Nd7bWHpZDkNdrYpk7GWIt+JZkA
aQ1ozY3qiZRUtkwYbUqThyhulwGHFD2sH3Tn0PVu8sJgaQumUIseSuRjU8ATZJbf9S7raw8wh2dE
+yxFamuz8IbzdMewErYXi5MVqu1IKHj/Mjq1dPwGLcTkUz8v+V1RFXm7z0pAFk88MOzskbZmXXzg
GnYe7AiB9YM94KE+yarpVuNv5ZSBISZCHwtVN9UhV8AgnofZqewuSMA2Z4GnxjL/AM9Spwee++MC
e7UPK9BgEjrajap6xi80pCicbwi7t9Ml6AuG3zag42WMbnF6UDX6HF41v2Mi0JYTKJ2+/oWoy2vy
Ta8oI3/kbIiawMPi0FAML8Ij5tpGgmYcsrgRJK4KJhjfY9th5JNIzdWACtWkrayoQPe3O3T9cGAS
sRAyQawwwcdEDCaWvukUmyBapborcuhOsi/NBnbyBJ8jAHxVLYc04pT8Rp4K/DMpF6Htwkqw2rL1
RQsJ7VvUXnQHEQJHPWSNVEoOELUrqCCXD5vwRSQ54j1+vs27u5yEYfNWsc1c3rTB6xPTnwgLm8Ij
I2XRfbcm0YVvixFPzbemH6vq3mkggJEJul+65Jk0OwsyjZl9i8jxOtIjoFWdOW8W5p1PUWXI9zSl
3nQ3QuAYWfHXhfuA0LHymSlGQVyNdNSoMYmgLaKIwCdEePl9GlWO+UpeVDi8N0QHj1e20WIYRBU5
6gE8POSV7lBbgxs4gyrtyUe2VTyT6Ur2Smql1S5Vy/IQan2946TiEtYY0NNb1YgBCExCk1iyUU/4
k0gQ2HtJKt+ZgYgUvkfSeqVfeGOi32YT1Nf7UfMIuVwz6rU20CWe2GwjamserokVTfR9Qrj88kE1
FOLBtKfMNm6zFOfnHVVNZrw67FHeIVYZNFGgN9HPmwtzD0BL7bjDwnd+1Nin9WDWm56+GGOpiP9u
vDxu5UknAAFDgd6q/lGDYiFJoOxjsss2epVx46KZs7Q32DCd+phJ9B4/6VN4sGVkodkHrc7H5KaZ
axTfLQ+6aie0IQlPcmzSdBvrM8GQy0RGWH/XkiDRH8CdFY+WaaWZ39MSFlx6ZIj5RJ+nvjV0JIGz
UQbSYzmqyPxh1qp3TWEhDdLMrNEpDywd6Om5Z4QjE2tDQhckGgZG7hTgN3cPDJ/sVc3vaMQeF430
PYgx3jZyATIZHj5AyABaeo1nHf2nyLrMvAqXvlgO4AfpekYhirqNXkeusTXGqnhTxYCNc2697Eoz
W3VfkSOaByYhtdBuagt2Uw6L7W0wiuUXdBN5JWTCToRH/yfjC7WNUC88Igt8W0J7fgw78vmOCQeN
lzgOCbwwumxfZJrchjoQQZ+hTnTig2AYWxwd9UeTiP1SqXELJpFPVmhd9z55E7RjMC/JzygctVfi
O6O7ntcMMtklwH/M+dEu3Xxf69LcN+EwX5dGXjxHGCYeujIzjRPEg99SlwygwqTE0awt9Tuo6OqF
9qc7owUQq4SfiNrVF0Cg4uw6YB0RpW7JVRPPkbksLgphFf3Wsc2/OfkavTsNVu8nM4aPti/S/DTI
lg104trfLDlOy34JRUPhlWObMiojY8dfOECpGIvf4bZ3tpJ6PgP705LsDBVt+jW06qVvJaA8h97G
G37I5pkVgF6HsAiv3xaFlh0H9Cyfbq4I9ibSNXBtlOxmacw3jNbD7/QqoUflVT9uCVlv1cY1xvTO
aVLnga95OsrCy7539YA7X1TA0HEkMuwD7m+1QVRG5PjhqzT8shGiPtSGbF9HHvZRUE+GbPaOsqzH
HH8bq6ITv5W6o24i5Wp7PRTWsySi8b3Vx2EnXCl3I+q4x9oyu22TT/pBOdppJip9E5v1s55NzS21
6xjezQQeHeiWCLq7xYgws7Xnqx5DNX/uD4nRg5HS2UofhrnUT9jP7JdWJB9WU5cnMUXXWezZAiCg
3X8TdW1x1evWDQLjO/iK+XO9LOQmCETYNMuYRlWE55Fbd91XhvRtWuYPQz5UILbWUsCsjeI9CTvn
RCtTexy7OQv6sqrudGyegZFp0TvWwHYP9kFtG4Z+vzHEA8nxGlxCYJoq62HSqyY74mqY2PnwLfgd
NOodiPXkOl+G31GS3nlOciwbwg6IEbt36Ck/EcqtbdOktV4ZsALfS+pbJ+9vWtEMxzSuyVzUqkL/
HWLH37QtYvC2033BNuQbsDNAflEXTGVhHT2obZul606Np+kECioWFhSUlY+tAT6ehxvheULZuuPJ
92mYcDR8SSTppi6GvZel1RUIuh0xzyk5nsz36mNttBlT9VonWzrp75ghTVcUOe6BBdW7LpZU25OI
bX+jDFoVyhW9ks+JjE8PEkvZPGa5zpSEHeoSeNCHwVakYf+aJpVpntq+mp5tt+qIptfCoa4xbbZg
61ymus2hiChKHsWij8577gn1gVpCrskE8XxIsHcHI1NhlCbidx2R4rxjkSt+ZTzyb91BvuYkIL8X
hCruBPmWOFh1siOIwWyuzFolTLQ8ESgdzvhmgqzyPg3QN0tHb27ySQMFJ5OaEUzfw7Wbsuuint03
7gxt3qaaae/58Gt8TJxHu4pS89sECkTD4L6u2gNxDdIfkEP0Owes4c+J0FPGhAolzR1T12YfMcH9
SYScsa2SdvahUuaw39Mi93ts+UDflcc5Jttzl3YMfFN2kluUOndGCplpa7k07MiCigKtWbEArbCK
67BP+DyI2v1qXK5pKeFSLpAtXOPDnqCQzOUeyVMFw1FzxE4To9oSQoTzjsoZrIjVsZ5u5BiNO5AV
jA8UPmgzJGyaHIPa2rRRNn56aVY+lVlSkkON+2vWlPU2MeF8nNCBC7zL+GKVPruvbtv1B6WycjcN
1SdyAP3QpDA5yNB2b2q4BzeVHEHguUv+WYwGfILM0g9xNsIroN/HQmkWd0zi4gA25hB0UZc8qtEq
IaVpYke7rHgBkLqc6M2I19ipXxius2VvgBJXIF5+0TQjST53fpEIk+0V6eI+ijjyJmMn2qC7eKRM
6HiYJoTjEb8Gub5r3HuDSTVZnE500yKXpLAjNgRuZniTVd2vJLeJ/uT69wLwrc1jy9kEA9TJIuiG
oXi1zEILqlLP96rK44+RSvIQzy43XGeI7IV5Tb63GBrdVuNgfR+rMn/u0gJaPjuRKd9o9F33/VRT
njrlHN9ZaNHxVaRZtQmdHspb2QPYxwnpldRmk4I6mhq/y8QejvlCfbHpJt3ZAmAxWqB2DnksNhwR
38jGfNji5JFHyMQUDWVbUjNohnVsMdmlWxp2ots0URtqJ9dd4NWGkzvsO3rrLwVgYo+Ls+6Dyo0G
nIuhYb1pUPh+23LOP4xmGG8S0DiBAzT0Ow6K1UXUhZXfpjpM074r6x+00YqTYJixkUs4TP68WPoW
iGEdNJgO1ENBDgqoZblElHTdPXAE61YVEyMrPfO2RV70j44wMJfrhFMQ6TrbYHcqVcL5TEYwhUMD
yZFm8kkaK+ku11uuRLN1oCOA+xmyG3iGgz/UReeLacT412qK9Fpa53ZgGXkehE68XAOad/QbqKlJ
HhD90HJIM6Spjd6Y7AS5Ysdbb3Cy52kZ9TDQ5jisryZUYYe4cc1HqJsw3arMSk+qTZwQMYjVvYw1
qt/NmE7wKohWtv3Bwc0CszkT0ythxDetUVbExWtZTrpMrseHGfHQlhLGvjdJVd83kSV/2sYIyTLP
quHeZRk+4thMr6diiT7IP3W7Y6RHhrPNaL9uR8uGT0uviUUrSyrDT4CIZISt5+1yZVc2rCKzS9TO
c4bsXUtdisBcts+klnArVtSNOOJs/TdT9WIrwzA9aqxyZJTYyQe5sMm26lP11lZdeTdYrE9CtsiY
TFmwVPWxdkeORHRHe18PMf5U+bfQTNuN4gEz+wg34luLLKhtnDo2g7e4YtgiTP2WXpdz6xFR9UNQ
UpLFK62fqkJz6JeprYcku4ftXc6ieAT5CqrAkuUzwczlu+NGlNO11WOwgv5dP9a1p++aMs+vZr3X
v8ss6rZlGsqj3pNqs+HxE35adQ8lpgjHJ9dsx4elBPy7mecOsV4VpwDy7F7sM5n89PQp+papKvXp
+MU3PZ0IYMFFmAZzY3aPwiqXg0raAdoIeSjXDVLEUw9Dal9rs7VZkXunRrrLHNi69RoLER7bXs1P
c6ilv8itziEmm8NVU3EpDnof/rQjQud7u4tvJeEmj4JFkQcPejqcZwQfxYaXc4FN3Y+KudFDEurh
zpi8bksi2JFu8XCdyyI6lZ6diY3L4dNLzJsn1yrC733fFDdG3bLhHofkOi4SnuMaKONbm6tYM+xD
ji6ABYTBNOBUIJff7TAsrpjI1depGYltY1ZPHZEkK6BDVDvPTBnQs37P7qZJ52Q/5mFyYpif++Tr
2i0VbZt/sxbGMH608IB2yrwKnII9Iet3IR68yOhey8bpJJSWGdR0NhC8DJMyWvgNQj8eokhWNQ/a
eoFQU8Jjg4VrrITrhJPtgm3vqZrKDZRsCxVqO6kfDWqtt2HqcBWLpbB9a4Jvt40a4X5bJ8eKy2ny
jv1g1x7imCZJP5aKbIkDM1xskgDQzSNG32ba4cAvuj2l8mfeKXDWejfeK1RF40Y17m/dTdV7l+R6
dzUt7pDeVYJxOy2AadEBOs1kJrbZRwewEe4J9P9Njua2pEc6Rq8rxuzQTVb3ROMj3DfJJIlPNiLd
PpqkkjDwaKP5ME6tbZH/bScaMynTKwIorXLrpnNbnjRo8OVmbLzxGsibnm4XOnDZvl1Mc+eFeNmT
qrE/JSThPb6FdITnSDXO/GYhRpscpSAD4QZxeqYJUunGdiIlYPQ7oQBAsD1dxi3XuICDJUfVB5Nr
zKDXW5zfKAuK54rHJSYqQisibIXC2ii9bl6m1oIOWuIPxdAG3sMpkuLn0Av71MVIyQdHIrcaVNAO
o/ZT74qYfa9JK2Axp6eYlPFrClQzoD/l+DhZ9FsNifODgIi+N0aTZIC2dG6IhJ+enL7MbjlSNmJa
kb1DAmmRfNJd95HDQjLGz5EhrNLibQGzbctzFWui64IJWex5vml6rLsbjzZj6FfEae5spt+Psgpj
P+nK3NtCPzJ0fx0n30stydbEmMrWb4QT0hnMBDMsioHJdE5Qkhf9scWwQN+t6ef8im5H5AZZYsSp
n0wDbj4KCM18auuuiu61sB7Yt3FljWC/DIRG8pdVLEP5MUT41HaZ3cIzDXq3hQfaSsCz37CeSBzR
WQZ5YCWWTeFbj4m/1bkKZajtYRbEgwerqIyjfQ58zL7v2Ixbx9BJ4YWnamQjg8LJC69A4c1gVvWE
d2WKgG90Aq4+pn3qfZ/cLrTRjfcsTsxNTcKnMBQ79+wcrPQl8xgQwsNOSUK3Kjd1dzHpX8j42NeG
DwSRhtUO3t4wHpeRpXIHF513TaLC/oR2CA4KqAOsOBDAyyYxARCRQeyws502xARFXjDbaNC3jBL4
d0R9uvkQI9XJDymqkWHLeyOdcxZPbKNB9VfWyKhnNxY8Zh5xM6plR/p5Ee517ib7RnVuv1zhz8XG
amfIww70hwrnKq8sMezBKNOR3CzDIsJHzcWCG3SarhGcxoFG6N6jWR0BDABdnDWmlRvTzeJ5n7qO
ru1w75cgsDoDeFqa1F6BB9UMQdHMnVEdAEXI8DrXJ9Q5Ldso/YVeumTZLXGRUG6lFiMSXGTavbdM
vO/SLzRq/3fnzG6jT9BSydSer7VxKamOrR9eLBBTMOBa/Dn2oiVww666dgSCRb9AyevuJK5r8Mmj
QD4T2YW8ZyI0XoeDpMUMsyuI0T5t2J3kh8UK93LUWgokguMZmi7FHimX4fcZ2AVRFPIj6fpoq1o9
fKGNUWwMvXUQz1bjsSCw6UrOS3sMoRsxgGYXz/Ba28ZG+1P2RDi4w/AWVWS2t4nR3NB/dZ7twm3v
FMrHDBCAQ4pCztYNuHj52YTTy0T+E+/lvrVzgR5qIQSj7k5GT7CXkgD3bE9VW6ouplWArTcA8rHS
Zkbqxz0drTiPX9uFikOlYMvShgSBsdfaXW8txbaJo3gfT512YODMVtiiBCt75AXQh2GLyW3vNmvu
wjLuwkKfNwLU+ZbGuLi3uyb0lRERKpIoDAlHu0P+v0lg4tBUYQGfoWVu3VIkPzozdndIBrnREb/N
nu/EzP5ulnZJD3HuXGmqiw7Ia4otIT3zDpLyI4muPxKZO+WmYIl/INZM7JUeZUc5Wt0xnmvjuc9k
/RupUnzbsSkD71MX+X2+uDy7GoznLkkeN2IYmndLF/06E8e7YazgwJq3+z7igjzEdmkGBffUFfTT
6Td0qWpT2gj24Vtlah8C4f6IU6TYy5R/y1UfvapakxBYauenGabOh14ktCz5Yt+cjrpDdXHyNM9k
kIlJqFsBVmLbMiIiPBHIErJMWk1KkTVC6uBOr1xrp9fxq6y8Od0jjALL3jYjlZPhRY/aIOtDJ5Nf
VlYSu9PMdyYNRfAjzosogTeJTGOpbhKdRig+K2+CvqTG9Cjiwv2obDcF01/do9T5nGsT3KgHOmZZ
7NdBmmD4HQtS/Ui1rqG1v1JOW9/juv5BSa/5ZQ4VdW3PbAg6iu7hfbuBFLRjEecOD9RgHwU37aYO
PZ4+U3oPq7zfUKSMO7HE5dtSIXomAECQ65HUzVPWJ9DuknTKH5dqfhAD8XHaNOjbRRvrI8ZALbDy
kpjLUBfBnCfCxwjwlMb4h8PGa1v0LyO1JREAP1SmPy69+Uge4su8Wt9KeHRWX71pTguHupCHBAr4
oQEeH6fm+I6Id7lJhvkUTgo8gmlB+4xrsHmi7K/U1FY3BdkbJ1SibDeoa4+NobHvqZm8isQmDXAp
o9tk7DHLuOJX4/WUc+QXrS1gt91INO1Hx2x/JsAYuevC7OQ0zsrerw5QcxrfIBxgpzfUW6i/9mwb
LQB1gOiUjIBPdfKNNVS9D/V4IrgiPCZZC8JqwPWyHRrLYTqQdofeq05zbhA6EaMy40FvljRhhT36
vaHMO2QPmUW+S2+TXYvC9MTOrYwDwf0y7nNo01dmGMpbU3LZwrSeDmRrAkRV+WutpzxT21C86Lkg
PVKbi4DxUnly4oIqBREy8q3ypY3kW9RyZWZJPwW5WbJ8O+K1MBbL52StO7YUMXCSz3TDkg59EzvY
V5GLn5WMmyArJFs0SxZ7aoECfWxpX4P/0D5XKMdGGFXi1wAifIISXuqMUzoNjLt8QR8PN0pnnLAA
ufRYmugVSSi13zSsDA6SvJcM7VESy+JdMT/ctto8BZEq4NumDNvYOKb2AzKhcd8n60KObGN9EMzR
JxtRag0Db8oEfC5mHYTyu1RRfRrp/YIlKa+HLGy+CdRTvhPRuAb6wE3pNvjlRQLn0STvbqtHNiFI
0bBnN5OwLe5RBDEgnMdtOSbXQyGHE81B1vB4QKScdw8zbrIrzmH5Czg6XIOsZJOiJ/GLNQzd9Zjm
2XNMoJ610fKp5NCAMWzW5vBvraecrsgPfTFmPQkGK3NpmjA6IkMhHv1FNyFGzEIbrZu25pI9Opb9
faKHfNSQHFlQm+Ou304OOFtYtQuF4WA8rUTYoBDTR2xo3hJA9Q3TbajGxAwGVMkEGJSWrPajY5in
CbfOa0gn9aoCXeonblw/MN0ufQKeHEp0WmmEuSJeIMNU+0EDgyJay/ZsecSNgaXrZQnTeWcuRMr3
TfLpzsjzaUo9iNJ76EG4sByFk/StBWZcSuhkACyLRnaGRAh1eo/wmwg0apAGSEjt/kxQpWwQl8hw
2yWyiaiW2qzeNFaeYllBTrkh/4iGsLRj32aSRlVbGHcgEEYaQFa3UysxpJxMBSNP4kKY23rcIaNg
DUrJFtrVRAQB0sv1Q2m5TPI8kf8alvJEFkFO512fr5JOaHes13I/zzyaKVZRurqh/ixh0m6Qqar/
JBb6r5IpW66masTi0sEpYQnLMf86r2+KaNRMXArghtWBHdouI+eXAS+Eqn8ulPq7y9M1wZ4TQip0
C5Y5ypG/vhEmoDFziCTwW7MkSLaQMHGuCAQWevDP3+iv5m2Xw5CYhgXiKaHbjpR/s7GGuNPSuiih
EzJNhTOinB6ud+GF76qidgyIOCadDC9J/Cwiaav/xLws1m/sT3bW9f0N+AeI0Rzw54DP/3qgY+N6
IXreZJuQlIuJlzYsufUJwgXkdibhRZrj1W/oJ1J1oyN5utcXVFbgVe0Q6wEhTYjca927Ef2AGP5f
F9U8V2wLi39fhTg/q3pukyjuvzQf//Gn/1oU5v8g3Q3srz9dRMGP/se/wcOgjAfl/+v//K/rX13V
x3+F/K2/cZbcGN4/LJuOjQueCeMz2ZZ/SG4M5x+64EoDggFzgv9xrf0/1Y37D5suqIXJ2BWABNZ8
+D9UN6ZOhKZLpwAin4MJ/F+C/PHj673zp0tOuLZJW4UPCWcf76LzNxf5f2xcegq2oIEP6Q8gsUnp
ozA2B/22LloaZO3WmlXOxsjot301nHSz+d4U6shs49B0Hf1pHZqPnakd1SxkayMafMTWMTZicv88
mlxrF9N7DZsf0Hv8aMK2HqWnGepdznBH9S21m9XfMsF5nh3GUlqHxK83U2bfn25j/lQ0E1hykfKz
q4N6flR9+j2yeEpkcI9WLf/0be1aQJm28Z+b7bdwhHzntDGYW+I1SzXe0Xu6anqT0sSqrkv4hDTF
7mXmjL7E2sB8dDmWtH8qBS2tJkmTvHGxzuu7X6gtv89q2mJyZwJAUdlo6nczyXGXE9RZkLKRZvmd
zDgs5AT5yUJXZzsplkFvCLAB75y4/K0taUWSzvDWtsX9MBdrVk/HTe79tBNa1hEz9W+T1qjvEOMb
32GTsxnsha3BGAFFmvmYqp9pNkZRrT2X8AZKNW0m2DW4xZxHl0anX5Ng49fkOPt2s7zJfHV+TNZe
RxGUmybD0Cm+MjtGBObQ3SHZfrCUcWdaa0Yh3XhR3ZClBAu4Kt+XFgGkV08nL4sc5ljljV2FpS9a
cOmk4JAGx/Rip41huier4CFOayKdmJa47bSJlgcrzG/MtrjV1nCFNh4QldRPNFgfafDEyNNXoBy5
a6OlOT+1KbzXHHmacMnSkOWH3dxsNybiir2WW8wSPZMIIGYR2hX3ymYQ4H0XWR26Ir+F8eTjaR3u
y9Z8InBBe8pagKhlGOkkBpBzaQzLN7oCwLaqp6ZFir5poDMwvPbtyRS/6eZA/J3lyCx7ZbCac0i7
RkRBacYMA/E5HcnjOg1pumxz5JN+kTeJP7esr6k9UUuSKyxld9+24e9GmDdyqF/LrGwDOpgjo8js
Lkka49q0wB4TzbYjBmDeaQzx/LTxbhgXHuaEriBWhFO8lrdQWG+F3bWMl3Ny6MHP33vu+MMitnoH
3o3ytEr5XP+XvTNJjlzbsutUZNlRC99wUaORHQAOr91ZVx0YGSRRlxf1uDQDTUzLv/6X8mUjLVNt
NeNFBIOPcAD3nL332m0CNIufkeaAuMMUNbMDNk9EQt5YZD2rSnG2C6bWhHJ2bkFtvhhVibRkDsEy
ZO/TIFgCoNdsVL15oReTu1GrL6AEbF8hwLChXv1LzxhVaxS2zIZAm+p49zNQggCW4HJP+x58m4/Z
DtKtMQkNplx9VDLmckQ0MopJze6IOnRqYQswnE7xZxIpBXqUAbG/4JjITHAUXfpMI9pITKzclfjG
CAAkaMacf+xs/uNW+QmfsvSSyFRDzjO+1pXUURBsVeaWgLr2VY3aVpOsotuhIBqW6iX/lrlzU8Cg
+bAgoxebpLhysiY/xg2S9PcVlhXX/SBIgJUVNng8nUYIIYGedneJ0Q9+kWkwBY2OIzeJG8MD6RY/
6trY7PRctCemFumbblNuuhXVU1PjhPm2QNEYx48CA1u4iEi8TW73aOJaWeIFeZcJwjOq2LzAUaBg
cTarP6D1U5in8DmnUifuoDAKLBXytYuY65QogxVHdQrjz/kaH1h9zztGjvwwCgZZbqe7yVWOSzMe
cXV9r/b4RPjnpWBZ3lEYF1CS8pMiPG/SUoWtGEfX2Go4zWoHY1yOsia6YpnL4FtW5teLo/MP1coO
tDZZT6iFW4lme9boI7EV51YyCRQeXkStjHeJM1wykk4+U22xGybg83E8HQcTblqOLa9xaaRfXZVx
Q3lrWS55WjuqPwhUzi0aVyAnOdkXHaflQa3qka3EDM2xm0/YC6rtcOuMk3Y10ULBkVJv7XAZq0fT
Lt7z7oFw166akLnjbOBzZBSbfozpgcQ59hQV+7XueH4PYuxfFkujdyvWDoRRNyxnD8kySaZX3ZGe
YgLSnEyDwjMikbwfWFZPYm3+qLfxbcnhEuEhu5I8i/2x6CHgDwntMkWPnmAjipWfzElqYNZD5tso
LzRBWp/j0HyncS+3VJfrvtGbu84Vu6TGHwV/r47q1SOYRWjDOkzx6jO0XZQ0fVnNFJT8WB5ybECp
ycPXpNVspJHEsyjrcJb+ZyEDHLRxcaTgPdqDXyd2HlNldasFyMdqU6m8Y9rhnPbOc2fxNhiiI4GR
b1W0/hq7fm72fhc5yZlOwp9OFs9MNuumNjozTGgt2NRmUYZWMgsvTaoBh2iUh0sfhW7FAltKZGYq
KYddkrhpqHfD6PfD9GCM6juGcewSVeK7dfeZq0rvV4IHAEZHK5RKkZ9dlzfQuE7vqKhN45FzFduW
8YgVNSzD2Ym6cOno8MuUgeZ2bOQ7Ip3rG2nuV8fCfaNPFP6YiL0efs95U/Vms5vNevST6laXg8j3
lRKRA+ugVPxBO4EbP0eU/iCX+IlFhzL82XK/LlO+I4lOk6uhLS9MKPU7FcjlvZqbG1or7aAzr2Yc
LqZ521vOoOnVR10xXssql/S3IM+v9mtFCmpPKtIIkx5zRUxbKW9zHrJKbvcbk8oN0mvRB4EKmtcw
LXmxOpWB0SahZF0yqyprPBpspUUOEyxdsComlpzF/Mwyl3ygbe5LoaiPbdy/UmrNu8wGmzBs+2nU
X42YnYTZKWc9ZnETa211mESPq6gVY0CmCaU8b/o9Hu5wwSTKDoEeIfx0FfBLV90PYAzrUvg13gUc
by2CW7nR1DEQaeLndn0qM8IB1AHDfXix0/bEesbDbueXLZSXSbpkr4UMMcXovnSaHWULT+S1a5po
psRjOGbvNk/XXqerrL/djxbmMmrE8qX11dbaZJnNO7M+qYOymePEryxuBje6QoB8jDX9Y0Hkd5eZ
d2u3x1IapobxLIvZx9JN51/G4LUwh2VLjeuGDkS3QAkTF0FCs4qwThQKEW8CsIb2o8kCY8ypUhHP
XKCUw4hzIt4Z5l1cpX/wmh5XydLJoreXhBTYYG4EuwwozdmW0bCL0uZAkHBbOJIVUBwOlnVQ+t7Z
gl/gkldKHhLORUc01gc2oBe9ppiIyD4eoHl9RhtR+U4mcsgEJ3b4KV7IHAFwXnih0X90HVh0NKb6
haHoKFTeZ/QO/44jtosWwcXE5BtVckcx915PtSsfao58aOc4QtjrueFUW5uiNHajjFggdl+dfFDU
6bExLCgwUdDoj3VdvI9N/FrVYtv0Tji63X5VihNlT9gw1UtrlsGsZF2Ai0AL5mkmLaqm4Sxb3Su7
5bfOnTfz5h/i2ZBb7Xttdz90Ah3NaaAWoT6hlW4nbdgqqbFNbvQyWpsJ9X+PEwt3azqMrA7Xdueq
kEDbmNN8F4K2P6Hk4VP7GBftJOOTajzE1npfz+5xKNB22X44SQa9oTtZsKzbaKTbRvAgq+fu2Bmc
bSCWnoc8/bQ46yKgl37nOpyZmgrTCilVFh1Nfu7XJvLVmO4I1yFt0lR8mUW1fnGBxB6naeO0WLeO
DfcMmfla6939qJghz4+zZfEHcufOnOki7x50qcxItvMIeehapEvvKa12VukUxhWvB/AyD5yr8Gbz
wNm7y/s8qmSTilfyMGeDg6opxdHW7BciP89NBVgXsT1GCun9gs0wAdO7WqjvaUw7JbZy6teTYbcM
+tVe/ox6EtxUNmJHS0CK1OuQuYfKfYEMkPptPxyWTg1nTQczriv3oy6eW9b8swVk0/3DJykNyp6A
AGgIVJgEGndR3LLu0xeRHYQPsNJaYRjnivX7tqIKZp21S5Zh37ZWQFP4TTpJwVI0TDk9UT9WarKN
HZaXVHFvE0Xi0+/IbcDHcnTfZ85KGa8ytYK1XNk+7dmIM3gm6BM13ZRAtzE+VOkYAK29tjOFLtpw
BHBFcRHAVmPkFTDM5j5i9U425X0cr27RXJa4O+uKA4gwCvJOfyOC7ZFv03hndBg+teZ5WL9y6zMz
lZ9VP6aKeadaGzZueAny5H5ZgJyvw7luB/2+q7PvuU7PtWq+lMI0fdNYNjkG34nvDuvyxQRJmjv9
QTPGDYXRv1TJ3MMJ39RsWTL7J9HlrswqhBh1vsTC9BK8rU1LHh1D3YGXNtPa6mlA9oKcFnN03TAV
w55Yp5eu1JliIvITWd+cNxq14LaG0CfPRaNsU21FEkp2Xdd95I7y2oFOyaFwUXvb5xunQ5FTeDUU
5bSnGehidhxJSbvWDG7oKqmcBGX1ueNH1bQBtxD7+NwxMyfNL5hYr9GijsukPuSK42yQGy0vtbEA
2P2k78WETJCy3qZU8ilqkvemBDktx+EUC+3StO3LuBalP+vVdGhKK7rVC78gcC901Y9roOvZV98Y
j/QQ1VtsbJ8JGAwU1rrdcjJ9HmlghSzQ7pVykR4b3DcABO9lDhmXA3yMZYQYpz1lf0qGVr9bZ/UQ
1bUdroMzeKljfcVT/aDKygzE4NwRaMeUFLFIXWp51dThvMbWBXch6kUmLA8FkTuKYvcNQBLLg7Eg
Wf3G7wQEabiQRrmznWTaZoZpsazGvq06C/h+0ine1NwcUtCJfNfKqkMhWcArSxq9ChE/JS0iH/Mx
+OI2xnXMkzjmBabstC4JuThsfxUzonKXRIszwIHXDTLwN1VXoT60wNo2T9pD5QDZt9xNlEocS+a0
oWDlh/3jHQ6uMCpqnGR2VLABifMm7KaoOtt4DvaipW/Hduj0nkdK5BKkOJw1qU2E3KDpT2HCXme4
viUzZMxpBZrMXR9RORJbY3RK61ISmcQKdAQCVoVN2QAEcen/Tu2G9HeOjcJs2+IjcuZyjzWCDrD5
DyFInx7SkBoDL83tt1pxTpPCoHRTO8zy1+Fdqy/lRxKplAUu5HowC022N2vjR5lOL1FW7cGjMrrH
+gG3suKv4CexCp+0kY853tgjR1MkTJ5VQUdpd96MXqOQ16KTdk+452kQbC5pw6LQXJ+UZM+rpVRs
Jg8R8fKjSMuBKk9oFOn2hjXbzPlYbClK0bZxzw5mTobJT/6u+aZZYcNaQk+C9wMpHRLZ7ekRHbM4
OhOGhRzerhakSoWsqK29QJf5GlwqAqmqH+3qYvBJpBXnE9vSpbKVp9SRdgCRfxPhpwSUEyaUgHnT
KmBGs9aPbi3KlGDssrI2vJx+R9+MKHMzqH0e4p0lpmMMn86jHy9sKIUNCN5CbDCroxD6JeOoVmrV
oZsQVV16E4zx4Kb6biyxhBMptdDypXM3YqI3NDMcHO1g4yUlB+DLgXossAIfkZviOCy/uny6tEVy
LJb3GF5RXS33uhFf5yV/U6rm1ODBxnEEI8okupMeTEelZpZ8XLp4slMSSCDTyaizO53YSiOHu3h8
hff8kDU3lgEod9Np3tgqGHubIzEHxhpqnKcYrAjglYUFbKewwEF2UhKOp1F7GSLNK9eCZqB5JOfj
3nNbBoklocSTjliVH4Nz36oPr1NCxLiQ9TGt8CXMmnsZ58x6aQeyNOS/AokShpqnB7rSvRe4RVXS
M9iKxQnYIN1mvKc8jGbHTGbP6Oiss9ppxrCU3kd6k2xMFQ8AAbpLP96QicP6uBYQ6CcUl3xWXvtK
XGMY4L5W0/g8rBiTq659o4IddLcmHhRX0iOPCQ6WADT3lhVEgWxNECzMRxrxYoGvIE5+Zd7VYK4n
F55tg7G1z/QBQJSz69L8ztJYKHoOw+4Qytp5oZnrWbsBJMa8XNBu7T3FR2cWQ66vlInFi0FXY6bE
LN1SaadBaiT0vzHjeJ+sCO2jYT/G1fxITO0Nh0Py/7Ds/89t8q/NT/XYdz8//fmz+ffKwF+EAjDM
/0jw3pbof/kFkxsL9fvhp1sefiRJqn8GSW9/8j/7m/9Yyz/BSv7Xf2F7Qv02Xw0PYfVv4dXiP0zR
enUvp8/qL/Tq29/4P9t8nQUBZF3iqbfgK/rN/4ZXC/dvLrxd04W5weJe1fidf27zKfOx0d8NGntU
yDimwwr+n9t8jQytSoAWHLNhmzcd4L+UodVv+Ox/s85HNIIijYClmTo0Xr7Nf68gOX2sElwiZ8mr
FZee3sn8C3soRxajEBO+jJuTNrAj8r5XBWqeRb2qKZ3hbmpw0QVmqywiqEWcYe/nh6CeiWhhAHLj
KY5CzpsuJSVEDDgs4PJ0D2ovC9Y68yj7Z3t2LXWvr138mg5iljuciX10dqe4+FQn7hs2FrB6yH+N
zifb6Ftnhzvc4VA3PoFwJJs8kvkbJxMztCYyfFBD8neD4GIVmFH5RW6P/sE5xeZlF9lFoaTsLZoj
4dmCBYtJZfWrUpnFx61Lb2OwD7zr0LW5hfB8GOp8sxQuHTuFLkvunGWMmEi5pBiGLUXxuWocMlSb
+okBe+KTRqT+2pVKVAZFW8f3wxw7Rx6a5naFCXCxWVz5cs2Y+bNB2huBd+gipl6OvoMs8K228p20
L1K9SkkGLT7iTsZYCsiA4bKrjbXaLFFW81gd2nmL065kq0KU8KASX+LFaNXOVdpR+iUqFfXfLp4Y
dhIKxOb4yY0bVBOldeKdbk3Ohi5g5zkdAV95XSkzntLRb+c0ZGXy3Ad5wkKoyYaDFJbh0806Ioi7
5l6xRLGlVyJ/tvSJPX4dJCysWbSssQhrhZE6sSozrKOhPfZQYrdcMCVYdSmf874V1yQS57TOn1Pd
zJltnc4NtDmNX9ali47s8OjnqaOx/Ib2kwZKV6w7oZdz6imySM7WhNfGI4hW+zagm9u0R3QDo11z
lXLkyW1ztUgar4ZXN26yx2+peCjD4MkJ0vmuFEYgyF9umgo7gEs8LkQ2aMlaquYhKjA9Zc6IuJ9r
G3YWLv+evFhM6N6AGYAxIdvGt7MQy347cEb9XHWrEli5u5zc1rqYbaUfVbpJUd4XhQN8p20BaMXn
SJsahBe7vESY579XY8VQuciBzXqfjtsZEMwmMpL2hR4gPEEVqZXWdZI/UpYt7zA921ZVzeYbq++l
tQQfQA5pHT+2u5S15F6Wmu0nytoeqiVPw64sTytNCbsqJnLIoYTGx3iiWD7TSOO2udZwEUDfkAZE
A85Y5m6sbqm4pxLesKYjCDJMhGZpctlq6fKs4ef1kL5B+GSsrYLCqcDemOK4KrxQKk18TJiG9z09
0Q8RB8aFekXG87qxqBksmvnqVHOy0RM9C1SF+obCVbcrvZdXtvlVOHJohQipuFcZV+ulUtrYj3VT
HtdUXcmLsS76rmND9xkGp71s5/TYpokdClu+CdhRGyJ2DiUiS3XOBFYZ1PGXWHOs+RjHbhH7k5ux
z8AkLw6xqug0MZPY3S+x8URdJF2MbtLZYTTE81u/EsNY02VDmRSXHEZp8eHMLLOijL+G0Njx2ZkJ
Vq0x99Z8U0JUk1UU2l2aJxN4Si32AcFJWse7LttHeHgDK4qL18ka9EM7CcLct0yZIHh7qAXbdbv7
1sb8KwWIedeC0A3JFXMk4xAQe7Kq5QsFFuuytVkbQAo0bJctO5d2p9AjHmN8z5Vp+JIiT8YtmIYY
WamL56M9VRFNK25FWGUiRtXGptj1sBw/cyqb/IIYg99mhnVGeKDwIvt7MC+h/erBlhC5vYafYZdv
8tEWJxBmPH00XULhiylMSe5nGTOFg/lgeJkEndZjEeq4E2d6YqAzNow61KUU+VVZ2cRiv812WNfF
VlAqnKfLSxNDlBIaAkIHIDUdN5QjwtRsDhlSV2MbN8qphs1n2alFconx9vpEqR57vUe0jFbQvW2g
Ivnwu1sp1LCcIn4NrQBDscMqxEgfVU6J2Hvf21X4Mz2Sohu3iLNnR+vCKqPQsCg3On6xOnOOTSYR
oorjWJKDmest0ATaOLvtmrT7JWu2iawujNWe3WWsd4kixXpYReuVnDHeqMF33YTHB+nlm/FCEP7w
mrlpcGhKbPqshdEYsZsp0QOxCh4OIAx4EQ1VdIKiEijGcod7lTFANZ54wLnCUwTUVN5ihpdNGltW
u8pn07cHizN5OemsWBp9A/L5vp2qakNi99rq+onE32Ne5mEH8aG77enaUtV2ploYl6Iwk2+SXutK
28ok7mmrVveJkkv2RJH13GokLTc52TTbtpMdUGYegjdGLsvYhXgsD1NGzLQMTbdQNn3eEJ2KCe+Y
vfurVW25HUtXBZ0jTmBo/jRImswJN45nEoH2XNYB4tz0heesp7NBxU0/dPo+b5PoasETCFpbh9yn
s+cmzcMwhiEXL4IZuhn1bwsSEWl6wB6NnAIVfYOmz13cuFf2i6wV+oHdieLUQYshjnYfu91Mzu1O
7sfvaK3PIp33NhPo14oztqvda6mv2i5CYeNmqh+JADyaCokwDi+ffcYyr+xQKc3CypntdZ9naJgU
cMwy5SJmdT0XYC38rJjuYbEeXOy2eOF4mNBi/5qN2GHnkVTAIg9xJO/VWD+1k8ZDciyA8+kRTjW1
fJ3KOqXSd5x2fZtX57Za7M/JcM0DzIdqC+OAkcF1ZwSTthi8qR/Ee8K01lg8xKUOG3ljAyLwAHQ4
v9A/NbglJXUJbZq/JYOqvNO+duZNAl2Vrj928BSo/aR8S+B8tD1ApmrDM3AivUE0EMbURzRqeIzV
gZmUrCJJOruotnC530lTw3m1o0doFIDrM55+Ft2rrEZByAd1h3VjMuqS+QRBTSXimum8mNJmfY1c
wiRuV1zzla01ZvEP+ol5BiI2cO1P47QiwchuP07KOzzQ0FHbwU8cGULBKPxM6vfmWmqXMtNP5YCD
sNSEslXIc25cTfmVDc5AuIcPq5o/DMipnFIEn9/m2BdWqAx1MCduDpiXV4ayYhSNdGp/43TdZqML
v55SsSDhmIoigANN77CH9626PEtW6R5tfKMPqRy5Tejvjih/TRjIYVtmzm5pmqNlw2OhB+jVylLT
j8nRel1mk4eOyi60mpwy1dFQW/6fkq45o20Uh5WdA8HI6UnTOEJZpfEZMcx5aSvXfT6qc2CPLRQP
8ZBI54qpEspm1Irl1CW2vJO23YV5n4gNJ+IiaIHnbXMnr79jbe3IWanJ8ixUAh6+BWf2k6pHonaY
IAhaxKUkd6CQ3Jnn/r6+kSJBCLa4t2f1hfJCYDYO/dvZqq17Erz8epjaVdmJ3CVKp9Aus4ukqQTg
vmzKmrmmKuG5cVEPhdUu8E3KBGNt0lo0+Va1fg+zoPigPJN/UFuda5Tl3Zn8I05GUiKX2JrXO6C/
q74rsctMflNY1VkuWvuhzmj3HmfePfmIgbfRPO6pTeeDpkUm5mAWSgpFbl6nrXy2bSXXt6VDZyIH
bxvrR/aWlaBbmbfpCZOjIY4gqIw3iR+EYxjFHWDQ2nBOS7mBN3C3JqzSzXn+mvEy7IDqUNQc973a
YEnunPGFTmglQwKJEKEUBWVi7aDsbdUxqy/Qs5fjIIRiWojPi0rjLVVTttxmc72KbxDkcqe4wGTw
0Qk6jMvaeYiMtJywFRQYkrEadc+JA5sYclclPke3TV4KPVpHH5eseWrwq7MaM8Z+2pZ2HHffupJb
FuXAChefSERSbKrFyPSDOpSpda7ruqqOPKs7QqJanCoBRuOczRIB88JbIGkX/jr2KpXA1FZH/baj
h1oNNVvSoF5jNnVfq7l15AMwFC5JMnez8jDLrGt2hnCNnNLoSksHbnYLnuIc06d3WIe00d7oARLG
rqE0QPE7usHMYEgq+TETKWIrWJYpJgpq+hLMu5Th3Y0G3CQ2OousBoYp5jO0P4v68pXgYsMNGyeq
H+Wm+YVmVD7hW+/GvWXxpHlsR+rpLgyavKbtFnX6VC1gyghWLXk78prtxs+KJjAFmtNgpESH3LI5
6Ili1vu1052OfCbmaDCQ6XzIx7yBkhdx3MZjxP+Xjk1ypSydvWfcx0FXkaDWszr9WQBh7PVe5F8F
IZQgWbXxxrsx985SWXeEElS/HtYUCZfwXmZLFurIJphpapd+5VlJ7lhwFk8pcTCCzT4fy71jKnjO
kpVtsyLVILeVZ+CJVx3ckpYLax/p0sbsb8NXkTUa3tgQ12eaLZPuLSucZmMNLVTLkk8PCdoQTbx9
AM3coyfV7oU1fvlW185nJKWzg9L7gicYnCVZAjzWtbhjtZ48Rqr1WJR8n11TPq8kfDZlRFFp1B7c
EsE/G6a7PjWCqWlEqBfKUeQUogI6eCK87lPnSNpXFi+T1TThks75ZoV57qu1cb/U+ntXugemhMh3
XCx3SlNvtbz/wZW8mevlZZrcy7RkrwBZDMNrh7lnf5C9cKnf+za5S8glB4rSfhb1Xd3ne7Pq/2Rq
vSut5bSS5NyNmXynEH3vzK5f9muAsdUfrQncQNPusxYaVpYoL7R8P7SS5vBRXAe3E15fVofInX5U
t7GomHXri6bA2CBXyJK5vIuN6SFf27NoNbzR422x24znOZLHyNbu+pkMVa32v67GYgQLDcSlhQLC
hFPoyGG+njfgiTgYE2Bf6+JtcZ0PpvMJvw8NxK1O+R+cCsi4vqU2EJ1epyrFrvSbQQOzrOiucHiV
6fqm6IeQhy8ucZUyAAJsyVDgMaIdPlqlgesLrxzjRlw4X7eUGDnGPWBKrAhQx5Hu3pdEzlT+0tm3
Ru+Fk/0hHqohFFdEeMv9QloK+k0fkBdYN1pdvsyxxn7UGLeDan8qUVIEyor5srMwKI7qZHiLXu86
3oJN3F/sxgAdMmrrZ2/wcaS8me97xK1RDcbNIMC9rIK5sFYQypJvWeMrabJ6p+KXkkkGV8w7xXeX
KiF+WNXTeaD7msiOc6GeHBsFvsErSaSI+sVSgJ9R9YfJzp6r3LyX2QhS1uzuaXdk4nf4KZMDsN10
r3G6dW4aP/89bwx76/TFY6OQMEGWaOxqG2faI2rQRZ1jVuXzy9xO0XMx3PoXooCk4UV382cdJwNq
9yEZ1X19E9fWbmevtx1qWwSdhF5pF5t4ktVW1abj2Ec7lvaHW6VlIvNnWnB9yyk2woj3lVs9ak6D
K3MqKKFIKZQ00pOrikPfiC05iD3i8HPE8tFvhvSH9K+xydtV36pGf4iWahNr7gMWQgksghv8Vnnk
2YmxwZxtetz42DghqK6Kcx2t9soeZc/K5i2T6XfEwZAMcxPQ8BiRozeGkzqN2CLK+r1LFp2iRa3a
qRpelYQnRjZWIsjwNAVZp7h301Q1JL4wwTSqtDbMUS/UdGJDgtvnIWPlgR715T2lM+gomCDSjtcv
ASG8gyoad6k+gswglQx33pJnJ42eIMeG6+S6D0OcsLdQIN0vjQoKrGXP4W7LEWcYW57D2hiQN2Lf
HPONkffKjgWP6tUwnDXDfOxXPrdGg5GjiyFEtEegHgY5AfZJrD3Yzg9QnG6hFzaUu1VhNxMpGzqR
dqBnq22r2qE2lRGRCPNrNZI3qbgHO2827Ju4UeBi+OTQLjoJi0519y2WT+ahHh3MZkVPSraEo1w1
+8y5wbMKMgqqcla6S1e3JzwbuTctzHQ98p0B8Cx3XR8Q33cFWIFEBxLa7HCaAJAZLeNLB5vNJfCD
L45PrNxKXtk1M6NtGnc8r7H2dMFkZkisnONB5SlnDVJfFLlhUVmbpX8oGnvftc6zqq1YosoHjR84
nM/9oDGtVZzRBUdSLQ8tm/CeuuIWsmvdJXlpEuHBQxUyglM+m7efToJ2vMRPHb7BIC0yKxSxAslL
yRtfqu1urLWfinoJum5+nS71C6wTBNmtgnsaaxcBIDwH8/iEJAxsnm9dtpygC+shwfLvEQzeIL+y
E1R7ukDs9nu8uY3y6QOJ+1xMUdiLObCKFc26eBcubJ3olm5pLBYzVe0PynSHCLiBrn1cqvY8ceaw
4eUQ+nmZV8T8XKSvWZlfR1jvxiCPVWtc0kyxz+RNMU/cuiC63Ko8urI21mK+U/J5zc3uAsiDBJzm
2jzxCxxtvdhzkHhpUAXVmqP4gKlL0fbzLdY1pARkKdLd0+l5Ul3ISuCXOVwqjITzoD2DSAv6Mi4Z
5nrh4ds+Z+tge/RpPzpqCQ8HEEE6q6EEi0DqDtRQrpuH3qxEKEiXbvG5Qn0kkmaOiNzzMDhYQDNW
q8Kgb4YDZduA3sG7TGdEyii4jE2HmG7wY0nwy7He+xq4BHiUJns7WXLHefA9J8TsiwTiQtFGAUfS
xh+lew+F7LmKBnd6cxmjOMqmxuJCul6LYipavmpaRxaVLHbLxdw5WH0K9bEEzVCIjeI0M62OPpWW
uu4PJHHzcHVKrQmg7iFCTwoJapk4ix6mDpiOI9SAPCGjlxnPa4l7netB3cnGmCwcX02RlH5qFGTy
08i0f1dh44lPecKiuvPJ+K7taBrDHFTNb1r19gP1tNNDqzo5hh5Ir9znnJ5sDwsZz4gYzz4bzkZZ
AV/EXfNOe4FAeOwA5jFJOVRKlOWUQ4Zs0BbcUXvm5OzCAkOPTXxtSZa32W4WBsc4UorQBlzNVJ/w
nOB7dNJnbY5gEMpI3piB+gTDKZ6rNdrlbctldOes4hPRGKT1t5hjbLmHMWjhgYSVNm8G6rpY6GPB
2c5LXX5omdHfY5xYr4LKHxxswEbF/xfdUPX23//6L+I/Vt38//k/+p//9v3f9yPK989f1Lr/K74p
2t9u/a9QPCyhktLC8/9P9U1x/kYK3wBfS5rGhTNzk9j+Ib8J9W/oblQE0s5If5+l8rf+ob4Zf9Mt
TUd9E4xBqoWy918R30z3r+kx8mIaEBLHgGzgIsQhwf01vZUV+hwVzNRDGcX9Ez5UQKH+sNbW8CR7
m1Q2b1DomO+WmlXpx5ASyn+Q8aAt3R7bmuBkN7lxnznfc6vkURQmTWPW3zzk3YG1LBFQ+ItdBogz
aRvllFZz99j2nY1AELnV3aiNzlcsx+JLBXz16iRYSxhYDAcDGbBoKNPZhIErKsCSeFBV5l+3dyJW
S0Wb0JhtCM4ehDjn9JQbJcYXQvLD0zisGHBAaA9msE7lbHjuVOf3qp50e/iS+g87dFgT2IgNPeCH
IvLrQkOh/lQLGjLeNI5QwwWsgNjxniw/zASaJa/z3i0BXPfT8ptUQrvXoeiRnaWl4MNoFcgLhhqP
J4dwSeNZLhR0L8pzbULDTwjdnVg84ZwVlpOrPPZSc71f2Maht8s41265mUG8aIxUzSkFJIvFoGg0
1EWyDOXfeQv64BtFPL0OaWbkxwWAR7OBAGm8FNQxFTfxE5pn16AP+FNsNvAwynzCkGIbSn+mP6Tt
v0ohM/tNpzqEY2qbKA3bpi6xbpZwLCGtNS6uZwnopzDSK3MNeb5BIBEg2ReqY8y49JdSdaoAQbX9
jux4SMNBL5pTCekNkZPVx8W1ZE5DTKEXOAKE3j8h5pSlr68W9NOmp+/sAtVjebKNGZEymmfV+GNr
MM4wn44cSFxspPERMaiDiUgyOg+GLuNoY2ttwqpjgKHpYXXIFryRQ8bP3BR8YRUzIuinDD8nVeLs
7HMYWUgPbAbJGxmVwMwr6OHu/hd3Z7JcN5I22Vdp63WhGggMEVj8vbgj55kSqQ2MFEXMQwRmPP1/
oEzrlphZStOyuzZVackieC+miM/dj6tCoK2y3A82UAZYLrUAvj5VtNTgsHCi6HSMQ2yrsUXBMSOp
XkVAjTln9CV1Xn4UDhfFFlAfO7OAiMEb40kuuoIuSTw/VdLPO+P1Mt0UCTOcc2A+VXzwwIfcRPG4
vDTT2LZISRGT9rEmScwcJA0kuAVv+qLwit85hj0RLDYL+mAQpyk+CxHFh7G3/Yp9kUvObYiH6CVz
woXUPADETynZMILyYmI15sX8Dg2U4Smzyup2kAUR67Bu828ZJAi9q8sxfY2n1LufR4UXZhzMBGi5
tTwclGHG7QMk9dimRLWxbqgGQgvkm23qu+GjlWTlJ35S3uC9NcleDn13nycpc9Iwq/DVOG4itiKr
0DFbXZATmzwv7ndNFg7PmRsk82ZxTMOKBxocr7+kEe9sfOu7yuXm3prWW+mabIeDzZyP3WeAQ4gl
fkso/lA4ecH5mHVxZYEawMGdde3XHE7rddGybt7N2hP5KhcEV+OUsYiBbWvbaJMQBVnbUXkYGRm9
lDAWrL2h0Hkm49xl5wLKfsNQskWzITjK/GvB9kCinFoRMufV/GyPbfdKuzbsONfpvavF6waKJ9Si
6W3NEx8kE2UBj4uT4Z1fAXvqlNlZd8H8zn4twmpwN1MvJaqRXZe3HNTLVjeWxRSudiTmwCn9LCIW
GJvY6fR528jgtZ51Vm1I70uJypbMn6hqBc2ho+Zeh0CoN/Usq8cY8fxORp57PtW6EBuLQQ7BhrQj
tlYm/ROjP7XAU2U5e9awPWgPZdv6z9j8JPKgtuA3xzgFbslRWROfuMSo7mqlsd9qW1/KMGjQ1+zC
utKuzGskvbK/L92UkkpYA+a+rxqjNonfled87trsUitZYAZUaUgkKqRRdasybcpLH138uTeq+qSt
0jjbsh0gPcP1sSHDxoUe9z6GoYuGbVe+DXKeRVvQW/Tcu7VNiAIIbPxquQUMXioPpcQGYpmvOb3c
84XsJYOC0GTFt4kulGnl+0VXpa15liKmglHomSqhzwRIEhDdoDoGwBnZuSXJVyEnFr9jToxzwyai
IlbUa6fB+NxjfxdhI+XerSJFVCsySOZjxpC+NCJ/F1jxn93Mite0cwvXKo7tUG/rwHcfwJxKoLRJ
zMrcatD92tJlVlioekbJYCnwyFbZhRIMsAxHWOLCb6hHQ7ChSp7iuHAfyske2Sh6KLD4uHMm022E
7yCfWPlluY5e2QUyEhKtWz6PhT/Lo+PVRA3ginFZTWnQfzKcJowAi/xu4Wcvz6nO1deuTapj4gZt
tvEiYDm7OM+bCd3X8+stb4WSztnGsFrlf/sYc5VsmDJnBrtw1ZbjWT1bYXLMrFTcYD1JqZ/yINN9
T3JfV25a1ltKXhMC/HzmkhG2jdAE9Djchbg3iDiVdjxuSN83K8GZt+Hkm37ZdjxFAekoNae7SLnj
eRN0pATVoiaf42LJ3MKsTBa2fwW+uZahHjkUGOZPsjXmrOgj/90JDHJd5bAHOGm8iB+GUFIzHHC6
UR9KeyyHXR50y3RUVQFfr1PSay97QMTRBt+b++hA8/nWVkv2gFbEznMJCz5ZJ+AascwQDre/h215
63RwO84huGO19bBcJbgjWuuhLIEKQWmlSmoD9g7TH56HmYedZUdfLFFihK6INL9EyFLNpuxWBHw9
5+I1bgwRWZGOKNp85+I28rTzDs8vu3O6VH4zTTWxpWij/B0kUm7wL65d4IgZ03nj9OZdNm7/VdkL
vnQKtLIbxBTB5lA6GNSXJYPX0SNRtLukbZcL2nDyrxS9Y2ke3NanOUpwzwF9NeEBsxTJOhxa2RVZ
6W7k21RcPkNECtKTljvuexEAc6bQQPJ6cpLmBSbIBDfT7cKvo0/TX6cL9xPvPpmdc/1HI6L90l0m
cdPRMlz7YXke9srrjyavJvYl4fIWOqZ9oGyxTCHeF8G1KwiwbOrKtNU2Nq0mqua33rcmNF6wMW4y
XTteQ1+Az9MPeuPcsBvGCA3fI3FmzB89UuU9xSR+fdZDsQqPNUGY89QGMbLz5wKMozFsvhhcI7Fi
KnOuaLQWl026sHeH1dWybgycBdGX4kDeCcmogfQvsnsWkVDnWPOHx7SB1I06WTFhoti4JxjkAtWA
1NfcmJwFBOQNU1HkR6PzeduL/tniSal5ahI4FKwsJGstyq5RlyE6roHQjJEhva+fy5Hqrk0f9tZF
Nglr2XqEvl4MVm/7zFROczrltvsCvszcYaOMxG7oPGIird2qe+2vsKSkFmzcAccnAfeVmck9TI13
GEGc+Oec6/HRMV74Hs4wWJHkAjioLk7b/uh51Bdv6VQZvlC4jVVr6egMJCHVYd0l+PUczzN2Jm03
1YPmaXPvd92CmAzXg+hcMc37AsPWSWHZe2lVFKxiUAvAXorim9vE2QMcGMs+yd3O+jz5wiVSL8Lz
oGXCsO0KBzYmb3Qce3YcIPV11DWcxb2HoEjetDx3pgznqxUr61vWwAriDVUgjOQK+YdJJYBBJPXU
HJMgx/o0VS0h6HB08Hj5tezvyjjBSVhZwXKhRjwqTLJoDNox+hBYcPoFFiWO5ag84Hgi+pPoLjj4
bd34MOJEfmNEL2Ji2RUpLh9JijyXTlEQ8iFGfym14s3x+9SK/+csqit35H/9aIH9iThxWS8v5Wuq
+593yuv/6Q+bqmf/W7kgcOwA9YBSjtUk+odNFXiEcFhlh4En+S8C7f9nn2yxUfYkDWzsoSG7uN4K
pPhzo2xhU1UBsAnbgfeiHHARv7VT/smjyq9xoe9idmX3HXoux/p5n2xLojuxn5OOt511h1D7GARU
dquDlgHgD1/NzR8gi/9R9eVNzUCp/a//+RFvsR7LkSKgucb2lO2sftmvL3dpFfPDzr/wPoVQz5tx
o8IhGli7Kmbq8eRiysOeeA4YMG7+4ZAfaTUcEsYEIw/lMYkQ6/f44yH9XJVZJkiqITuTfnVna1+Z
JD397Q+mfBpjwHcI2necD9yOQrqepo2BMBUGMQRa3wG/aiu/PySiUtjh/aqq/riZoLnE35DjiplY
2I9f5s/An+8nTsEkoa1EeB4+5w/HTGBdSEAFVD/17G9jb2Z/SLcOS79O9vHx9z8g3mjMiw4+ZvXd
6fzDmcsoW3dErtgVtBXlPsBw37x61CeQN5qzPjW4Z359wPW8/EhCoYItDJjbhD6XCfcPg6Kfz9to
DzVa4GYYk3O7nV+hPTTnfe9/gtoFGL8KzhNqtn590I8Xy3pQsJMcEX4SOOYP9wKb26kOJvaLU+bM
G7sMkC+LuviHi+WvR1EMwCBsBesQzFEfPtqgidIsdEhuWJQPV+SA0kvdytdff5SPV4fLQpVqKSAy
yqYyyvtw3U8zW7nGNAyXfMc8hmM+3+TsEU5bpy9PfvtQzNe4oUNASX/9PK0XZ0k2+sxS4txetgVo
AmL87jw+uWPSL/9wjtZnxM8XhlIBzytbMOLhIfLh2xuh8JY1C1pK0FV0Qpt49Dlphv6z0WRHS2dO
mFJl8ER+/Rk/Prn4OlWwzjOp6g4Cb2UK/Xg5xl2gdYPUs6HZroMRzSoVHau6cBte9DO1Gf4/XP9/
c5GsyQZGmDagLc9f//0PN9yUKYD7JfnONNJqTwYpOsGHOf3Dbf33RyEo4fJ8ZFr64YGc+nAu0rJh
VyEAr3R4fXdT6Ea//+UhyqK2uMpnlyjEz58lKmifXuwWyoMRwMBz37qKdEoFCHrWe9JX+ubXJ+uv
zw5FhIPRNK9WN3TUh+9uJjVb1g3sekBBJ3zLVLTgqSBt0j81pXOdITMRHnbOfn3Uv7njQuG5ru85
5Eq4737+lCw5BQWLE/C8bpZ70/tEC2QQnhCO6h9/fai/nLb1GYVjE7FHKWGvHXE/Xhw6aKy+cGdv
w7uvvRyXePWy6+x3L0EF8woEm1pf2gr6589HWSxtZx4GY8AB6QxKiXEKwn7n3P/mh1mfUra7XuW8
ocPww4cBEp6GyOykthjMfN878IbG//GbRwlZeEi2iOsLOpD2hxs4FIq6Vo+LnCYZayeo/P1uM9v9
+ih/uQa4Y+0wsIHxsZLi2/v5K5t9h7m/glJDe711ZtgU37AhJxnKaOLw60P95Rr4fig0GMWCSggH
KtmP1wAWjJTJzQpG9hOsiXPZ297p3KRS7H99oPWB+tMDl2wVCxZ/fdZKl6XozwcyA0p3h01w0zcB
JB13nDt5knrwn7YCjiFzDjHn8zbQFOpsYImTTVVjpqbf/rx0GXNnOb6Dr4Lo+s9/Bverm8Upk8Ns
Gqb4bI4aEg/CLZv6Hz7vX89hICR0uIDj+Rznw32ML6iMjb8K21ipDzAwGZ7CxT6J3UY8/Pqr/es5
DDgAGpVwHVY54sPjN1gcn0Eixv92WJpraXnVCcyHP+OD/3Gh+DdHQatjk4Fp0eFZv37gH14lc8Xe
0y0oFMhURbIjd9sNXNHkH742YO4fLhTFHsZmDyFZ2bKyUR+uSDia2Ikl0Ww8it20L3h/tXubNOmb
VF1knq12lXgwHLI+3XVpEyERaBPBCI/bPKnuA0PS6CAmrXl8WhYzP9I4lrOj5jG3L9K8XN6kP7gN
afM5N98iMttUvEUeAWtq1W1zH7vtQOyEt7HZo5RR2ESiArfdmU3EIWKMneD/Ts/wU0m42FRWzb5c
BQv8BVc8pONZnWqRhektvarecBhbFQdkvwXEpFt/wndC2CcLvf1SVb1zKxlJr616GVQT2ax+FU3s
Rx5nNzPJeZ+1zSeqOOwjVBIYGZpP11xHHq1kz4lBAbwE1y+XjeeGEvFjCCJ7a891FxJlCJ3qZqH1
Zz4FPLHktxZ+V31wAGFMF6y3Z0pBmESsQ0QAmSutBi2QqZ0jIt6pOaOBfUczgn9Hxj5KDugxChlq
8S3vNodnlO7QXvRthrUXeCrllYBDSAIsMMxZXG36XDUkm/1WVE8iBtx2VlOR4z6KwE7Q4JoJ3B9d
krjW9rjLiG8DbMdq7JCVg4pfKd2dGG+QMMwcSALY38YYrwoJgm1qJpHvSvoLH20osMupCsnF72Dg
YxIwwtTpjZyT4FFRFjif1IsqxtPBSPd9IYVmg8xrFjJThawNZ22YwT63aZkQNo/65DbuIedsaX8r
nV1Q59CAipLffptYA3KTVQZjtnFLuraBnQfTiMZUFt0V+PkgPKsaUdwgS7jBw+ypdj5tW69iAmMh
vYaAxYYYpD7cDDLV/W6c6El6VZnp8cIvrj21VybzSnM+Ar9w942VDeYtLefl1LgzOpvbFC1iXQCh
fwPIJUFaFSlK+GGi987cN8QH0tfZ+A2WkApSDrkR3206WBd5EFow5+n8scEMVaWO6USLNdKc3Ans
VcNbiJLQXXgKDPK3XmMxBmKYd+GCODe7zpWNhSc5a5s4mWDDBw6lX9mAvoTW6R8jStJuFJLCu9UG
Lda2Ou2s83gMJWFAFtglZHBk444mCkL6w1eAxGTtCBtYoUX6ZAmGV6bPggkfBKAOWYEMHIYvoPmb
qs66cRdmJsNgbi8kwBkbWtOpwTUMmIRQVHw7FS56otOFQ3g5dUnTHpO4rN8UN9UAtoh7+Cteewb8
KLzVeYeyPV8U+NGKw6iaQZ26Se7QKM/NM+6KxB+uOgwr8fnU41m8U0UdeET2MiH2iaW12CPiMR9b
EkNHYxSClt04dL01ICQDEPTazUt1THCQNluepLzBpr7ha7Cw9qwJ/Si4nkj5fJop9hgIjlna23ut
xWXfUrAEIQSXUX0CuN+Nt52LFX3rtQ3se5UNcb6h7S7/tnQyZQGcFFg7G9AEzonfj9X47Oeebk9R
0v3wBAo1eakGucK76RlbB5/hU/bp3WgD/zrFFamWo6DiKuYSigviPGD4P2u/Sy/tJrTiPR2b9Tfb
6duY/nm9Vmp0HvjcPGogRI6xpwqYi6pg64RFaz1BPSjDIezkpszr5KEGMI3pzsgw2+bc/nSJViOQ
FwrC5xMZ1+A/HSQDH1ciG/6TMU8cf8dMcqB+jbvxqZYW7k5rLsrbtjeVjVqNyJZjKb/nwQ9upUCu
j4+w+3hqoC6s8lTZ5A+QEMBoi1hRTEXy328xRamsuZ4jXK+cvy5oD21qfNxOoGjUvvGzJt12OC7U
wXMaBMsa/HREYUKBMoFomDgXbkgCDMsQrlbam6R3Ujt+BqFb0hjz3MV9QjtXv4QUnfDi3AqlxuBd
U6RkIwCs5HfZJiCmIubkYqd7VVoXAex9w1yY9MPZMqIjEf+0e1ggizPbAC0q3e890XfzwR4GZ9kl
USeJvbSu5WyccEbcje26WyCAodMciJMR21I9IsiZHmIQr1PQ+OVeQcTITrWNYx9LFuzDx46pOK2K
klIPCH0xncvTWLL9RYVmMVQEc6gPbsXgZk8GVb7yWNP2ZQAp8tDHvgd/dFANuEYsYtBvZO3JL0NG
teV2sko7P5v7OKbWivwG847vBumGBh8KQmJkRbCrc5pt/aH2lz1KRfwEeIxR2jyNOdECB5c0Gr90
C0A6I8pWPAnaMxanYVHYhIH5VoMMh1WbzsW45YKi9pNqpvGEfLpBgJkToTdoP7DeIKl6X9LZjPd0
YUEEKq2AW7EojHXdWJF0NgAXhnFTFBLjpyBzRNgpx+W+m0MrpYEPfF4G1XUA/z3oCdw9o8bsHXnK
lFuqCAFpkgueX0m4EEXKPJegdm40xmUTMHynU8qheSJsnJagnF2I4sQumx6vrhjYrw4Nok0vxkJs
eeiGmAGJJXxWHebB07SsqFNpE6dkpF+NUbCVdTrfMvWbq23QNjTnGWE16lAHWUGYysenTZrP+ySX
oYLH0TpsTNu4sLOdOxCY3pZ5NC472dTdbbIsueTvSSjf9PMM+BOOGKLYWUU2eoulFg9TO2IJ2dh+
UD8JXn3c8tXiQpvSRgqmjtp9A7pb8QIcSUqyzKwgGSreBIAyykGTM1lW44tRWVVsaWusXvB3Qvdo
3Np5AIce8yoohD4zNjn9LdL3WOwDMtd7GQ+tvAJeu6gDs4VJsUCiCZchSYyLqfexku8b0EzZQcxN
pG/iyNbx9ZwURL26mLISsC+k+8ZzTXTU3Vs839M1nl8nl3lOr9MG+Tyb7sVSkm2mBcPPrrzMW4Yj
vKhsOlnwl6FoJXPgnEc0ruTnDWuJjjh4KAhaxSkFdmeB28fUmVhJ6wEBrP2ItCGacKq8Uzor6y6+
EIQh/a9wjEE0VKXQMgYqzos02AzwyD2cPZbrNV9Ytoh6ZwDpwO7B8h7tPKvsT1JeiO1xCGCPn6Sx
hVLdFGvyI2Zz2Kws0bWXr67w+XvsBJ9gOcT9mSnoAeBgxmEqXMv5VvWpxt7ag5DfhFaSEjeNAgw3
iwKmQamnS0CTRZcLtpW2Pb5+zVew58zggG0BABypyC1ubatGzA6Mv3yuEz+uWYPrXu9iY7w7U47D
mU88Ot0KnlAXcUSyfAv6N+i2LlIPb6gawXk/dlE4PPWxcJ9m9rZcbtQbOwcyTpXchDZ96HDxZzpt
+LkFa5fX4auIg7cVpB6Ah5tp6J5tV8Nttene8fnLcWLRzkryra+sKxsTUMAlX1FimNUzI/KBmUK8
b500e4rshCeIhXEDsRM2gbNZ6/SQlJ2sfzG81Mdtry2RUXoHU21rimj8rDMkXx7DYgRX7TQBpY/Y
cPeVQ1XaRhR5F2yKmko2hM7YgBQTygwnc+lQRV0sunrwLeFauIEtvzuw7JM3ATIdYYqC7CkcniR7
EiIloax8WrTWwEVFnUizVu6RUoDD2U/qziHHSggNWzCVTDaVU5sk0cO3ohMkX+O54TbMdNaSF8p6
0DyxKztsL3PylQoURqaLwgy5Y882vldqbj4HlBGceFHEWsrOHXZL7AXqdnU5tBezxGuygzs5re+b
bqJ+PGMICn1IkiEK2A69jFYnz5fKA52H1acgJERO+WbiSdc8hqnRAWFg2XIp9TOZKB16zqGErGId
sMuBCcWmhL9J4jfv0eNxPJFQ0WvsbM6W277KYuJFvEwvpDVQKp1klfWog1jaj40SqOLG5MP1oj33
Zmp7292qxLPu0ixMrH1gD8EhhMN4oe0BFlPnzxojRt7Ur4B465sBd8zEEjuHX9IKarowoyfRzOmv
Cnd9HUTRUXh9Np1mARuNW2Ye47dYV9V70Qw+NRdWy9sz9XNhdqEzVS8T1cAr9NMzU4v8O0AB3uax
T1ZhA9WAAP6mMRWPaS6fOmtJ92dT+GzNS2luc9uKF/7EBGTxQabKzh8p2Ko6XPNihvi5DV0juuuk
sgruSouMB1o6C6DVgmdH8lNpoE+OkttrX5AlGA6Ey4t2N3a+/xSTvnnw2AqarWIX6u6cpcIeqPuM
WHjdTUqBDHUGCvBYtOPoW9iGcLemXHR2j9dsIsjRJd+MBqeGiV8tL5Nu+7dMd8mwrdcmWq7T1bvS
WBofuFvGBA55ZFTnPgBbUAihUpjGKkhye9qsWQGTCnY/1QClPw0EvmIetkS4jqEs+pOsombne7X0
VeW5UOhKqyGsJFmpv2GDqMMjPLf8qfGxlOy6rioOpIaAktJJFj75Uw8VWeRUcLPzCly/ee1TNnIP
ROXi8Avf7UzC2Bo1htWJpfcmn/rgMcGmk+/qAREUqIrscM6Q5RuQwcGPnJey9x88wtETsReLtRjP
ad1BsmKckZ1DB8P6E8jc8vZiaG3yRaX+6sw+vPwxyFis4K0k/eo5+TTsGTaxIK87L26o0GzYKQwg
jk/AfhJv1aw3IRPTDfQA7rP/EgchwV88mM6Tmv0AYiO/ZKtT8u0EesgFjqmBHh8aW/t7rjjWDoxP
0elVT10nuco1LcJ4mLZXjWm4gLvbIN0H0LO+luGA59FCpcXmhS3Y2fadbM/cqu6nPT1lstmyAC2x
VvZ1/2KNiUkvRkx2EAXoUDdH5M8o2rDU6O/wJwEoJQs2XVW4nkJyaRpWJJz16W7pUic/LnA4Nbtn
y0qPjP3Aj7C6xWvsLGNwIuXoD8wiGDyTXwFYfIWPM2TZrYpAXgylEz9VRtXRLiWrSIkJRtYHqw5K
LJwDi91NOwXr2q3IzHla9oCk5WJln1jyzSxAAZTSXUt+pie8LGGmGCDo+KA7p7Q3uaIBdjv0nvkq
cZO0AB5CwGIZFubiOPGuJhyvCh6HYEopzbTiMqRlkcZjmGGkS77okcfMpp09ltmLvRSPAHkW4tLx
9M2Umlgi5lDTnY3NMLxxXRKIcQO2mu/LDIiManU/t84iJyV90ndLgj49ANw/UabvqiMmeN6cEL97
98Cu17a/lCU9NPieMK3tjd0tr5NOee70ZQJMkObc+jS3FvNMWQt0fWdIDYhHd8HCEV1Sez+J8p48
msf9pXtavcaGJUl/RchpFjviawLi08JO9SuDg6z8YmfBAKzTOG13bOOGMRWsP/bqDznLOM2Lb6RI
/anwqAm6R1SUcA2iZoGYjYXRLoghuwUUMz+YEFx0PqbNJYCK8Z0UmjVDOJ9wV/PwZrcsc/YrqQyw
nC8q+uYTEn5ncds/A+hIxOeBosXiHftONhBaYgm9cYJaOKczVZD1fYIZCrBNobrkIegQq5kC6Oxz
F3d3FS3xQPiGzgFEyqWBTY7FbmZVbIt8Wh0aX5zwPX9pS+dCV+a6qr139rv5LmnkW1WI6TkLVbsv
VRweAzmeteuS0yIAqEq4MbkzCu9rrLw5Of9Xw60U5cQGN4mxHAzdbWrdWEHltntfZMSeggai3pao
cPfMWMJnKyMZwWKEHP3rf6l6ioxh+8cGvYopTqgzoowdttrrsHede3Zm2OXwxbM8xWfc3jRhjQef
hVb++HtzYXZriCEIOwj8QYiY9fPE1p/cCX7uuPYXp/llzLtp53Xz9Js6NEdBp7DRodEqMHt/mKi3
gU8vWkLKsPekOWNnUl3gNnH/4SjfvQ8/6gccJgzZNbNiRv0Ta4bkx/FzG3fGE10LMmq0iuhA1pHV
cTR4FUm0Fl572nnqapQ2C/081taj4i30bmM9C/5BQfjLfBrwGzqT49kOMVnf/jBtr8LB534PLLZ1
GeYTBr/biYa6XWvjE/71Cfy7QwEjYOC+Cp6e/PCZBz/yHEAHfOaFguyxW11eNsD7Slt/yhV/wvn+
9IFA6/ux5efDP/7v/z/hgN8vlf/svLrv315+ggl+//k/TFcunT3IETgEUONwVgWcgD9MV8L5t0IE
wduBs0pC6EPe+TOcJMS/haCiE3lJKCSg1TPxp+eK4iDFf/g9XMAuzgrxW5Yre1W8/+89gdKDjCZX
G5TDAdGoP3h3mNjm3dIFT61Z+uCBDYOWahtr2M/mQlVlLL/F9siWm4H6wlrxi9dRszDvYxZuVJQQ
dLF5qdfRIbCnMKftvaRpnnYfL4QrfWy9hRrAiIFyJ67cSc+VOES8YkB3JH7mwZH3A8F4udSYlOsU
EXFnRQzZstU3HAeMNyYXDjWGa351D/1iBBtS27XMDzoonYQhXbuigaMEHeaA/5tRHlNZ0HPyRObs
VHe6LdhxF4GbBLyr2WZs0cVJu6QUbNv1UdXAjLZ2RuiYKRX21RhCQMxQCX5pnskz7lEKr9lmUhYP
e0uzGgP4wLk8s3Tj+29ZhT3ksvYN/iqK2AB9baKESedBirb0N8wkjL3uzgDE4rh1YN+RO4bYTMKR
wHttnI5aDN9mp66a7hKg4AK2zR9n3qYg+/Lm3aWwvd4hmdDdgU8/lvo1o5hYg62Lawymvo+fi6pl
Q45c06gCDqziSQClWyvMFCi+Sp12baby97n2KnYZqYjDHh9T2ed7lnCMWGY2qBgTXKf+HDndlGyU
sYbTJKpg5ILXmoDgFIVGlhhUsJlCr7/ndPn9Y8uE3D3XlkcdL6Og3r1ESOjTnc5B3G2EniDr9jH1
35o9d3fIYdTw54kCaY6xvg2Ei2IP8ebzTKL8QxlT7HMEymZX9AkIkQ7IcXVW2m1c7xOHH2RaQFRG
R7WrtpK6YnoTcpdBho+h9bOyB+zKHm5SGAa+g2xxSJdS3tZJxJTDoJ4gfdQkeoGKdIovsxpxJm1C
DOtIRnrmU8qhWkLaIEtPwojuwOKo3B18duiW8KcduD2KkbfRpBO1KYsoBnVc04UJLboRvbqGD0RP
BxNcy512Ocmzt5HM8niUvPVd+3RweJm+xAS13Se7qWMUKcZeGHe34eIN4pTN9UoCHPIxGndTZ2rq
hzDp1hDOGlfsKIVxr6tw0hH1MqqOt04W80ctad0U29rzgUEJiHZYgEogs1CELNDI7GaSm97x2zev
N9jfl4zekE0cKiKAs8s6naR7kMJRj4f4hjt2+sRVy9c4glYArDtnoNEtNXbXJsn51SIR/MtsiFCG
6mGm/oHVSPPMIBX/W92L6DhaA72hcWa6L2zs7HsKRbwvtAPLTwzHGUwyvaguCCPVDh4isnYXFKj0
BA4awrubFkPDuEv6gKXM4mVcbEVTeOPGN4JpTcikbtkRGoZQLDtbsf4ZcZF5foE1r7On4Y5Yv3kq
/CYhe8e43Nk2Ej86W+6cS0UmwfCsPR4xG2kzBT5pbI/mCQCPy4HNRqG+TInd1XR1eG40XcOoY3cq
EKywUsIagDZUTKqlsjQg/XHgUTUDV6qF393XjhLFZRV3DK7zcanLcBs3lW8NJGEyL+s3eU2NBhQy
15HLZ0aEVnJndWFHzYTFCG/KuAHnBY3HTJ5egSHcpg6jBxNp6AxMPbZI8n58FCHZHIerlNzVsPOY
FJvTia+j3FHL7dINWDo6OKdCy+tO89rX7SXEQWWdc98m8gyYF4ooSVI9GZz1NUwPS9hwsLedGui0
4hk51PFX3MPJ8GUKI+qY/BEY3ZaSEsf6XKkhI1q9KxqTDgGB+Wlmb5R4snFeQxGoJT+tSOsINLfY
pbf4JBwBrj3itfKvYVWxhe1i6T2ONok5MhIxITgRDMYcm6Kf7KB8QtnmQRYOVgVOfJs4CwrIfYCf
z1feOalNyID0UXWfszbPLYqZRNPfVSlNv6dJ0jKegRkqknu6s+HNmaWo6LMgoaNJOJGO5+x3UJmL
2BXJnqJbGCTws2wJyibqbhUSSro1fQTPUJRWNh1DJsU0J5J2vIqY5KtdhaXqRYEkNAfqQJC4mYWX
V61P6yhfHO2u3FTrJWmnfi2oplvnMO0I7vPSZ3oMPYO55FoXgbq3pcc1vxqoMOFl2iKZ9WRZfXEN
MDeaj9oC7X+kcCG6ieqU6Azh83E+RVWgWMIOOv2tDYLmKaiWZT6EYSYvB3iXlzHvpvXSsO0z6AVU
Qo+pHWYnSw7qkHKCdrFP04AJ/YaRbCZ2EfS35iDZMceUvRcBHM2sQQU5gCEbXqy6bN4AyKscKIbQ
wYGW3oZ2r4zo6VbYHlVrkHkoeCniloJ0tmz22TjXUAnTmhfAWnzSRmgJrkWUlE6NkBhJSDknAy4F
BUjJ2DlPXQ1jY9VMvygsyohlJkwo8SPxBluA4hyeqkMRMzBVDS1esMLyM4Dia+fHssBzAuI3nCAw
t+Mhzhr/y9QkscUwNZcNkSTpdIjxaD7Lid0C3LkLdEtcI3Rd9zj0aUB0JY2mnrHjFCxbY8YAvINu
qAOe7OSN+aUmfYKAdiaKqFK7xghVHzBYDuYKtKM5oxj+rmBwz68sx+IKXx8yrrLm6qXs2+ZhRMdW
+wknBSyRAJ3PvdR+zDWWxpUzP85BAlS9adPIgsEmxDXCH63ERHGc7LpI8qU+zbqZJz+Lj+SWJ4n7
7NawOk4wZ6bffM4yXyj4PPE0dMLrHyusbFSvQG+ttmjiiThTAzVMxwr0nD6Bt8AIEeobj0Xpad/Z
d0GpG+t2Qujv3lKiuwK+XCepYEfeXS4jk4rXRE/xvXY9bJ9W4thfI0zPjF+KHr58je+1389813cI
qA1D+9HI9cWXmIeAwvo34/U4UUwSS86r7S5fi4nL/cCUhq5W1a4c3kRW8iWfXIXy5CTsx0PlAtfF
38EZbsFzUcbl5kShJFxDn9k8pEgqU0raiLzhv9k7jya5rTRr/5WJ3kNxgXvhFrPJRPryxXLcIMqw
4L3Hr/8eJNUzJPVJCs26F81oiarKTCTMa855Dn4nHdRDXZfioc5bfQCJsgQABTH8SlhHJc3xUIFC
2eT03dyO25Q3j8ykesuAWwJeFmH7SqZHe7RwPD1pfV7c6aE1GRuwYyrmLlf0UIyZR684FSmzlBtY
+SZqW/Ibc56whyYW2Sfj3vCiQcHzyWpBPJMXoMrd1EtzZ6UCiHwdzQN7RSeoYTNqZJ0NXQ9JYjQr
/5EI4uYzNN3Cf2IOJxOebGU2btw+CY2XMTWy/gt5v4mNSQtdqr1j/E+srZbSK8i/aRGX7vrnFgDE
wWL+QCuF9eJXUazbV2ZEoLbLWgd6FN8E4TCbQhfNbWQnzJqbihnUP31NsOZ0HYbE6uEuesufW3FM
KGbvYINeMVfLTkqWzm5OCKqeyMrYJBimN3/dBi9t7k+fkddD567jiuAFrV9fz9RGFjKc6hh7g1uL
5+2aY9xt9Jj0m0BDI9KOJGYZROpsJDXi9V+/+s+6N5osFuDMTxbRtqSO/tWUMSfVBOQxoXouLLFx
rZYcECP/+OsX+bnTX14EUaRu0Ghi8EGW/suoJm4hgY/czFdaryy4A1aFzkyy/QySvnj9v7yWxSSF
9Sa6sF8GNr4eNygFCgsKaeZ6baBlT9WwRPsxovo7vaz+h/NzQeTzQsjesQUpsXzwH1SDGot+KJsl
Czvg7WsLZzZ1aybmfV1VDHlZyG1Kqm6vGuPqaGfSeWP6TnierCg4y4D7wuCop3Gs2tcyzafjjFlw
+kei3u8Hny/ZshY7lI3V5+f3yBJKFsnAwY8Lp9h0yIv2Sov973Oj/0xY/rVYT/58wLILf8leWP7z
7/MV/bdFICuFMKg8HHplBhzf5yua/M3AK4HfCt29iyBUcUX8m/7CjyF8JnaBi2UZwfFTDZbb8L//
peDCKIetqW7z2xA9/iNPG6Kjn+480F/Qk/M/HWsb7/Q85fnx7GWx2AN+fg1ZkbGRXboOVvGWweNI
RtpDDQzzImswPNGsMQNc541gfY6Uhr0g1tTykIUSYVlb2THb3lLIFyPR4nhfhxmR5xSRMYDK0ALD
B7whwU3gR4W88bPK7I+NNrslOaxxtyyx24jEqgYiarJkj5LPmldJ0p8gBKfRknzXelFYECnUuSW/
TeaMgA5sW9z+KAMTsDP/BtgICv3bMLRk6zWt+GawfgkutAmO8dqvaDd37thWT0lMQjQPTd1uT0ZY
lMl+jsuG2KppnsTVzGah3GO8g8ZpBWUGIVSXdNaxofeAyQSYZzcmuOBQxFEj9zxWx9IDembDRabu
Sw4IHsMdkLW092zEQLsSv3a3cfAQFytsq3Wzj7HhB2QvQnhhH4+uAQBtTxhaNCA5NmGnfcv1XDsx
PLGQCmJgsNbSRVBBbzibD05DZOAK2gqhf1bFOgedH2xhM6lGsWE/XH2drSh7ZWxElJDjVNYO0pSL
4z6YsjsC7ai5o5RdM+ZmxcaWsu6bCrIAHniBw6oUToZkt+zIlUA9kq4iYRJxx55Vq7ZBPvkIKIFH
rNPG0h4Yh8HhjVAwN2t3EDXnjZHa5i4sKgjFgDRqCj8dLAWsH7/aWK1q35CnIOEti9i+F3o8glyM
DF/zfDBXFKyF0ZNmZ2e2v4dGgyhAov70TAXHY6UCVb8B+qdAm/leaIBdLXmZ6Gm/lrYW9qtKtgKL
ckT+a48GGAe7CBmvIFNfJirMtbe5pg8Hmtph8iDcKGJDk1y7NogdwTYcRcjadM6s05AEZO8i9IrC
w3lVu7L6jrfKQoSjp4eaZqyqruhJhmpJj10jCCIcKmB0eDPPbvwm0dI2h0Dp9jfEQYqEXNNo3ywU
18+1tLpmgzY0pDMmriHZjGEF8oCwoLfMLmK5afOouBWRE5NqPFFSd1ZJZKNTkwmc6NlYro1MjbM3
9ag0PFWzY0bMAESsR7TX8GVkY7KWkMMeYINQr6aUKwCUEqctTmbR6k8pqbRXhSI5d9XqaqQqD3Kc
12RmJPdl3ZgEtRHeVe7kEsjam82bBJ4UroNE+c8CtooF7NHCWM7YMII11NbyU4iGyYUjQnzfyazA
Zo80jfEqAbMb7gYEgR8RtSPvjkBK5FVT6tfrPmlbdpk+yzpWZF3wWYtEIye8N+KWPCOaZc69Zkn1
NGexC6Q7h8RsklQFZKKgs7MCINqem2CN3BV1X9/PqEABE4SN4WzZmyzCnJa4bgCPMy144kYfaYy+
eFWrZCi2dVs66Tqp1bAhjo0OZ+h97airIf/0gwjXrUbYL5Qjtpf3RD4Mn+jYh0+yEBp7FSZaMXiM
rYlj6XKHZXei7GeEqj2r20R3Huuo7s3NIGyo1GZc3FhFzSBvHvT4E7mMEW392XBfJwttHLAWwEE0
m4rED3Tk32SjyvGOgG+Oi8UpiWpQmtkxqwRhVkRFaAA6+VrIROu42bArZ2g2mK72lWhW7RaFiTs9
BplynuspZRQzo2heZ7kKY6JfFt1dYAeDXEOzCqNd6o5jts+z0qrvyEG1JnKq/KQ6OlLYB+4aIEqQ
yfewmArmmqsC1ueTDQghvZJ2B+eSRZXzCbySD5d3LTodIC7yUk8ird85CPTfdGNw8m2AIoMmqh7q
a5gMYApqkEFbPyyJ8Ob9oRhQwIPQ5PFiZBBC5eDporUwR6EhQoCYUeMtmhTWmB1zUU9gVx73Td2X
g9eMtvXFZCVZEDSPdo4gYOgMQM3qO4QnE6aUukKWCd6jyNbIntRtGecAx/vINAxwXrA9iSFpcttD
wYKGIGWVyvUyLNgquPPtFzgpibt2zmCraWFcpWfcFd97cdFZtAmcSln1wcOAvPpIXzBZZhEzdDbP
+CzjjNIyz1it8ozYaksYpJT6aIk8Vyt8rugzkis947moFUF1sSwD2zWdEV4B5yfhI9/RXkzryAao
FuRXA4PyESq7UW464hqS06Cm/sk2RlBhQGVTZ5voRHwDnizjd2uImGuufIPL7aL3x0Z/HBOE3+vx
O4UsxRx1W9YAXQHp8vD20qhvn+YYDesuc4sZKgeDIG1c2WfAmVxYZ0FScVuWRIB9jSEOMWzSS+M2
aCGkMZ4BlqbCMzmtZybyFZmVsdfPaLX8jFkbz8g12A9zwlmBU9DL0cJMmyKA0FaVo0nskGntIozG
txb0dcVI1ewaj2vtInvKQZ8xFF9wb409cVORZwpczT0X5OmZDuefSXHFAo3zU8lbV2eWnMEENWWX
S712cJqYYbO+oOcKcsHfGhJdmaNpX21nym/qM6euitP63j/T69imL7e8BWpXBQN6i/XUB8gePN1v
uuEzNuaJeXNlfjDmKkgyqJR1EZiuFKssdyMAI6r2/8NfXFLVFv6iSZvy51X3+rX89l+P3+qPbz+i
F5ef+V56a6wp6XdobaFJsLV3wT/8u/Y2TCCKWLAcE+8apTk/9O/S26ZitwQGSOypy/KTqvz30ltX
v7EWZ3lK5Y05koL5n+w2l/L+h56f4YyJIdF1eAM2dbetltXnD31jkDHYoq4JmEFp5iHBJxjggHCt
FxPm7LFPZvm1JMoPN0At0QgDJVlHbiLJf0EW/FroZGT7HZRa/F9wVOO0YVYFYpZFT6telVMYpw5j
GUGf0QAaiOcNPl/U1s4z9DntOu6QuKBXLLIn1x+6C230vbFIMZr1LHb3te5qT11Ft7goUHdhp8y3
WCjtVWUTYSKlPhBOloBnA7y9VBgT4YqEgyeMEx9++FJvvg9BfqQ3nOc7/zsb4TixT6bjkVjzYA9B
z/r5OIGaSZHlyU8TJynM7JzHf1pxUzK72gd4l7K3yfWMYBYSwuHfWN27SUIaGnhYEEuURDDea1Gs
C0RSRv8oLIILVxQhNeqW8LJIWVBtYo313Ar/QICSBCPJJk/UfPF/+BxQE5TpCsNdtu0/fw5JwiPz
5OKzKsPwLvP9byFYxV2KLY4ZvWau3aD4qMtRISsF1Rv0oXXnZuO0bickIZNdxmu/DfQ3P/X7o29i
N3IzcdFz3z84QVifkrxXNzIP40OgF9HfWLZ/nnGcvwOX0R3mXy4b5lS/WD1rKVLZuMFnnvnZklKu
LpyAtCvG8caFnsjC++tj9YsUZnk9V7cW9QEXBtKbX6Uw8wD3DIjCN+iSz1ilHsJ0iS0t43bfFnl6
8odBgHMjJm8AUQeHIvs+yfhTJ6j8w8XJG2B6xGoIWBuG/1++rCxuxrodi2/RnCJg1mITCljXxNVH
4efG55z6RJn4DTERpDJEm6oX0xtNGR67OTKn10Gvwn6T1ZmDFcu4NnOUw1S0afUVmku6QeFmh54S
Le3fjM7+1CMNyplp2hoCU23TWwKMeSBbepeglnezq2ndnpR5EtLzPLjTfAe3VEcqw+mvj/vZev/T
tUYYpMN0zrRcNGXmr7ZsRaUf0DG9y75mcVxQDx4nzR6eawD2lK8iwqovI/EZitHApeeParkX+M1V
ivLxPrSg6uEIazhkVNjTFWo1ZNfwtronCy73VWihTt2OpnNL2WQ+MlIYrvhXQFVDpoHchopDXob1
pW4W0RekAfShyj789Wf8w6kM8YAzmME8HncLXcnPlyEXRxH0tfmG6UKBiYa3nibEd+B/Rc4WY379
65eT/7/X4yV1bmD6cjovZ9oPt/kqhjoip+qta93x2fQDcwNGO/GA0GXxoctc41Umrr3vNXIXWr+c
yMNoWFywaVoZPfcjeGH9RVHWiOdtEjn2jZ4nZIUope3SzLUPmnAqudZxDnfrjh4HtYXBaNyp+i9M
Ag3a4TYYvujMKFrbak+6L+wTEhXJ8DFvDTYyEkKl6dZHxJvdJ1e/fm1aYPKJ8XKtvzkYy23i59NL
d5iVKrR6zJuhIv98LDIaQ9qN+X1wfWh8QS28iSNGI4kPmKxsltvcm//6+P863yKjlGkqZngeI8zT
5C+T/DCK7NYsx3eR1s4Bz+fsMaAIPDNBz/bXr3QGCfzy6ZabJF+zS8v5B9kcj+pMM+rmfcIcwr6X
mJiSrekLxeWaOT6Z6hYMWMyqJB+tIvQFX7FMJJeTsobxb96KsTwTf34r5xMOvAJTRwaJvxxo1mkI
zg33rSA74CVBrE9D7ar6xohrSK1jXyY9gTuT/RD7g5D4dwPtmQidgfh4UPN5OlTXNBFF6umimzlL
x/wb+ZwQIVOTroBNrt/t+4phAcF0dX4y/AhaOeL2GDuJ71u8ZGbXf/NNLuXaLx+K/QFX7cLLdm3O
3Z/PHhHN+Hc16xVDG7IgK10CS9GFrWsu9WvUOIzXcod4Jx6njs7MvQ++4XxE7RxR6nt2wAaxqgmY
WrGyHa7mYmw3ehSSh2cybXulPZo+J6vnrgB4b6SSmI171aTNVRJM6nkeZf/I2MG45l5MfHJMfBNs
ltskbAsNpwSZJKuIGSpLdqQEOvnaRb43iGx6SXFXq02pafcpwNqjNhvmSZVFd6GT943xvo9pRgmj
YVcfkA56qzO9bDwXP9ffUcWMPzzVXAmCnFEzBwAfqVhOmx/uRbJvSQYIjNfaCMULmhsrB9yvUEog
F5jBCOZTTWS4O2YnZsDjwQ5HbZ3McXqEDxnEHnRKgSY+BZ+VpfSZrXmH6aW5a8gIC9dlKQEaj4HV
ndyRmN2VRhzh7fka+8+G4V/6Uv//ebNzEb19q6PXHzud80/83urYtDO2DWuD4sxZCG7ceX9fM+g6
AHpIZIL/3gDvpvOl/97roP2EUOrwU6h9WbIu5cD/rBnk8vgXOoQek07I/UcJz0h5f7l2l46K3+ea
Sum81fPf/3DmOROpCXrLtcqQpEDagU1kjYUJfCIX0diuWgMzOEqmnD05sX/gFvHwJTcuCXv4UOh9
rK0jB+QtZ0yj380gG1vqZJinZ5RjMpfhYqOAf5GfYY8Ye7u7EMEPksz8jIPsAma8xA/Wu37Rrmyb
MgLqnmpJ4Xo9PgZr5S98ydH3ESGXC3WyCGusdovM7SgGdEArWdmQLLozrhJ3GN6kzNDc04Bs/Cld
yJYZYVL6Xi28S0Rs2TcWH/bBOeMwM8CY2ULIHOUCy3QXbiabVhCaqHni+3rhamI6oNZnYTS8tElq
0ARiR4bSteA4yZfsv+LX7IK1OgM7/YgH7YaRMgKAsincTyIj+ofxDPosqkFtuzP+s2AZYK2jMxYU
Ix2zt3ahhdpNATg0PENEtUzWd9NCFs0btzzQg8biaC7kUULtgZBmSapd5Gc0abhQSse0i/IdgdV0
h4hKF9PGGWraxbI/BdWCOm0X6mlswDtNqgWFqumhM3vtQkidB9acq+IMTp3tLt7FZ5xq2eiYHczh
zp9b5xSwLXmpSC+t1nG/gFgbJ4oM8lxbB13jGdYq8UNcmgvBtXIjW67p+gC7qoXxask5NL0hlu1J
JnrybBt5nZK13drFsefD3beKzorKSMKN7c4MWeZkZMoYZ7ZsPzTjdcqvsFC7Ap+1Rvc1h1YCgjGJ
W8xruBDZBSy42uFMrvUXiO244GxpBMZb/8y4zc682+jMvkWiRyqME1RQLupIX6ksSuWdb0b5t7yZ
ig+8+4N/oO63dqXfsxlgwB5fa1ZB4maNuBcGU6xGY58mqdz7eRozNW5861LOZZcDM0IItelSICz4
LczpyY16k8a/jPBWCz3LnyYnwFRk4Attt8gkg4emDWtiSFkWf8naEflQaWKdBVqiTS/6TLjcWgRJ
qZGzVEMxBPc98I0t0wCR68W1mfnoagLyV/GLhLPzdUKzj3I/t9HEEKRn9ZdAY7C755FNeG2X6FOz
6vHZOp5VJ2m4techP+YDgpOtE/OLN3blzuk6hF8MiZySLlljKQ/dFX5KSnIBUp/8yaQh80iwGvoy
SvQtOhsuuWX4M1VgYzvteQlo0NbDuIToVihkyV/DYF1gFBzc58JIwE2FUL6tldAHnfOwau6KetIv
69y1X3yDjGJQ0C7zQJHUWrf1/XL8RLkmGi+bU9TGJgXeTQPeoCMYMu3WWOLYPJYQxZpVoRW65bWE
F6F9bTXtNQ4lau7KaBFwJ8J11jPLwUtgdQCTfR8txr5EKpivsXrbiKNxOeGnmjMqe3YvJJvPxRd3
QrOxmVRT4nKrWR1YTe1DZcOwCXXWx+pIViuR3US2h6+Oj9+X+NgZcO0qhAeNw4+1b7oq+yRq7voW
/9e2LZyyu2lDQ12BvbDsW8dKopq41MnBKM99xdn0qiEracb+g7iorsh9DdmarAlqrJ8zNmlHhHoT
1w4m/muyEMVVVOd4oh0tpF6ZXSd6Q5bZvvRkXnO9dnz9fGssSxJrNLnYEEO/Oz1N5QaBs1vdRYaR
1ESCifmRMZJ4xh8MC5j60i3uiR/DObjY+Mv4ehhaOV1nZFFOW+pTlsLYxzP4SHjf5m2Dyd9Zj23q
Xte+ZsfmWhZB2WyYleXRrdQQNMPeaKLQmxs7Ttle9tDjMY1OJLY3S1pqk1s4C7jIvjYkAHae1sYw
pG1NlI/IdfMK14FZ9hiqJPD0pKjY9a0pqAiyneZaz9YGWb6alzU2qyadnYQ4sGbp1LaosbQyoSZV
sHQTUtHcUNz66RSJUx6NxKGFWCi5WH3H+DLFvZXtY+5bl9PUBPNNPsMr3rmAkfASBDmLihKnKddA
UgfbukjGO2scWV3lojdYT4aAFZyTjmRuvLbb1hcHYY8s3tbEZpTX5jzXA5HCqEW9zkmaG40vEsVK
zy1tKuPY98Ko6ZDq6UW//0/d9n1GfS6i/7xuuxte84+fyrbzD/xuvhG/oX0U6Ico2nRdX5rT71Wb
4UAupmiDMCEACjrqf4s2Tf9t6eko3JZiHsGRQmzye9VG2BD/NXUg8yJraXqtf2S/UWf71Q99JNNz
oGvUGyYURSjK5z7zh7KtIEZ7al37nhAKc1neYjoXcCsOVTnUj4bRqg3FQspcxylu83lyLmFuj28i
byF1gcL1oEwRHNlJ0E/cXV/IthruJ3xF7OtkSYECQgoVRPw4T/oXTQ/mB30gpWoMm4BLpJtPqhXm
Jpy0kYyyPpi2VsU/53HSHiRevLXdt+kF/AHnmLX+MsFNAQttY63uhFcapr+pwrZ/TpwKAmQcYpOE
MW+bX81MR12LU9qw1nhvmmuQWs4prsylBvSb7Gh1wxJhUSE7XY1liY8yg0/HcyF1AfDTMGneFGjR
XijBc9A1ZcGyr1XlbSbJTD20ouseG2zTsL3UpG6JA7N3vJXmMvOVuaaL1G9UOdk8QKALFZMJs2gE
irVKUIsuqTV0nzAEvLbUjw3psjtfRldwxMQJzKSXiXK8GexnV3Inj5Dnx2y2oK5+VvKrGWrDbTAM
x75x3uqEtNC82fjZaWYiPPTtg52JtZl02LxHeyVEfY8A4UODZnGs6uG5LMjr7MreuK4pTpWNV6Um
FhaOjPVmiNG5aFoIJ4VzDa/gfnSrcqN6wM3VMCGMDIM38qNTzKjOO6t/ZnqmPb6KrP2w2Jyuy8zV
X0azeQHicRgM7UhHSbxa4Kd3g46516zG4iMnINbK60816w90sPe+KfZTj/udWqXxKQpyjf9XGY3y
OrImmUBG/OrZL+ptXDolyArfgIin7qwy+1JjOLiIjeHVlKxRwMPuK+QCbdmBJgMzQnI8ztKT7GKe
AIwbGzQhw4qIhoB45QFdIrJh8QmhlwAgbaUsO07WGgZ8g8kD4JgqKXbc8b2o7w7ITuLHQfnTkVU0
Avp6lfbPPfyj7kOLuns0vV6Qv1Qm1ci67eERNBnb8GJyGmPDNoDnlqZAF/lhDeeOwFEf4IMmmUdC
M+iOOXAzOFuyyvoLHULGqybs/KaBPb9xZBcczNDQk1Vd6jzK2hGEDUIqtFJN9oijDGURbBACrIh3
CrorKC78k+3e2HHl4q5p9oNqnjD7bWqZ3UlUMVlg3MekdVfppLzWKG+7II225tgIhoRJc+rkKPHP
RS9iirdEi8GwLMJsRet3ZFZCFVp2F/Rb4Z6g0QtJtAyU13laI0e4YDmEi6YnjkPlZOQ2ZnPFc0wc
Zza368RAgCQ5/CuYBoLo05k/1EwedVLau8xorqkGqChwGLGAYEvSZOmFhjeQzSrsokbL+iV3gLDk
rMPuVQSYLSLnkE8j1vvMDG6FSaxPmXAopeVgTrCHFEVC232kUfBEZPRBSz/bKdG/AA+rNqyttcfc
Us1Br9x9WFZPZa6MbZpZ3J4ks5/M9tj9d7th5HgIqM6bJi4JqrXqwfMbZ15BPUNuQK+F1cDpLAh4
ak/mlbPV80HfofGw33Q/sLddOPQo52bjZRrduyDJ4eAKnHN0inRnb0GWYBIb1IregMACKqWivW+Q
RuGkwhY3CYc0x4yI3k4FiNdjpPD27EFMbLzSN9/DPjkgvIP8Fj5SD72T7ZW8JTkStFpV+M5Y/1fd
2mcy6wEkXXP8r2kxgSKYd5rWlGuhMQpGxb8fHfEsai5HgdQsAvxWGHwHEaPLhHZ6RX+1J0XLvIrt
tLzh49QYHOboKjNlR/RW7O811Q2bwpHHoEX5bvkDpDTd3qswYic3e5BTjRc3Mga+cTv0v+DnDI44
3SFxRIYL9AuTFBG4wUPqp09xpXatCKUnrRfAv9lqQGOZ77FpSX/DzVY9hTw/b6Qs5UM5UPCzMHkj
ZoNrF4LilE14tyoS4orZ7ncEaJiwGHr1PvSVx63HIUG4NTXKNTxpcgy1kxS96Jg7knSk9K59K0Zm
tqvRMM333CD5jUQiRZq9Tk6WuSLfraJhqOxdpEc9ZIg6cS6NotAfIC9W61HFmrbLhHmVwpW7yvq8
xjxQ+/JmxG+5Zgmpe9y53S2gpPow1GZ8snU6SsRtuAwKt0mvmOGG2wElExKlgUhKkywL3E2g0XoX
V6cZRVhrzGk3stx6KoNgo7LsSvnwJsHdl9m+GPt0rxtxvpcznkwSePGBNEFP0CHh0an1qblFdZKj
EF4w4mSBV+FgKquUtnfaId4WIvG3RFphvurnE9wI/QbkJplNA4eAz9CP1mM7DnBExqi8mzHOsdh+
7ecY2VNf2g9aN/nb0c4arxVt6xVBM+xj2o6Nj1jxMRBJ8Urc0/wlgDyxGf0+u5RVEj9qEXF2cCi0
nZJRcBziIjwi/tKutLSebmFDlC/RZAUaZfA88fQEKrms1Q0e2K1119ZafgHjKH9s9SJ/C3Vrvo9G
6XvCGhscVL7YOpnj37j4qDwrFz4E+Gl+/08d/L0O1m3G9X9eB19FwR/ml8tP/K6SVr8xvmRvIoUL
Rfusx/i9EOYv0Jq5bGOXkhcs9P9ML3X5G6vKhVvOLunX6SXyDINBKFIN1j8Ur/9EqYEg5KfppQ10
m0egydQcs5cAjvDLOsXmwYZTkmFhH0fluJsEcgtKhUK4B/bDk3OFoIsH79hHSXjZtbRenmyhBh3g
qlC11KXFCGw0rPqL3eURd+ZkCIZrtzBDpuRmVBmYz2ilnWPZIj8FNmsYRoq11mAm5+lNOZNyngkt
2iaGXcd7e1I0uKWIC+tSsbURayIyFgpwJDpzlbXapK8KFNMhV2JsxyvYwEW+QgWOP42YhoRlEJCz
S0W1iGYwshg/dAMAPtO0p0vFnh8ObQTEUmYGCWrcZ0p+X6YAV6khWSKKnYD4TvRpPPiRUmbzOvaN
OFrLIXYhDVporFdhbA+MdaOwYkTTs06AbBWVJORWiTXtVa7SZ9dOjCsVqgLPV5AG1/XcIkSnGXku
gtb5KH3DrdfNZGKQDCEwMcjtOt169g1e8inQqxbAphrG7BKHuJtR32LMwUQN3NfrkM47B4WdoriX
c2y13lzOg7FJiGJs1nZpO/NG0Nzg9Dc757EoGrAlZkEIwyXkle7CtXxn5DvUUiDKNMXzkWzjqrlu
Gl+kBwgpTrsqLRR3hgWBBLv4MD7nAVHX28p1MDSu+jH3H2GG9EQvLVLffUN1J4n4rhD4VlFTvdVT
jhxvrhz7HX08lHVhTOpxyMz2RQCYJZqL582uA/JB/lSZO+/gbcnYg840NLua+ztzJR0+KjsvEzCQ
g43rhCFaW3Az3WRu69iyWSZTIaNjXvZaCDQzaROFztvamY1FT1WDvkJRoWkfYc/dFWBmFLEhbhYH
cNR86ko9tAwwqdMbXSBEap2SNV/sRPfdUOQRByiptmmqUwLB8SEdypqZhBvFmCAAUIJlrj2Z5l2n
cOfylOkEbGOkHMx3UpC9aBEHKrp2zMZntN+SmHas+O8GuVNAvyS8o9VsEZNapcxbV6NOP7U1ZEHY
TkqyOMWKK+pvjPj9d3/I8muiZfS3SLCu2uLJR/zd2VXeexZy+oQ/I6ycXPmMCjth1DtfMKbCQw4Z
eIVjdn5VmlleY45bsEEVYDLSnQqU5wISEwr7sMJqGBpRXBwNBM/0woKh6Jr5H3wf4Q+QTY2I4d9z
mgT+ezawfuNJWxjgxBzgipy6Wdnc54GhQooFdwn2bNlv6LFp3PlTmVyggmwZwNSJ+KiQYM3bILJG
zG197DzH9CS3KJkZYto2s/O+1G1wrWwcikMIk/G6ArcLUyHF68olZ4NzcFsn+GY0k6A6rAnI4C+H
2UA47RBQQL8KfJzs1fRhCAOmrPiOiV6IizR46eLl+3FTjIyrqdUd4VnTwK1vjFKDSFoLjdgqlA7d
g9KD6tJ14uxBGLzaxscCQiM/yPC6zxpaad2yuuQO23jte1KQYU643xzskclUww5ZnNlugtoa0w0s
r5r8YXAFgSdxGHNBVRZkipzQbly4fhYQ1N0h2VthY5Dk/aL3yryyZ2q4JTIJ8XRQJMuncyMNF4Mq
0K5Q0EWXjYYqY8Vg1oU/Pjul7zm19K3tBJfvhTaqeEHoSkcwDAQ14n9mX4HTLiIlIO0cMJVpF7T0
1nZjETOaD28NIOpTOQZziqHazEkAm0qEFY2l5B0n7KjTB2fpkjGkwmETTRUi3Qi1ANMILrgcpezM
ONhXnWTiZjnxsMFoUYbXfijCQ42cewZYbAd3Eb0eq1R/7ra5UXFPZjzsr1iiaRlmhqrJLn3i6opT
C0KMGcMUsyZQPIMW8b0ZZ1vHz1qXGjvLvyIE4aToItwV67Zy7bvG13y6TPh0lpe2PO84rcfoJYoY
a7OeQ9wFF1CPvhDt0jar2ZfF0c8MvdkkcKCgYSoS4bBfzELAYUghZkwVPqdVq2VtwEWaaiiHgyJi
Ih4b2WPUAOrwbMY4YCD5Azofst9HIypcmKpdwsnXU5OBZMkz8yUEJRis08KPvJrw13BD8A8xNToy
oI/RjVg+86yPXxzS3UV+YA5jDsOjb2Vc0CsrrPWPoc3yq26eo2Rl6LN9AOaZ9Ts/IrITIFd6ZY6W
+WBo0fySdkb9HmrcC9cgh60PiLYaqPtCiMexICxnJZu6+GTAH4JVs4tTqs/z10g3uksXtC8Tdjgf
KAlgiRdexTSahUVV6HcTG4An4HSU6pg50BogEraf/QphFYYjY75DGT9/JlrbHzF4Rfj6ofjuhjSe
F8m27V4rI4voXwXDvVVfE3q8ElVYsOwMe/1gdjbnTDckmBgIOwaG7GM5gBEN9OBLEmgL5a1mT7hK
fdXSZsdB2dHX1QMQYTMRlyGy6PdmJAmUPrpkP8HwbXJuAznrKc2cJeVV07awDUnaG5bJOMGKRBWr
pI/ka+KSsswPzq3enQYjyEa8LpkJmcSwhs65CFy9Ty6ov3sA7txA/fyLlUL+9wYnVpwDiT36+y7R
akFga5AJiGiamYrbGsClzvKhTjMP7qmbsyqQwNcYsaenvA2temXPsf5uOwy2PnRmOdVFQRdIOEkR
ZdyZUhAK3jQQqrr8JN7ZdArlW5AC4V1LMeH251ZE++MBkIebMI/tUtx34CeeLEIOmWFqTR5/aSd8
1h75oeAhYNMFEAEs7vLE1ZoEL1+5pHfwtc9N73/tlGrkRgy5Cy+7Kxyb3tSlg8QgAXW+yre1aeKn
rhJuYyvNAWC2m6yYnY5HgwaiiGDVZSDiRpB7PtGFiQRYQ2PVWxaSTn0ZsTCpL32RxO4hdBN9NjcZ
tQW5u7Mgj3cbDmVnn9hFQlFXc1DA5+2JBn8raq1mANKC3eCrMzMEw4ql8MYIieLcQ/9XclxlIwiP
j25su/SI9XZKbpgnk0aFUsbRdnlTteKIDK2v1qwyZ3ufVhqMBbwnCVuTeC7kkuUd6Y8QcoxoF2D8
A8cbReb4AIODDUVumv+PvTNZjhvJtu2vPKs50tA3gzcJANEH+0bUBCZSJPrO0ePr7wJVNy9F8ZKW
703LapSlVCICAbgfP2fvtQcMbUTJ1dYDGYzKN2D0o7oBvRC8yB0C000BTH5ilUgnJMuBLCcrdeZh
ZjycdwBm695qt0XGIXi3JKZ07iT3ceOaAnjnecLCkx2w0HTPEmX0yR4D67tVTHhRFBtl3ZpRbKNu
NLt3Jn8o4kJ1Z87P8JsMkwjQeYZTyk3ry7PKbiTNnzpFhn5kGiFGQb5Y5pJ0SqaZTak90lWz6kfW
hLhbG7RUedQVOSZLVxt6+7wlPQ7hoJ1ppa9TdtRUa11I0xsqSucjTZdpycopFTzSf+pvoq013+xU
mNJlEaUB8zkLIwIpxW22oUDQaf0aI+9bAO6vWlXsm7e6Awpqxata35Q61fS6m9CzuWKgb+fmgDJM
v7Li5ArLcPRSQHRJ3awnsmHljPp0aCuclquGkppTdgEZfVUKGspY5s3BwYOTm/ZeiUJusbDk6F5S
qoWhaZJO5raaSHK3INSVUoUs7ehC60TY7XDowBHvYRiXB32gi4KLMJhKdx4k+gnOUFaWm4KqJg2h
69LiBM8FwmKZ2bV6SJ2SeRMAFinCp2j1MdpyZZA8SeZXWBA4qeGDdCDXBQ9pkXlyV0cBTXKBcSx5
zWeGeDlZDPYjkl7lxhmekE1mVNFNVD6HFa5Gvw7AKT5WWaVPwqtJaWRPbuJq9mZTacqZ5rtFTg84
55ZJNL3GtoPCMhtWpfRrjh0OHWzLCJkdrIpRkwJ/mjRUkmlaWNa5zZof7OeiTcSZJfIxuUfQPXa4
YgXigIWOyiTnhtIzIbs6FFWO4OU//YN/9w9k0G7/e/9gg6Lk+bc5mrL8hb/lTyZRi2jqFRiNeCrs
vwdpkmL8xaaBj4PTLU0B+U3/AHuIxb8uI01iUIPM/O852uIBoXWA+xr5qMGfaP+kf/AqKX4zRcO4
x3/IZJBH1toioF+EjW+maEmLHA6lCbiaQfyAglZwDLLt/jlp58r05DjXLwylgZxONzwAkp9bfXmI
8aE+cnjIp12KbK/w3ty+D2wV76W4y2dCiUUnASHlAgb4/TPleVHL6pid5mmqrvNMMh4qsnYcj40y
/e6QqUEUYgac2OiUfwbXwOmyXNpRGGsS8rpoon+/dMb0J+it5ATeVFoTA2ochxyfoaTG8kU7KdHj
59/0vQB7uRzDS0vmdGfQKFJ+vxyIdFpOWXKy9SzBuRmJ/Cmp4+J7QIXhkb9j/fz8esvHf/9rv73e
0kx682sDbDVFx/UUlQKWZjDDvRrGsr3Us59fiSHwn1dSuYG2rKvwud7BESN0AyWxRycpK9pTIqX5
Lommr+AgHz0oTJOXXppqI19/dxGpSZzObOJTCToJekyivAhEn8cpaWiEBC3CdjYTT2TmP4tT+/WY
qIt2m7aTgivh3X1sUoodDnenkDk5yiTA2muQO+GVPRv2VTF2sL8zpA15akpXQVLW1ur/4e46pO0p
Br0/VX33hjiWmOD9cf20lH1UW8MmHIhQ+fwiHzycdFFYYmyLq9jvM9RSw24T2LKn2CZfoZMnaaPQ
wbgcUxqJaiXai88v94dGnZeB1oMmA7DRueh7I49KO9JgxHlKRlEexFhJ38pYjS9KWQsubbBpDw71
MsWqhg2yS+VmbfHaWC6l7rT+/KN88JrwOi7/47VE6fDu5+2Lnvc2CE/UoYrbQtLzAlQqyNTL/ot7
/MGVNCTwIIJpJBusOb+/kJ3AyJ0H1rFX2/CbNsbJTjizuR6giP6SufyvtqE/fEvcXo0uNacCmk2c
55aX6c27n9esZFaiHTlMKxwo8uY7gWf2I8KfudsPVmjeWUFEe6ZDF/EjkDpndKekGr5/fmsRgLxf
F7BY8G0XnQg737tbOxqxUVSmcgRCN9HVRXzkVjj4TtCuKx8yzYw6L8zp1WT5Ls/05gsX0QfPNLkV
gEvYVzg6vOr4396Emd5vr2nHMkxtJPAObM0ssjwc0WIdKEX4haHno5uOqVdbLEs2VcGy+b+96Rgb
IjZe9agrJlbuHNZo7tItojWKTbr7xgF5PIrI7u5jyVa2UlBo9yJpuy+Wi49u+ttP8e4pY6EPrK5S
j2Jsq3OVU+qZgwIGG41qXspM6C6LZOo3U+lUm1Zzoi+evA+2Ap1m3DIOwayGDv/3e2AWaRQPs3Kk
mTrv01Y1tkofMlb4/MH64E3S2droTDCt+UWseXun20EEclUpRymQWz8wenXDCEB2sSS1XxgOlY8u
tYSs0wdU6QuhP//tR7XCmbSRXjk6Be17t48m/CREiLVr/Eq2BcY2FCdUp8MuVqHBF3qTHo1EQq5I
H6m+sYayPCPUSTsbM04LKwAfIPA+vxkfbIz0wACCa0yoIPy8e+xsVA6SboxHhbPXcRCN7iuFk12o
xBxsJkIprmZLhM9BaVVfPfDLf/n3CgNmD2ZYGAyUT+jGfr83TgStrZaAaU5xeh5kceItunDf7M1m
IxsEwERMiJYJDOydIp4u+Qz5DpQMwntTFDj2sOp+gRD74CVEqYa9wAHYTAr5+5VPG5kIMD479KKE
k8ip/RTmsXNNZrLqmQRhXAnL6raOMgGkQH27jjujv/v8B/lgc1MUmin6ArqCHE3V/tszk0Q1NqvC
OiDyb07Y/q0juYzBmdEIyROGVVxJeqVvRmLu98RWIt4vtAIyx1C7X3yQPx/e1zuxIOtQ6CHDf/dB
OsxCSqcfAijJPwPTqDxguDslLUyv66esQoIwtpuwFfVWQ078UmmB9k0XTocdR5t3ZC2SCtDr4owu
nP7Vm/XB04PC7vWkpFI2vn+zkEHk3EDtYKhkMblOh1KeiBF9p3Zjd6rzHwGxENCKjILOYc8BmBXX
XUJMDkHZRvWq1PqJg9rfR7mLX0/uW4v3Bwck5IVYULBj6gZ86nf3K9RbepKTjBgrps+tWTkugZgo
oKql9girKruanIaAva75QbO6ZNhVOrugL8kPE2GkfVGZfPQs83HwzrHULRnF78a91dAkAF+0Qzil
4UZYgYmda1ToouMJ9peMDZrjU3k19uSq6VVxJmnsNZ/fkj8XF+6IgfTScJYV8H0qPSgV3WoG9SD3
rbWOYwKDbaWTU0BbWvrQTSbKEKV5QOmif7GRvC4e7xYXlaMS0k9q3+W8+vuzGxd6J2eWckhoBS4z
3njTA4OGjkmrNhOO8l0ZbfEMr5MFOZXjYDc62c4iYGqlcnu8PHfaL9aWP+8F01ruA55KjbL1/dKS
FbAJxJwc4rKcf8hC4VFF30HcZBrSBNNaEzGdRYm3NQPReZ//Dn/uq0xAcNypGrcCie67R0FCeZWC
3jrYxNdetUM0baDDpI+fX2SxYL1b0LkKpi3Qizb3/X3FZMQ4wes5OszWVJ5NJr5ykUupiwmboXpr
6euMx2GTEJniBemowxmrNBcPOSTvrNPmB8J5SDMBoBz6n3+yD249Ww3yCwpnNn3n3cOQBVVmCj4Y
d0fdjqWSn+V0JNfBqCI2K2iQTvjhXV7aL5by5bb+/hDiI6J+5UlEOQjA4/eHMG01OypyaY89wc7g
UtiidasBBLMPZaYCcj8EIQ/cECJj/fwbvx7r3l/aXiocang22PdfuV3sdUDXD8IyyqNWo0XMh7h1
jYSWd4lttjUV5IHzeBn28KwHBFprQ5qatcRxgjApkV6IGhYYjKD2GqDtOblk8+WsGOKU133v1n34
JOTupqNJuJ+IivWBF5M8JBqyv/jHL2qFP2txC0kN+OalWuAouzx5b2pxiwxi1lRrr9bL+5EJYZPt
GmgbYdRO6WvqHF5+fv/+fJSXC9o8MhxAbPO985jHJVdn3UQJ64R+iHxhnQIJ+mKD/eBb8VbK6Otk
YznhvHs85DipCEwy9rmkBBc4dpkC1QWo+klRsglHYCRdf/6t/tzQMekrBGHwgi7r8fLnb25jkQ6C
qkPsW8CEngNO188QkK0lg/HC51eiVHn37NOjouSlXcjvxhd871ivC5DjCYl06kx+4boOcTC5TSgX
93Jh4ueyX71dzHbne7Vi5WIWu7i/rEHri525mMJUKGMkCEnACeWBufi2eXWQzSQDdH63GMuUgUBo
j2mNucksZwx2+WJC68o5fyYzr6mvJ10F7qJ3FWyqps60u0Fk6bHXWuepqcF/e5YSVT+UUbcW66bZ
QoOxI2PwsZ9kT4LpFBFwQdQhGDKV5Kzi5wJOgADeWaudmqOIGnPDh4snEaPWZNlTG6rzEb32gBLP
1sSMlbqRAzZcGA4r/IIMqeQZio1Zad0TL794qbN5PKQ084HEEY262DRJXWoqcmK9CGDic2klyRUn
VPmlKUb1UosH1JykplkDuZOK8ojUPgs9KZ2RO1i0r36gpoJpgfg4+K7nCgG5kEYyzQsGmcS0VE8v
uyxr7BWzaOmGJoAabQIAjhXI56IZD3OiE9UhSEUha1QdwYXgk0C2LQVIw6mJsV1W4C2SzilcFRbZ
s+Dwc9tCOgtW0Wg6PMEVnjnfAgyhbMpqSsw1PPd7tesQsThKi2w6iRB0+7UeRJB8tMRB/ov7ibBK
U8TMm4lse9EimRR35DXfRJHCDdbYKBccd8FfIcGBgBE5niZEom1YvY4mh0Mp6ZhQO7q9jdvKWc/8
tIftj0e36jg4FdGAoHJyIuzhbIVeo9nDtmlyLV9hdo0kDyAIaSFGbQTnuehB9ROgFNdeKsXqhR7k
UrQRST/sGZpADmV8W4culCDTXqXA1HUXe12GeIThXOlGaVqNayOAuObFGkErCNWiYhMxsH4CDM/k
rYAXjioGdn6PSKXo7zA6onwbZQO5hmOIpvU1oU87rdHyB8oqtVqx/gSPnREtP0wRSt2KAXu661DS
3bE0juhWp1G7yQsl+hY1jKv8tBm1n8DxF/YdXJIrkWmq5QVtGXfoeieMo0s8yNKvKgiug0dnXA+g
kR7sCAO8j6ahTtzKzIYDQ6/M2BBrFsgr/C91uoU8Qj5EHJEhDkNw0eZJiMvmFRHIEoYMK52eKhN1
GHK/jNRbBWLbJh6w364qa87JdBdh7HhhOVeyq0hRYawaHqHuQPBhyTA2sSjQHbWsQY+VI8om4tKH
zA0EdE+2MYeJXmXZJoPcPMcGAfY5KPgZSswuBbPgRzPpLSIzEWB/t2ZDI3lj0jJ5DbMxPOqDPINP
BU1DQmwbPAROjowgLMLsvKIkjLAY5wCsQ7whR43odcIcCiOsd0ppaNtRTOANsHPEtj9PEtgDeSzE
AfTqXLslP3LvA98LHnUiFSoQ17KNbUg0JSbeGsvfVi2xFAaEXbf42sLhyhgRSJK1ssAoCDhPQtoC
dnBHGFo8uFgzanRQA0FxHk4FlhvIMmjgRa1RQGWzPdqruIKN5bW4NxaEolxqq74xrdxnw3Seqokm
qp/NgW35TmVB8UHnI+GtBcOHNiNTKPlnQnkB4FT2Y1jrEYUQrfGnGUUjkTC1faMlOuIPGDvImEp8
nvmGGbQqIE2aPc73FO+iq3RIwkwTi6yXCdoEK+RWiUazDByknyGFo6ytljI7jtXuNu5SgqkVdHcJ
PW+IVatOKaYz+EHzrWY3LD4hia/bMGGAyqlukF6sWDcmd9CZ1q9MY5QuE0IFsJNPFNpuMrH8rlK1
6U/dJBG8U1dleYkZClGJNTrDvaz0hK6rQj1xpwyU85Gd3PID9FdhYMnXapxJBOLlRY+5Iyzk0sfG
qye+bSYOYQza2CDad5SoWKthbF07nGkhMZJ2YbrEw6lHnK3zgwNC0iF9IQtwZfQOgr/UUGbEjKKS
Qw/TcU3AcG/jip10dhZ3ILLmJ/iU+KQlBRLYiW9YbQ1pjq5VXavum3hWH3u5HJ9Ql3dITiMpv7W6
gIUIms2dZOrDGeEINkJM4qhNH5qxSYCrHs64ZpBcAbaYaqNat/EgXxInje0eRym/jGONhumKSnf4
NULCnOEVW9JFaastGyCI723saMm9qvfKMw3Z4CJjmAZJWR7NqzJgQXNrlAdM16i0j1nCLwe4dY6t
DcV9RTDtMLNXgk0PQiQecv0yYLXotqy9RAIPqtIlPqxSE1ottFm0PDyUZI53Ii33DXKLb85ARp3f
x6SX7GT6Qd+gAqe9x3vVtbvJUExxmOxIusF2a/jknWrRJsOR3pId5CA3Vosiu00VIMIw9gPzXJbq
LHNRLIYEGoxyq7gmPJnOze0caY/eTcTGE2yjQFAbYSAM6HjYAKAEG8jAAsbq+jiUzyODmwISJvuu
O8266FxLGE6/q8a02M8J5QRa6/Q8RvkxPBvwdbcKO06Hl1Uuuv0IjZQc9lgra1dX8JwRt430mIwp
lnQtrbTvREunNerEAgpjTSxL6iEr6R9SYcYYzBoyGmpNI7Rl7BXpqshyeDwTZuOfpBO3Ex7D0enW
RGWSvyV0BZRcoeXdFWfuOSHfSMskGBBG/tSY/TisdUv0zWmYUALtwswxt0WdNQpOIqpTFrQMow2k
0rN2NqsnEk7TGrhSl17quSU9ohMLexoqhZ57DWx3gSvdoQek6BkhoFNU1yw4TnKtme14lrPKM9Oi
amdT6FqsISIIYULMdSbvZc4k8x4+xQBpojTGlEDOyOl2wVCRaFUUIgBiawSSflJYf6gMydptLiBy
9LKLrrJc3PNOEJHfxBPVgxQgMthPq1ZWV2rJo4mUCkHGivBhy/EjZ+7uTKR40aqv44pWGkMpHymu
+NbUGHq80LLCZC0sM7qPZWGSSzIAZCt6ip/VOMbqT72zhkuDYaGNxDDDKK1jsLzsSalnBSRvl+Cu
KUeqpGHXYJMiEgrbEzoS+jvzVMmrHoMQZZGtGd8iKY7Agpv29TyH0/VE4/VGA11j7KSicthFeeCt
VS4HhKTY7UhCYhj11aGVE2RFlkbHX5/S6dkQAwGpLSrfm7GJxhvHDjWIRYTcYV1HN96jL6yC84jp
zbB2ECMFV7UhwoFliSQc6iwjqN1Bm8krD1EDoY23EkdZL+X1SaJWINUlgcm6asERX1rDFH3PYbl6
rTPrJ1s1Gr9SsjbaUNGzpgxDA3JdJwLhTHKGfl4HtYPwJuX/+Y5dSIxehJBr9InyME5G1/c3syHn
9S6R9abaYrrMLzOjtDYsMtA4kqnSZ3LvzCXWVI10QkFKPXhGWZpfVZkV+RU5kmQ1h3Y6ePIws09q
LJ8Dsj8pN109mQAnJZJVOWtoUVK01jO0W74qp1gl8eI6L0pTV1gV8cemXo4jHVEzoVfKyUl1NVxX
Dol4bmG3OoqGbiZaZ5oD47rI+uwWNEvQrFO2fN2Fqg4cgDBNfLSNVecHOwiR7Ik2nsjz7SdC68jq
+dHGYx7TOOY3QSZlw6BOWDpdAnXCYg0HmMZPX8GMZ8G2y85zWvDLpRTTFJDMOb+Ra0R7qHuo2H14
6lPqy2YQ3lfxoJwYH8/fR3tM7/S20PY2cW7CrdRhArcobMKh+6bbmGNqoaSv5pryZ+qnjUnbNNgC
cbzpkYduNEnkihunFFsbTaiSX1B6aaeRm3OJSDNOtlVs2Ef2Wz1aMNYWJXbUYADVtkmfQ0tmuFFe
YZPrbwo9lMkPM+UZtO2QtoAEy/5hwrtwlfNQZV7htMC1pREnsIe4sDW3LK/EMzeTguBzEZ4dGMME
ZGjSbubXnyqhsG7r40+RtTwOkd6Mpznky/hV0/QPWthjkkqUUP05TiB83WHEjF3VE1h2R2uDa6jj
JTqtZkrPmEhnL8gv5cFzIPBC0TD6yJdiJVFdUHqFsY9B9g+eVMEJ3hKNi5QzVIkzQgkpsG/YVY1L
UcrGmmaiM7amp1Wj0F2pM9CwRpE8HXVZ73iiFpk+AUsBHCrwirln1En4TEvL6l32XhwcWSuNcNWS
Tt9Ygxy8ZAqxdHh7Sc0uWI8elqHEWdQSc7jjVxh81ncg+5GqjneO4NXGnpqf2yGablfM6LOPmi1l
10HICXhrvWI5iFI2TyCEFlhHYDeD22Mc51DShY8YUDAvgO1SQTZHCDpWzSv8w1k4IPZQAPE0FzpI
p+pYUutwgYZwyBle5leUCJQRyOYIQoaRTgW0kWLhjkwLgaTpsyUMmVuzKl4RJbUZON+ajkViXTUL
xKR/BZog2AZuMi+cE/RKIE+immH0elhIKOTwSDd1Yifcu1dUyoSXSl/VRhYvReiCU3GMELSKhq0O
hWOyIFfyV/wK3thib7xCWYTRUTFDgwbWklOVLjWfTpndFJHRn0SFTN83y3F23LaLnO+6KjCX03vB
HyKDsT4n5csBf17bOEnI56zO5leEzNjFnCnLhSyDcwJWYfYKnCFN3r4RrxgaZSHSvLZR/gMK+9eC
9vp7uOL9aH/8n+diASaf/cif/++/Vp3oip/xW07Y8hf+hzeh075cgF/QUzHE/M2bcP5ComabsCNk
4nLQZPxts4MpgWyCv4GLDmMeYxr+7L95E/pfuomyDt4ECrpfGrrXAN7wufz33OdXAu///PPbOdCr
Tu9t35ehAx8MoR6kWa6mvG9XYr2KJVmr7iZDly8bIuJzB0MTrQR5T5TqNgIjto/MNsHwS5bG8KDZ
m7xsXU0d1x2gf9O47rXrUeOQxgGyRc/mqvHkUuQC91ddW7pq52tWqrUs8n2ZH+o2OJYdDlhzDJV7
Ldxr6pUi/chYYtU2oJPAstN1PVRW5WfVK+B9DrW6LRbYVPMo1eJASgHJgkJHNKoITrKJ3K4FFXqk
tL5lQ+w1sb6Y9nMAo6tQiEvvmthNba1MvC5IcEDQVgFZn2Sa4+tNt8tYrp3ccM3kjCnLlTFfxVrM
4d8Mr6OQcHb6KHUv7Wm2rSTy6o0eLbGSlhKmv0Xe3mgrWUF6KxJcHTHGBwaMUttthAo8tMk2BJ0f
alD6Qf+9t3rhhUTvuURReJEZ/iQcz0Paehr0U4nZqxA7DX+cCKkOM5zQGNi7fUNgmdvg6I4MFyWH
Fw0D0FTLjSRpPUBS7BogGeTvDu0L1grPzl+6SEMcXW5KcWs7PyPNxNNF7NwwO1e9rpy1CiP7Bqvi
pglaN2FsnBrm7Tya5lZTcqyL+NvXwBFXyARXhh6vtC56jhoai9CWcmNgBmUldwnNMUx1lMDJ1p6Q
aStYqhAUWvVJjmNsXkm4l/KjqgM0M76RW9bQJZEe5vwxcUZPsk6DU+76ISXtnpEjAR8qEKO52GQI
vw+mpjd4SpbMGeOuU/oVA13XWXYvYxFskwYZGvJNTSyGFQZ3CrplfOCqHxn3ZjxvsAae5V1vUv1a
zX4y5gsyXaNNbB+w/xGx6eyyUAJNFhoHdmx6VHRbT1qv+1PPsWPQqdVHP5rrQ6lgc0q65zrIeKJL
sR9BBssk8HBu8OpIvCi4uB073+hO7gawnnCpxKuKo40rGSMh7TNn7MA+mVmyHwgnqHFDWUFKyjE7
1EayON7pxOQ5crhRONNLExC3wt5anezzK3PUq3AkcnQQIwcEycPU4c3UOmjIV5EzYQvJXdueNlJl
+6oenyOD8q20X+e9csnZ3JXta519QV6QAyEuBalBkKntEJbhPDC26oKqsKR93OtuonkZXteieWrK
m8byI/mOjB3YbONuCoh+0wPnQnGaYkeemptqhKtM0qGylVWXOG7REbaIc6O47MCqqFHLcyr702BW
51ou8lURTdtRHq660dgAOjvXK8U1ZAh2ekw/tFhsVvLVQNRwTBYIJK0kMzxKOM+J82Ytj2dJK/g3
CNPhVSKtiL77izRzAPpG151A2KC+HKiPqzJqV3I3rIlPKsYdoMy0AWyT53q3brtLhXJBlnEztggR
huuuTnZzc0n7ZBX3zFDNpDjCtN7G0bQKrHNApj6oQrdj6FbPCor79LG1aBsPJunsYJ/UuPJFxOue
mDuNtm6V0ppIH8xIXZJMoHXA3epvxiD+BnEO1NRc8FQ9FnTCLTz6FfhuWNeraXxsKyT/JNLkEW8a
FHC3jhpOE7c5Vt6a17wC7DzVgzvOz4H0UqTYXjKMyMZVbyIFSi5hSLFEnPVG7BxmTflmQG0zssLt
FfALaEJWWXNbmgaOKUv2DSk94nbFyLSP8oVDgZsYF8Pe1ocLIWja8bjkLb4p+pwE8UXJtteZhE5D
7yEsHtdRwAI4L0MCuCc9tya9bOd7x/7h0OOltgFqWqxLRfZ57kjRk/sNYZ8BH54p2WJDDlwr718s
Me9nWzrO4zUevKjdyJ1uX9JMumlaSvZQPFSMXknv3KZK0GODLsxdVtas8WHozEdbEbqHqfNMMMQ9
a415qcticiSM6IJYZtJ8nfrCyp3vPW9tXLSXdBaBSpjyQ8NeQ49+/C6GOAGd5yjEaTQ+88ENnlT4
tjpeVaSh53luXKrYKTHWEM4FVeEANvhMBPn03UlkV66VHTqT0zCbXsUBe13R1TwrSwyNSjkkEBIw
JcMh2dagK3yY6elqDpurOo8UdxLgLFtCanb1gLDRTZreOGoc1+6ZKDSb0MnErVYorhazycqm1Dz3
A/xHRW7SrRhNbM5mg4kMtB7jBuKq9bwCTS+P4G4Cor4y3e9xTG+aIaetw0GZg81Wr+0nDOXhQWpE
uMMkU7nJ4IC5TLpun/VWdwtnuMWouZj4IMURvG70NL5aHvjevo9g78QRlJDQie+g2bogA8aF5nJp
ZA5vZITjRLnF4+gj0wyTVRlaBBMpd87EvRP6FS63cJOK+aKf7WGXzarHefq+iGQ64bU6VuuxPYRh
9aLDOyK3Uy4elbqy9kTJyvPKNjvFbQInoZ5FpwsGTg55nyLlFsPIPu27w6RH29GZ78F4eME8PuF/
s2lkGvpajdF6GuaOduJOae2Y9BZ+YKvLvbqIfSa4GJoNqYUJCm8HTytSj4iR3/CtNNT7ioiXMKU1
WxZEn+f1RV6JtVQ294yzNpAcI89EfeHhTrLJ6Kq3ZXg+tjlHpm7TgINhe1lVMicrk7zfyNUlaUuL
CYVYy82M6a/P+IT7uTu0o2m/5LYjDhjfG08u2+KuCiSb9Phg9GoDM5nSMbJwnWyBbcZtrLUb3Wza
y1bCmJvrjX6eWcRqr9M4IkxXboOOA24Z+Uwowu+mXkcGq6wQpF9HaGhW9C3Jm6NqIO0I00y1sLCq
2CJbaeFjmQgqL4qFmWXGSXMqQLtsmO7ol7ZIgWtVY9TdBRVMl5250LeCVxAX7WU2/6nX4m3aMLlP
h2LDmIERoZqFQLxqDEbMO+KAQ3Uglc7ekioqSuuV+QUYId+nNH2Ic4wk68Bb3Zynjm096JPEbKXJ
2yPTwSWc12qM7+SLlZYHMSh+BLQr4JNJ3XJGDvA3ta3s0U5VwjWRdcDJBPsr0bcQy/QOdhkJQfRm
0w7L00I2S+domagxFrBtYiGQf8yHVgvDS0QOkdsqU3GCdhRjq38Szg3NiYNBeXHXFYtLTh+qNegi
7F1E3x2JPhquJfpbDzqf/oxzIx7MhcZGr9fy7aYxL8uF1cYcu7zkowQ7zvBXFrkSXk5THeOJuEsn
xdklC+/NyDudeOyFhdINOP4yxdpBFsogVENLYTOW1w2DLy9ZWCrRIB/ozUpn3cJYKRbaSmSV5dEY
WpNXDwpAt1BZ4ldAS9lUXe5qka/pSXTbWPFwjKt64yiVlzk0JnGCrxPNklaaYdd7zADCk4z0NszE
PcfpYOMEoLpACJMOLfwGgQZi67nch5ka+6IwphuChcofueoYd/FClymJwNw2C3EmU6KG8R0UGnWy
zVurcCKIm6W6hfuguHU9SAC1cmqrCazl2knDSyfBjztjYTzpQBMOiOCSKz0zn+Iy2JPxez/08Tq2
L+e6eYjCG2ABgy8HfXpKo2o3MJyjhAN2FBiEz4VBdN4GDrFkQ38T0/5a1aLpeEed6KiP+o3U4hGf
5fokBVClMH7GrrLY0YiUe17SuoGqTqCIU9SN9XgtytHVl4KE2nBL+yXYVTggj3FIwZ7FT2EM/qtK
zG9KZ90lvYx1cGzXfWJcQCxq9mavH5P0BXyG7U1ZjI+iaS/khJ04YKztiVhK/SSc7w1JvSecidI2
CRO6TdAw1ZYmaO9cZTYzfDk8TM4MmEEbLk1Dvi/69qLVmmbfNh2ngxo7nFKoG6dubqdef8CgT8uZ
Q0popXtFrRmqTJJrmkN66s2RY4izQI0dwgK8CFg/vem93VgZGEKboljA+ywl4BL52MG5kNS7MB6R
18S6umvbyEkuLKepvJnn9jmhK+tpURDshLQwRxXJPo0wk2O0G2W9Y5M1CCMLnGHNS9+cUhKkz9I4
BqfV5wkz07pMeTMIkSWsvWAkaXWNV2a5BT+KyEQaJIukxwFRl7fxzDnKztXjNLekrJew6X/2wygN
LnnNspfzfHsoAaJHKHrcbS3aV5PUNMe2RxzAdAD3fjmILWqOoFtXqWzEB7Mhs2reGlo1f5Nw4Po1
sWrmpDwncrURXW15KTiwFTKQBw7FtMHn8UdYZr07SKHzS0n0n47Kv1TN+aylcvMD+kfxO3v99a/8
aqro8l8YeDTg5rRCLEYA6Hn+zS5y/tKwTC3dEZCrzE/eNFXkv0h+gjuBto2EKp19mc/w310VkO0W
7gndQeyIAp7/yD+xH/6uyEJTiMSIjiD2CBkZn268E9fCJFJDQDZoKcKAA0sS5PI2rosx3Ly5K//u
5rzt3vyukVquYykqIk16ReTZokv/XSM1OeZU50HHGSapOIom2tA9EfdS3iPCGbzPr/Xnd7KQ3auL
UsrU8ae/0yWmqoBQRnWLjIAGeZd3yNqCLvsisul3Jdavb2ShMlNpi9EDe5Utv1F9RY1GxJJDjCWr
k3ppNDXJzo4aR+epPUfUfQ0Sgs+/1x/3kL7XYmNZHhadzBKemLc6s1TVG7sWlC/g0DhBZnHMCsgs
b4E6huP2/+9i725iLU/zMGm0g2qc8+MmU0vtNg01OSaqOqzXn1/sj1/MgVm1yEhpMNoGz8nv3yxq
l6muAcQJpDtKhIqoxHAwxBdX+eD+odQF+QU5VyPKaPnzN7+YAtmvhXbAwQEB1SFdqlMB88ltDGiF
//wLacu1cJbhOn7vYlUAuHfMPGAjtRVkDr6Myws9fPFSfXTbFmMPi4XGCvNf7J3JduRGtmz/pebQ
grujHbxJIFqSwWSfTE6wyGzQA46++fq3QeleSZSucmleNdCkkowgIgB3P2a27aMzPi96O59nUBx4
D8Qh6zFBiNBOf5IJePcU/m565ZvOp0Pnk6Qlz6WZ7J0D/IfrJg1isKaZgfaKYk9vm3Zy2PpBe+JA
XNjsZUFwdCjgerDr16gxYGdnfVmLw1RrGhNRrZvmQU7c7TRErwCM1WmCy2Yo8/NcCo+zKCcBpIyK
3rCgQ+ywD5x4Jg4SddXgF3FNhpjNKKIfWBPZSHa00+bMN1P/1cndemaBVMkCj6Bo7zj11vUpSZaF
nUJfuV8iy2Y49s8f7/p9/HhF+KISlPAEz86PPlaeBtGa72GkNmceu+DZMXGBVPltxZn5zhnYlnK6
EvsW6xnTICPxf+J6/5tPXq3TdsvES7F+wf78Ve7awfHEiMFsMg2KCUbmbqYajZ98i//mhlFketfZ
PnN8hu5/fpVoWQwsXy42trqfAznQTaM6SmNNMG1f//mK/uVpyiPNBCTt8mdJ37E+PG5SeE8JJpEc
nExTfnMn6n+ZaSjsl06jkvvSDqV9/c8v+TfX0DK5O5XC5EAS58M1NPSELW497Yl1ONqTZyFL4c0/
WSY+vgqqiGUBF6BNEt8n0cc/X8NElU2iRLjeo4bIYM8lbNs4mA/e9t/9OZKElWRVWBckAirWh6db
kzltFRsQn1LhxJSrw1Ry0Xbv//2r/LphWLNUtrV+jn94FlRTudo6a8C9/qQ2fa/TLTSV5CdfvL9e
NOpmVmu6xasQXf+wK1kJaV0pAZUwmqVppWJAvgy5cfPPf8t66f94FzPwADNgS3sNkPOfD1cs9ZO+
xn7GWaJd9G2yYsOMXs7fRPFN9u1mKuOfpdZJd318TfZstO2w1K0vC9P4z9evnLCyjg4ezrFoDNxu
68F1E+M3owNei6Q8eb3vfLaGARaRDGtGnzxpQPA7tqwPS6F7ayPMXOZHzE9dvxtM0Xrb2qGbZpNy
9ix2CTV93q4d0w5wMHyIt9YXI3bCQgJCzqom+7HUI3nqwekaufUqq4HUDAVx2qDuk6qCnRXlF3Zm
xRo1Hm/uRqiF8fmUSqrQ86XUQbm4qzdJqfHehiTzErV8QLBnYkZWeYSfFG+fQu+XYPs2VdcU44rm
DpsdzQzt91noEV1ppD4Q6+VIh86sXdpAfCyFUDJZNEH9QdFCOwrz+BmbrLPshE8FAUdZfIjbvBYN
HAwvLia47QK6+ryOQSiQViK7WPpo9AGGsY695JNgcFYNnjaRGia7DpwlhpKThI159hbLfQO0btSP
PuQhd5N2oxWpDdVcDCWCBtYmyl1UOvAdTR8MGHIO1XifZUyTIe9w1TrcpUx0gDnF1oe4rBlHR/k0
YsUp2iKwClqVA2eYx5CGmrH0EP17z6PMXjdmuq38YXKPUaviMvApbviq+BLkW8MbnDccG/H4RCV1
+OpWA54BPDdGuo468KHQB/oNhiL5mr4o6oehTy3jTeMQeSBvKJOgg+MHxtcR4z1QtiE66XSsYHFy
cF/gn/u18Vh75QSLGKfGc+e08YuBo6oKtC/1lxpWKaNsvAVtBE9ydLM9dn8d46JzW41sVozYssUU
eXsnjSFHUxzT14r5Jh7XvdUbw0tXDqZ+cbOCBgBjwJC+J7FADXu/aDXvDWeVHOp2UMbeaCPMVQXN
4zM1mmMqD7Q50Z/mm4b7Ap2nZTIM6m3YTDGWKtrclbrLzZjKojJ16u6blRhyvmyLUBknDzMZrj4z
p3rU8M0u59CeLTdcd4H3kkXO/NoABuse56Zq22NfizwNpDYo2ZjD2X2GgRc622jQ6X1BdladSkxT
xhup3Xo4FTNi2CYthsjc2+QmVFDPGfVAKfQg9weMuRW33TKq+sokYjKuh8oEJwLITiUXnl936VXd
95Gg8toZ9BtIsQI3Rtn0C6jEwYk5xXPH62+1qemBZrvYONu5X6Z1KCsSfTv7Y1zuQkJPyWZ0Zgn9
zY7tfpuJHKmx7Jl6oCww0sC1XdSPQkZUdNu5Lkra1gaPUK+/uNHOVgkUMvza7IErSyfF2eEc1Z7p
QcyKksiFO0bWAXP86NhwC30XbnOVVKBZA39Ye6mSygbWxpXOsgsfKZFsMUe9Noi6pXqZyZSfitSd
+hseOXG7l0MjEKnKWNswX700tJsvrauYfUID7jnICBIE9Ki4OyIOWM+OcVMmS/aEPC+iYBqn5NMw
YDrEaZWiEpsblwFT5O+WJauRlgeMdaK7XJwiAreNdeUV9xmNoq5u+mmntfQf/IhVcxNh5Hfh2Xf1
0+QNOD1HMGcM7CqVowGN+UCKxAL4FDCENagl55gAwPKdsY8pkZ2qHzew91thmGPgZRwX0M19u9mS
+XD6b+PS4FBUAwr7ZZclkrJ7dqlA3SYaOs8YgQYMulkyo4XVVOltk6UA3AcPzbSOE82nCbDZNr02
pool21YjSZm0ixh1J4y16NahlYcCmVH5NzleZL2tO8G7T9m1TFR7pcV9R2fqeGc68EPX+oh6OqxW
xHbTS6vjOa2zegocrc1bIzeX8ELTA6O5UXR0kzrwQTmR0zSEES6553c402ZtM1vADVGfcAmbi2cz
DU0V2qdyRi8YUyQNFEkMe3uhK5RbQ8lio4yxeK7myA0DUTn59w7CG0UVo0TEwyxP9SgPnTK5ANEa
vhmeO/dbzUlCbVTqUvSmB0O/UWVA6KFL4wz/JhCG/ZQMtXnqxMpUDG1jONMuz6Swa5No4DTiIcvY
UeHna2dc/tRBktRbXJ3yYZpKzpBgu/DXNXXEUaItyBfjxl2cV83SqfGDysTEmyCrF1wiOEbQJOuT
XycVtQgtJyEU556nNRH75clw2Y2jyMbxGCQkmi65OWw4dmapzxYpG8aEPejYHT7R1g5is2b4XGlP
ZcHUFBgvVGdHj32KH5tc+YgZxJwI93yneG1oHnmbdkXQAIM2XyCia89LPDsYVAvT7S+Ttit0UAi3
znerv6cM+lLGxJD4sX6L73KVjFqqUQLyewtOPKdHEhmgZeLjr00Z3fcTMOedKmg7wmUtR+zYYQ7w
sc0MigCgQyovqDyD6AF+PFlheqSYLjB13We7ilqw/uAzUTH3S5yEy2nGazlcIe8qgq88eICwS2tO
d1Xoz/YLuXHYvuBx7Ww8FZj81B6Rc06eetOqqVzpJP8ltmGH15qYO33dKisb88rH7onx0S9x8tyS
DNHNWxhXTvMDbaLvDvQa2cQXWB3W5NWsYdi3YvY2Y6alBKKYhuLo+3X82EDYBYlsOCM+iBYm2w7H
u7F2+fp47GjxpNfOIamLsjx3K83XcugDgylstxdprlmN3E76QBKAooYbu3RKFlT2TuohMVVP28GE
qrPBGi3FsbSIu7I0D4ui6s/u5SkdTVrQ0K6RoWuMEQevUjxDk5rT4K7EWeJtOSRX7GESeoYvbJI+
aGwTm7I5NuwliEt/hLfN/O+6SQgG7Aa2LQ32CdatQ59VYLTTya1+zDxmPcJ+cfToCsBhQcKTIrz0
lIvEy72fMe01Se5sWen8c4QAjwLOoAg3p6BlZisATj7GFJ2p7aJaGwUnz4pkp+d+vb5AHZ+KYuEe
8cA3rxTs3Fj2rA30NuQ00RyspquvVGSExc6HKaV2FSbRPhjwWz717WB8auvac7YQup0fHh8aJQT1
kle7znFCczeENMKGnOqXbvpBG5X9hU4LBwtCPE0GpnX2n3SpeEiyQ2RTHkYtYvpZZfRVJDY9iFeZ
7nnKw3/yeKwpNc0Xaix7GVilkR0qZ6wIcdGd1+JqXL2Ndk72MCBN4z+mTR4jQ/gxrql2wpaR9i5G
KZellP3nhBFqj8nDZeIAy++eXgTVnCJLuf2mbQSdHjkTfrF3i1xRhzosNomGllJ36t167nQI4fZD
7qTVG6rZmB7qiLLCQ8MT1QwgEHfWxrMNx92RJZ8ory6Z6+ydaGjda7tMWQNFBu0YyEEW07Er64sl
QcHcVKoSD05XafKJS1a+EvkvuT7dBAqVhbihgxWJhB61CcrJpsEbMdEwRq8ZW4RafevrxpXomTme
bxEXQm1APOrnZsyAWDv0ojE8LDMf+4GH3wAU6oLkIUi3UGfIOutiXfba217xJd/KoZ9Nkt2xSLcE
HEjyEJCq5MZG53/S8Lsx2DhpfjlwtvH2dquhxncWsPPAwTb6kyix+jgx4CAlpOJwCJ7OXClnfz5J
mRhOR7F0xcbo2PRcUEmXgEnvKL6DLdTAcU7izvAP9GdayxZ5pU6oGlzmm0V0QCJQfKtsPyc8TLZx
mS/2wZsKzBeWo7vqJgc6U95ZQzt4Ae43e9l7EayeUzSk8gtI9HLYkQJPwluO2nhoCiQjomaVg9Ji
erH7AF1EneyudNyt1+voyZLp9JQuKvQ/IaQJ85BS0eYcjDA0/A2DJHpIi2bshy//fMD96yWC4gVl
icWKsQpp4T9foriOdRiV+Ey8UohHvO/hEXuCzJBtU/Mxp+7l4Z9f8OPAiDmhxLfJsN+DEgHc5M8v
OMypa2YzLGuKB/OvCzb4LYcO9skVXOCfzAj+5rUsZkYoJBa4IXdtyP3jJCJzFGq5RfGL3ZjWrq5L
b5+T/zgtTlbu/vnP+uuhndI0bx2C2jBkzJUF+ceX8sswae0CM0fo6Wc/yebz7CXNT67dX1/EMaX1
rhOtqo+7/v9/mKxQuVQQ/5vYmMR9+qNIZXzTFHo8/ds/hZtFYuRd7xnH/Ti/ASDM0YZDDra8fDiK
JEM/Nsvi8M+v8gHQxCBKrr+fkYqLWZey8w9fBJsgqA9ZhzAWH1K1A1ppTmwRhVMFTtvYRuD1Zlvf
hIlY5GM2GcZwn3KUW3Yc2WnqhpBlyStWpto5zb2Y3VMsoswNQreY/O0/v9e/u+6eAMYDc9LmPx+u
u/K1AUBsve5ud6e0ME6tUbk/UVP+9kWkC/VNoesxE/zzhysGf5CdxhTjtBxD2NdqWAuz1t7PuFN/
uSsU82i+pYhsCG5/YcxBoh3qpotqki4dOKwxxsOV1B7ZAGusq397CzKgw0YJ+hEJAozmh1uQWgAG
V/YCXl0tzW7JjTYAjf/U0H3ykw/pL6M6nl90ktuAUFbyx8cHi7QaN0GS6jd8efsN3qDxxGqWfkri
KjqHDkEGYnPmv73t14cmsAWm7KuEY3+Y1UVe08vWQzyAUxVuyQpXe2nxbX7//v1XOv/POtz8hzDC
d/jaf4wirP/8tyjCL4zl+Qqv+jdaAJzC/1HNzV9cBGsEUPi73K1rnfn/ZhEEWQSfswpwEeTxVf79
X9Hc+YXFaGXKWlgGKSNy/5Vmrt5BmL9Pjl0m7BZqm7RZFghGKP/DM0POWTh4DORGHdsTDCQAcuv+
StWi3C+zdBB+esBhA9ZslnYxWh7VuSGx1/GdSJ2N7fQVoxh5cepgYFbjy636wJ5CvOetlydEjd8Z
12NZ+0zellrauwbrlwBgJybY9gy1Hjj2O9fxOy8b8inJHf3O0W6mlak9vvO1s9HC8M8Lw9023xnc
8F3gcZP7h80NtWmsLqt3Zrf1zu92W8YXNwAo4Hpje8uKAG8681iX/TisjxUDLt+J4C3Obu+iHcfJ
33CMhxo+do1NXxEluBPMO7A8gje/CSdA41PUDsWGcBT8cZEmyQ8mA+ldnyKbMaheWeV9LWk/jMSU
xvt6xZlT4uEzo1gh5yEVuIRB7ZV9DjEBDrpsm/Ze+pY2qDYix7GxdEs9g62r8TWpGzbDGOsataOi
DLI62WpAHXi8xA8UDSbHEL7hsNvvTHYi4Fa1m+hHizdW30/eJzLrqbV6qjxCmIip/b7Vbv3mvxPf
S0oG5w3seUqCDd3rJ4hbRXWYeoFRNceqZ+3slR5PG2AKFw1Su03jCBjyIBo9aDBuzqhxJ98h9PId
SK/WxWcPZcV9SelZOuOC678PZinzS/sdaU9xRNpS9tQQJaO9PZ8ZUawIfCxI4PDVQkB6W75j8m3P
Apmf9vD9tuJXlD6WtB/zO2B/4oo+zyB57dtkiIuX6lcQv/9O5ddm7U6P49Si8bapq5JDJ7sUj1hC
oz1mzZaIegGpgnOiNRQ39uSGsJYqP/3Cl70lF0ssAwBaPHB4ddtOvVSM9F/TVQE5TIuqbyxByngj
EXY5TfpMKYgvr/nx2suqYlswgrjyBgL1W5PmSuZFMiNnEYJaajY+wAaXBkc6oIh3uCr8ZPd297Vt
o/yetlnzvuQCMWrthviRI0F/3w+q8vezl0UuhuwMESmfJu9bSrXmZwbhaA8SahvlGBQ3v5kYVq/r
aFjDjT0ZZvYrwySZdoryeaCu6DmrqYbFz2V45hnFUB07kYQ/xiiPL60hj76V9SzvOtuTrwSHUflG
eg7fOqNUP5JcN19kP9QXVDhbj2HolF9MNbdQ/dIhEtw2Mc7Oyq5lumuYe1yYTmvMUcAmFCy/ZUaz
RxjZpYfS4obEmU5vyhe3cmZjL0N6mjZJI9FovMgsKsKsQz9tGMH5GSnl1NFB2Kb8qGeQll6Lpfoh
oLdFk+zwU31wo7wOsC0pwKu2yG9o6VbDdlRwyBmaOfFbFXvDs/KS7nHk2XIf9yQc1hwJCk/ozf13
rG181uRz2uuoGOUNH2/Jd0d0pyJmdNOkNgZjOVnNm5HW/FFNkpKAcFs4Dgj5azqJ2ab9PZpVV9Jr
VHGHx5pScAZHiXjpVNVddrIFyxFnVsuUzgMrwRuOXH+fCZtN6+j2PSOZrggDnOeK2s+piSkQrZfB
x4eYOgRbYo+JEpC6bv5E7FsVyx5dqWGKJtBCooCTd5LclLalDkZaZZ9a06G7nTq3ud4zvm7eIOi6
DllcTaOsgSO32S9RVJz9ngPbVRvxyxtLE1cdHSKm1PL4ldjbYHr0wUGJ7U+qXng84hQVakeCWkJ+
6cnZTzsL/gABGtvy9s0g02wXRsJ5LJim+rwt9Nv6kZrRgnYl14tPRpLE0xnBxI8PGjR8fCjCuRGf
tSHF/HXGYPZF1Y2pdzLn8Xb0Lau68SuNrph5NI4HFdiFheLZvP8UawSwTcaIhrPMaDgM5w1Zqw3k
he41ikxZ7hamBlifx1AiUCRY33cRQ7bHhG3ZCxax8EnmTnjDV52bJZSi+DG6c3zNmks5xjINLmDh
ePhNqv/vHuk/YrUd/N+bpPNrnvxxj/T+z3+zFv4CeJ1EJHh3W1n4z7DU/WotNNgJcTJmVy7Y9HAO
8H7fJEkaD/gflCVn5Ye5Hj/1m7NQmL8IgBbA2Tjq8h+aCP5NXPPdtPX7Jun9SACYkfrFdcNOnPTD
GdATRofQ1O4xIZj2sUrTttzmE/V1z2gc5kquMRqv3CWFD5Mm8dkwANwi6XXpk9HxD7ZT6+FOTVq6
5yLt3PTE474bfsS1rNpLdwyHnV+4uj+1LBftWrunyn1EqdZ0srxI072y0F+910SM+ic3M1raVVku
xbFemkpscenH/jM7kYocYzgn5Xjv1Txavnnj5KARqYnKkS1H46L9hiCRfCqg3+htXOVj8m1qWR+D
xmkafPAzQbxP4PaT3RJngvG8mVrubRIzIcJDsOTplryPCB9Md/SbQ1/10xbL4EM3+l8rfzwPLnl2
1WS3oWVc4XVR4YrjSBm+UgZEgrXvhFwHW50mFFf53pNpNi+EBkR0mqxQmYAnqOJeTPfRSuLPVt35
F6iKbbnT9oQcYKQLsb+ejlgG4hry7K6M3JbYFDvpJ6tqQxZaZtRkp7TuosvRz+oLl8ly+2QZqbEc
kIdbNgLTMD6RVl9YhfkLmvKUTZX6VBlueIV27rb7KjMmsk8GLKlS6OLUSidvMXc34qFtCfcHcTww
7WdHggt9qSiRDcLaEneKDZgfiASMY4pyFE9vqTcl074Kw8k8TLOlopvFqIFl55HfvslWhNcqTBf3
tgHlFxXkBfN8U9AW9AUhen5lxt7cjgn7Eda/Mzs4Z0udJSYpus6cO98YHqlokac5Eeo7Q8x4OaTx
AtOVvIiDNwAanLK+WnjHCfTHbUYZojVP/VmnE9YaZL/hGToZe0NzbosDD9Umf0mxf8+HsBa0SJEA
1MQzu7EO7zigeiRthElmEeB25n6Ha5yL79niOtN9xiBgPM1N6zfX+VSw5dsMGl0horkx64ruoBgi
8myuAApl6ti6FaC8jctyYZ40VA/5dQVgwEszZnNMd2bfFfFnTcjM/eKas5ncFI0d9t8Tw0ihB3gq
BpwHM5SM0KH1fOoiHRBtnlVtJePsc78SThqiz9yUu7mUfrrLEA+qNx88FjXiw1S793rqmuRRRW1L
S1eSJhSGkRckxLpB1unam9b0k/y683I3r7exaebiyILriZ2rcEdt7KQX7KwC5ab4VTgdqcKVJxDL
1SVwHu+Q2UNzoPWxvPYYhgV1q86wBQgOZH0633dL5L6gZUaXYSrkPnLt4QVmMmN+qkLfihEmX1JT
PkpkrYefsywj9MARYEkWl0cjy4pD6oeMzk2mVS0pSYAZa25VYkKZlks5eDl+jrnMHqigrXCDzD1f
36zvnygWbSh5ttKjA8LnomSvsCUT8CMFDXU96fAhb4R3x4Q/uoCNy3WvIsTXDB8Pn+jI/dDgIPxU
sHl88HIJoC4hE34weRJejJ6d0WoQpuN+NoZ5zwnIeTTtZrn19dxe5Oxdrpq5GYK5xREQrR1cXa7i
KQAPOXy2CksPu6GGTLFJfB6me6Ro81BLfDQdJL5L0+v7FdAzQ4DJvOG46Ln6IuGgBQO4vJ03WHrv
xp4Ftimhxh7QtLcV3TzSuGACYZOtcZIIPud+aG9Eh08l7VuTCBkK4lIviIxhBoua86YXSAK4D65N
o5yPcHuJOcbH7pONm0XAgMcEc54nY3qzB2M82sgWdx0CzBHxm74tS5iBARmI6Qq5S8MyxKWVeN3F
HI/xM5hlNzCqEcaeSQca7gISQkV9n7lNuHc4Um5Gj9DeYqOTge9Ir5MCNCsEmeYuMXRyGhJn/lJQ
ndMxpTIAYcT6Tdp+s0+msX+OPLe/rTusPH0E5k3UM1pyPB4k/qdLs0zlzsPkHYQUyJ+QNl4BzzNx
Fvzj9SsvztFS8E88SWei0ybbaerlni7PObCQF3aGr6iHl854woAgzxOT/meZSufS8gZ9GppEX5CD
vMTI0G4X5nXrkmXvKkTeo9X6mDnsYTz3TqQugBaF56iKQ9gy2A8mXTWvczg0O9Eqgioa4lIrCzZ/
S/fm8hHu7ETKu3okYl3k8VUWUb8lnFldWrBLvuSms2I5Ct/dW+ATsCrBL8SA5Zs3uszThxHm9BeJ
vTzfMFKIDlgzy1PlduoGPwctvXTZmifoSD2B32gsn6zcvq0MDFqNYUo46p4iwR3Xe8fU8xbHUH6L
jfR+aGz3qIrUeWlMaoOKZFT7hLBoMGfKuxgtOEz+7NrbVDYcWezpq5H3PFoS1Uh+X8feM6AXFkZA
PltDoMNU3ZsZxlvpTTNDAWJOdx13LoF0KFo8urygKQm11mFU8wXSxhm8Ub9hp7xAeGuq7joW6yrO
8I+GSSMN82ZfLsq9Rbuvr2Q2pT/GJVLtVW/GaQJdLzQQ50j4u1UPBKXZz6MWMRnKMYbQoK2NA3rO
iZ57unZFxJEKPYcRBhFXx9gREU7r3AVCmWTNmAZD3oQ57h7EIheYwEZ5aazM9QNvYvMe37HEX3Ea
eydEVqVfrb8mytYW3xkWOOGrdPo5MzdeZHcvXSuqExMiky9v6e+nnDAuzquXvC7mwPXH9IjrILmh
zi4mQxXnD5ld5t6Blktl7k2SIdnOH5poX5YjAMjeK6q7DhDctsxCcU59p9s1DX2gG9T6eW937XLM
FmxqAGUjDmF6hjTN1ACprCeI6CGYiqQfTgYOqqsltounsp+KjOy7W30dMTTSOFvhGcN6W23DsnT3
qs4fS9znm8Qy3AuyxEXQ2Fl6NuCHveq6UI9Gr0dj13V2Dz1j7C7oqs38QOsF+d/z589I3NWxqLJi
P42L/T1FOwgcmRiHaHFfsbqwi4tccesNOUGxwunu3J7D3IZfyNcGBbg/+UiHxobTXsn2TFqbNnPu
det5WztNObDas+F9pQYVLkQ3uo9QHZ5RGbv7kn1NRN44dW9bOah9vT60TA5UWBf7MN/n3Wh3l7pq
IRpMUSPvR4inNYtOXqaHBe7YuYfr/TJN/r0oYu9Gs/vdO5y1N2KO05uaTkib2vA2JDsLa7uGMdGn
W6dxipdpsApmRY48LpWtz4BcmQ5hgDvQpZIfq3jAFeE2Xv/gURRM3s/t8EQs+MYEaKmTl/YVfAya
G8dleTN8YrfdIBByS6t87tw5CdwQjCAxwgqb4CLXvuQyEfZ8xHnjYd4jgXnrLJ753KsabmsrdD/w
BB2cz6NXW1+XwmwfWRkHWmUn6nDtuc+u45Kal3BS4pQ6qXiIZ0+eKaSOnooqTN+yZo5IhvfV9DhI
sz66U7Eu5cUY70ryNec5yvGpIaWfCxwMFxm/wieqrM2rpVich1J09aU1K3LLfptZOBwQH9kBz/Gj
i1mf3vJkWvaLMrr7QYw4iOx1WpktTIZI6BVh+xJRAg2XVlbW+H0qSu+Od/q5MUIgD3ABMPw1OhHy
zavrzj43ddvMn0BiTdHnOuM89imF/UESgIT0gpPWJN70QP92os+GUYVyY9FS1QIMoMSIJxonGMvf
MApIhwtUP9bzvpkM+8wUZWl3UUEvZFDkehIXVjS65d4dfGiqg2SmdcTRmVPe2y4bQ8BhnNokPDai
OHmqZkHmXEBOv/7M30UmfMTSQwsYEBJ6VcMN+zV9KtRYXxmjMV+Ovf2WcY4/z4vtw9Ox0ssig80F
pF8ASB0Rq3obbp5rTUEuVkaxMKKtrdPL2J5HmAu5PnZxUpwcqotOtl18oWP9tpeMNnKLRd+dhy9M
EaDKcldvJzi1B8smeej0Mv7GDaruIx7dgdWNaOrjFD8KEHcX/ijCQ+LWzpmHKeZGA+Yn/FYzeW2d
Or+cwkG9mlAXuuvxHeXZOu5ytBpjZixCCao4DTPHwS3GyCa9ZhfvvKCWmQsF8AJClpXmXf1JdBRZ
f4b0O32PcJpXQTKZXn6EUDvUpzgPeWelduWxHkb3pY8SvJEKrki4t4qkN0+myqd4CyLVPo064noY
yYpVXRjgNDtzxAcb5L8yWEOnqo9I2FrtPBdCMGcvsH1nF7Bhf+pR4q0LOdlj+2n25np6tSIrhA3T
9+HXhNgDJc/E2GZ8pSw95G1W1mxfQvZ/dTuciucw9tzi1nCZfAqSM13gZ/hQQBs48XSx+D6hGZDl
UxxUOqH23pq0qjEY9pF7m4chpb7p2OroVti5i09xgOG1pb82XoICACAoUP6o74Njl9W1x9HPwfpo
LPa+H5Y2PGZp7lnbBeG23houVN/4HfArkGU4rLZYUo61SLBZFVTpHo20fyL4kF+EWKZ2au7DfZL6
5icdVwn8idA6yjBtvppLF78wv40xVufOZ6NLgdItojxAbNCHlMK3DZtzL9/U0vVLbPNT/jYPISCH
EnbZ0TJzeelNJT2fpvOcN/bAN990iwv4bMZFNMppZ2cFYAYjY+4JEh5AcV29AcZl4Io1Un1dJ9G4
/yRVocVc5BUMh7w5GnbTfZtz0uMmAM03zQSFZ6Ct4V1n5mLtcbSXYMI9s56DEn4PpEWLQ2BqKn0g
mDvj8qHZeGOuvGZJNPqWatbwkpat4YD9SN7MZrnsxmrBWhR1T241z3s3dwQZ8ay5HCp4kt1Syiv0
Aknf3MqFbpGPMSIULYZDs3tTGJAuc7OJ95N0eXRknvwGtqC5jJFt76IZqNbGrElH43OGayBYbTY9
nqcU0Gk5BdJSnN+54fd24XBRFjyztQxv1dxwsia5fzmCVdhyvM5O1EqAscYM7V8xV0234Gvte2yf
2WMXRdCu3tnXBXuaEzY0IIu9pMl5rjEM9VN4GTN/34L2yhijrxT6qNM7PSTd2cw9D3NKWOsvKVSM
DOYJjFT/E/hv2qM6w7ARUqQdTReGrbT7SdcxhvJMNJbPmTiv/qdW5L8Tx/9YTPz+74FjEL9+++PA
cf3Xv84bpfoFQRYfjI3sacJ0w03067xRqF8ssrbSJIWIt2H9kZKgW/z//sPPECl2+THKOkg5rw6B
36aNLsFovFuQK4l7MSL0nH8zbeRHcVD8Pm3krudtWbSjWGtElljeBztYtTi9VQvnojeymum2J8Ji
JNYf+/rkhdBsqGwuwGLnXlfgLvar+BYzK9F6z4+5GbBMBvGULVjGMVdbR8dpNQ6yQs3Z5dKXk3kJ
WbumMWAdK4Ah9/19agG1x9q8GB11w9gn9b5tStk8xqL3uyAiXCEBaw1poraRxgUOwjt3AM0GTp9U
l3bajG17som7FECtFlqoJseEgIPv1JJBXjMDAtDFUT72qvImxjFyKAsTpXWyzAMGcxUfxhXNDRrF
Ib2Gj83JyGWx6zAZSzRGaV4zlhXhuOFdmVelY2TPaJN+ccwoEXCevTKPX7kBl60xdWzizLqUNxz8
2p0/Y/dtrjU8Yao7w0dY47OmO48BUQughWSZ8VnxK7aZa8zqbuyLpbkGelQZz03jhI5C+Yzu0qJk
FBfwRmE681zs6/yK/Exhx0HIFudTiV4T35nGzHZgg3+31N+mxE6/17SqABrxhsya/j97Z7YbOZJm
6Vcp9D0T3Bdg0MDQVym0S7FIN0RIIXEnjcbFzPj081GRPVXZmOqeuu+8SCBDoQilO93sX875zp61
kp8/5kUCJCuwpN89C1o3czQAUagrNJHv2OK8Ta3evxZDRGA63SGwWpJvoFlLEmpufdPYZ4poDpzQ
y9ryOI7BfA2cfK1u2VtqhqGj694OVFLWeYUKXuyrvHPM17i31XvFaSW4L8MCdHVO/Q/BDATQ01Am
wD0slvc2lJCz7S/lfbeq+qzYAKUBpFHNLnXUhxLgrvdoVDvaXBKR32pshhEuG5oiYo3YNUMeS64R
LycbrJQV3mgzN3bHDFoUg8EJPEaBOgasSEJLSdJ5mfc7w/jBOIz1oKETdrCKBAiabXnTOu2RAgte
37wNGo55EjoP2u/d+MuUq8LZE9GmzUWOrAficK9C68tcooE+6SyM71gQh/PlSgpacRlmYoCwnE3z
st9Y4eQzMi1pzhEE6+4CpnzwLVTMH0vAEvu+1+NpmdgGgMUQ0XKwRSiuTNsWNwD9xyPLLhj/cyLb
m9nLoUHpbN0qGIuh49J45tFIA6ilpyc7s9xc7vNCmNsKWc7erRkd3cTjMN/Dt3cial63gwnLRvib
Y1nd2S3YohJDwUfiMJqWMnOZ6cf9TDaPLlB5PkJASS7E4Pr3XJDiJ7kE4XPGowWCNgLWvxsbJchD
IPwywDqWWziKm94TAGQ78Dgxklw4M15C/YEnorauqrmevodZUDxpM/g3xKY22GqQto9Qe9xixIMz
keFT6l+Fq6tsZVU2+UXUWunAbrhgwsbncpiWN04F35sPmcEtAWG78rhe8z29No14lypUdI2L+r7T
sXPy7GHSjDeQ+q8v24SABLBi9O3pMRkrxqrA6IvQ3glGDe56wJ+29u1FzSZg7j+EpGFnp2DVGay0
/djO8HRwcFTAelJMHIvsDpCEFbUG0k3IBl+yGIcUwWLhoKmOlKMn/yhR6tPBa0/5IJ0V1qgdW5Ke
FnGy66csh4rlXHtqDJT61lKdGg/LnkSnlgaiaOwTomymQWkufEYy4eJmqJGjjvK1zxsUziBukeb/
pKkeu2/JNHfh89r4PRNZt1EwPJ25lwClp1Jebw1QeUjqQjoNYJS5m+9kgeYGE2SFo3CqVbvvpAMJ
LJNB+HOmZwdvTuLnuU1K/zR5uZv2vd2+FLy5rD+1lSpe/X2BaerSw2r6GBsqo65oEEiHbVUfQ825
gPMKkTTY6+GaPam8jOswfsD4l+/NsoYHyayqSXUcz9Ypme2OLlaNz/gk3V0rUcOnlrfO+0WBLmJI
gnDcHjtc8hhYvhUmiG4Rs9Ae2r2dHNhx2XtvQsNAlpp/0U2NdTuHQu2UdOszWgJiJEUeX9hC4WgY
jA5eFgNNZ1Ks8NtZrXs7Gdsz4L/+anNvWPQSq3mqZUC3mTTBdIDmRH7N0jaKgle7J7cb2ckhIUmO
vierE0og5yv18sNqT8TD5O18icb7I2Q8+xQJL/LAqGLkA9flXSSF6L41psKsi4UgOGVe9Do59SBf
Cmay3iVA+WX4lTXe2F+LstfOgTKWNzxkc/RNuxC/saZy2T6XyIp6BC1dT6eETNnPrrXE9vQLEUr1
E9Kza/0I9VznV6jVUfxmVWVlez4g7t5TPDLpmLswoZO8xKnkl2N3ryMjTqW0CVzo57C7CWn67b3f
+Q6FPhMfcyx9kkLQvOfxdVOuLCmdmrOU8dl0qlxGuYOcsL/mCXAlRgXmjhULMHVmMTZjHTZEdLQk
IjBHA5vlHa0Wr6XlYL5Zk2U4MRmMX4J5ZbanEAXRBFjVfYtp5yqr6vBhkmsU7MY6yTfIZKdfyc0A
dEWEwU/gQKu9m6mGj5mljGAzb2rwtSivd3NWTD+X0Oa9P3cF10xaAcRb38YiKIqbrGZqcDQt651T
Vpbmi0f+9lUrUOumVQ6y36Dn+iB1ITence0kH3rmmHP72179PyX0v22w8K3WZSK4aQ1/83n+eU39
v1/N+1+2+P/P7/+zyk7+o6p2oz8wvyN0RFfrbur9vy/xt009Kkhi19nhU+puzvU/y2qoQsySIopt
yuot2Nr9V8pqZ9vR/0NV7SHwZTrCPgSDBbVI9J+qamySyETE9MJhKEJYdE1IyDloRttbUyD4EY7W
PuzERTFmWSppGC/RQPoNGGMYhPHDWAd5Q2anXBBDvfRjL7ERKkbgEYUlW8p8jyPSj97+dUXtrXjv
Hif5/j5d/xT/a3tm34jFojQqpn//63/CoP7zkd542X/5j8MnO/t+fpfm4X2cG771d9r39jv/f7/4
J4H7yQgI3G/93E3bn5bjLPlLn0U39c+foId3Mb8CZPtb//G3qXj/247jr//P3/77AXLiP0LfY66z
qTwc2wtouf5s05xN3xERVLdBFZCw8mb/2ad5f0SbgpsQy8RHuw9X5P8+UBaCEbQkTkKOcRSDw0v+
lQcKW+RfnihUIRsunHaNLp++jyCfvyrhXSt0wkqKYxgavfdyRgfXiWsIBOd+GrqrhRUSgJ4VKeJB
JSuDLO1q+aPw53LE7UV6FUI9K/Z3q1GMH1Q2MxLPV/JHYeD1Yb9nVWySXZ307aNp6WRTbaqhJ7bL
lEiXwDiiI2CVgbFR4cX16iL7IKjLZp1DJu8TEld2v0go52tEaBl7Tp507zzHSeCdIr83y8HXE46q
KlpzeMdJrr8NZZS0F+xIHfM9juRgLh0zEf66WH0e7ofSYbrl9DCyl0CH5U5UcEBSd5VYOMHCib0q
ZlQVlWixS6xoU8ix2dyBqQ5aUHvEeJXXCaELXRq6s5AsVM1qpQt97ivr8+gF65wLMcELDGlzMk6+
rWzmfwwsEdkn62S6qeNOYN5NGuejB5TKzi6SBEIlfHIvlFYTYMiyb+6K3okJfRQuizNP5GASV9/q
DVNkZ7KJ0SszDVE3Fk/wIKXkf6lkJhSSgRmn/lSvj6osqT47SC3HVeFxPCjJ/8ye0EWylDxdzvHJ
FrOkCPSml7FcmpZYiy66o2GUN93MQHg/jKsFPGKW7B6aUdUzyzk8+GkJlvqnTFjpApooGYiWE0YS
2ajF7CNUEleoF9f5ZK8IcHczFA137xDpTqJBl0jnKG2iRE7uEHLl40usqgctF5CT+LBVeS4X7Ne4
TEg3uRjnasDOBfCgOOSJM6970zVAgtuEoJ3UFQu421GMtaQLYyq4W9haC5RKpc/GFRM8qOwAUeJV
3STzdFWGldUeizAUek/Kkh3vY9fr0IPWVDFsA63qNTaUGIeCn2PYzxaQi9RF/eccBqdeCuK6PCZn
rfbzeNcNQI8OTK+dadeSTTpfmapIXBJaPBgCg26oEAYhNePKVtEhR0uFXHxhuuZglpyG3Hrq6fYC
NAaibjYq9lhdsk+zvrNNnwAml1EAGz6kQAC0icXrATrKOH8NGrcq9logC3huyworctEsU/nUkH5b
XdddNl5qFS3tl7Kc3OUm16S73cqJXgJsMGbeo1i7TYQw1172A2tt7X/wc1v9KTFl7OxZX1vBcTTG
IYqnd3txH2xJrrvcNm55LChs8RcbBetAFPlUXjgVbvgUUCLvTQtTrrkJJPFTt00nScpjmml5l96a
Y321YA07J+jjwUcUdKQd+jVOx4MdtDYikLqCVitLZrzHAQADBWlA5XzW8I0qEMtN0e9IFgMcmWfM
IHZkkIn2xmWLJ46INSf3V19xJW6hQvME7gBn6o60wK44BoNd5YeJSWuIx75BZFKMjT1d9NYUkrPT
bV91vb4uz9y9Q3tNazNWZ2WTZ3fjOpw8W/vbFBfjqNivNFNXBkRCWuy8qOWX+NStQpGthTXK3+FG
ldm+hlwDJN4raO770UcH0ZAo6T/6dKldKkpfM9fXBrVXUvPj8O7zTcA84stMbzpU5kvVM/J2YjMN
IZGmRsC/78j8/A5/nb8d/zq/YBULa3ltZ7bHR6xF9hoTcJdxvtl8FYcxx01Bsco74Q9M4Elka44+
o6VbCABMRBhRRDfFstq/hA9c89yaWkjO76qQNHBR+e64Q3RTE++DQ9ed++9F2MuPyV7t7Dz6vvxg
CBB8MI3pkrRG8h0gMxt9PqxF03+Pcby6GHDH/lfWE1i2awLBh7TrbKY7M7wV2CkYW2l1V/OcKJv4
L8zltkEHo0lMrnReNfsyQB+T2h6MFuLObeVD2AtkeYHxAhfA2mX6m7JxoF85bVk/YRMt6hOQOmVt
Sg7d77gwLJg5me/9gNKE5uycu8QbRqksHQsBPX341ba3d9Op0zMBqhUPGwuKdkH6G3vvJWnSSH6T
2Tws0Qj2FAFcTnBfNttPRREEF2HmBsMx760sOfvOmF0vTO5/yblRTWpQd1SpdKaxS5FKaLPP/Blm
DYyL6Yr8rqDbOYlpu2Mxxv3NrJjLpwGBZU+03rLcLZ4L86JzIVnho24l3UJW9rvZa829dDHooAFJ
WExHQ1ZzFhmNctzRJKh9GbKkYL+vbfcJrR9us7DtguK4zsb9kuXIBiG4JORCzHnNCtG22vUJztF4
j9wq/F4RA1qkHgk8l3lWthNSxKX4UXeOx2Emdf7icpbzftMDItBTA8ggaAJryyBvap5WW9ZXIYuN
6mjJSj5PXpwT1qAw4XhNVt8MZuhQxLXqe9dYLoxUPNMpw9X2bg6HkaDRPiFUUA9zFuHOyZfh4Jay
/coquYLY4NQed0zcgkioM6u4kFXVD8yWjGVb/s4H39GkLntKzjbhmpxFVRs4exbTbrgbXC/65WYd
0AStwgX5Szc+iSpgTUQBRNJaWIgKUles4luKgEmebVIuYT11A9ebYN2G58B2cCU4IDFu5g0WwSam
RDblZv0rpD8P2TwwXC5mz2N2Tau5BUxvq3Seq0jrdHJK57uvOvnWYF/tEST55R3uUzzy+dSDJ1r6
Eq6z59uvLlSEr4QBlTTecUkGD2Q0hGVxggHi5CVOf9NvEkE1DoCRhVu3YP+HQL7EpZ28rkgan9y8
D744hfa+kRZKXpOPDOVXELmtnbYNgaaMmDS7R5c/GIVDgkw0ZT3nfx84h4d93OXbmxw6zrmXNo72
OXZH7APbxbGrnGV8K5kTABrSPRgRkBuJTpsqDv0z1rHBHKYQV14a2ZN+tHBduDuvIYoQ40213A0u
uQAHnqf8PQjm3Fw2Zimeu5yhdWph8UJIRCVFIWiw9O4DaEjYxPFwv2FZ2mJYpeXfsZy2efTznuFM
QjZAjZBAk87mLH4F+R5lQnVgd0AIyMpldInUyGK+qRCo7B0bGZhDmoZ/zhrYwySVuurYDHxkd/Z2
naZ2Fwi9W8NOPZdBE35hK+wxsk8siPByNVV8kmrwxc5C/6mPNTwI+ikkTdExkAif9x62mWsr73Cz
O4QMP/hJFzUHU9fZXctAkGl+t+agB/pwHKhCSmIkuGvzH5aVex/SLnS7t23yJHgwK34cnROKSeGn
bjvKAphG9WSuESNKcuuQV/DbMo/RNcGEHgpNxJnNcWS7HLCMNTkSQqm6n+QTDu2FP6M02C+kIitM
JzHaTcxg36q+Ih8ERRV2kYpXdN5rZthgJLq+2Ua6NZlz08hoTDravCMlJCAF9j+GuLA0D33QjG/k
x3YT2fJ6+RH1I9cHpls4aSYpIRVSNFOnlqGrh1QDiuj30Ri2dyyAy7fYb4NnUlRRs2BIZn1dc8BS
Z+c2sbKaae6Y8vj77peeWvM+b9t6BRU0MJWfmbr4u8Ybwvt8LKJn1yzoggY7LH5t/WuyH6pl/Qo2
of+6jjm5LEwdWTfYxWgHqZ1JwfyK0fmBIopLKFl6JFO6yWNmaGb2UG9CdX+p2qhhqR1DxOduI9Pj
EARd+4AmhqSR3LYXhEnY62+Aq7GlpXFGfYvVryF5wLQU9Fme+29CB/AviEtefkwIaLPUVA6pkxP4
tVSBbcxTiUgODhgXnJOu1qwmTDOYSnZGg4siDdhwooG+tL73/pSFD9BBileZtMsLQNj8Lp5Mvd4j
dmyXlHWHIt8l63lHGYbNlOswD4BVTdlGOOkITylsSTBfYPvZlaQj9lJ3Du3LMWC7c8qw7Fi8tKuc
IVm4+T3BFyA1UMyymHaUqt5Koe33wjUNyivChXPieXN9NVkz58pYK00AivHU9RSHbnMMvXp8rEJT
vpUdIO+UNBj1LYQF9V071fDqLrjM2TP5nFEzPqadTSbU49g3eGMSXFyoq4al/l6hDsfGWPHo7GYK
1Xu/S9wbg4D5ua1DPe48IL3ByZ3i5TliO6hS3Q9EhRNWXsLDGChcBmw/9Y4RafGa9PQM0GVI9iNI
eksqWhD1/2zHsny1QPe+ol2bfpDdwCaysTZayRwF1ZUjN7cbv9w9tHEtXmhvwHZ3sZpvA+mPP5Kq
alwbEDofjR/zUuYT1wDtG4wkUKup5bc1pvoEKXHXW692sngCv1UJV8iFY0ED7PLYGx2v1RE6y/yA
VpU9Y0e5Q+pc236sSuvv0KvW10iPDWEZkT2+zwXxEEcerPYy6jpN5kuzVCwIqowc0nzc4oHUaC8/
GnxQLzYzpQhFGmv+tHSKOT7GTrvAYgpIRecm47o9QDMJv06uJ9VNUkVY1irRJPHlDCx93APNCz6U
BfftYJeW86sktAmDkZf71X2xlla0c/sl2A6wdjkWrPICUulCfqFTcU7rSaToDeIG01IwTP13P5ip
1oWTJflhJCb2bawXR578sahvKYpd94Y4T15jopFsD3nD1K+PPlRV/If5NBCJHU6SJ8Q1o7t3ObbJ
JUJASRUZCmJVRR85YP9BTB2yLUAiLQHPYs0bKBQPrbv22TX8ezBQLHX9+IHtNfRCuD+F/ayRoFJL
kZphOQsctaZZGfHHPfliwCzc7yX+4rscTgDaPXSRU/sbT/o/Q9p/20zj/3yitn9v+zf5c2Km9t8P
1/iTfg/XPIe4O1gAicd+LWaZ+ffhmvuHs7nSmQNF4TYr/bsIIviDwRlzs5D5euj8dmP9Oa21NukE
agp86zGc5c9p3X/MGO9+z2H/q4g8AA+Mi/9hYBujr4pxWiXO9g/gjW2Q948UkSXuFsvS6JMQtyk2
I8jn23REsCz6D0IH6MRHPkgdfUGLoBSuoJPtbem6zwJ98cb/UXlOzYaIPw1soEvcZGFxwWK3I/Yx
aRuCa9p1LU/oOqI7nzPvZwjY8LGoLcsmmp0P5kGBdyYtFtYSVLQM0UjK+WMjEGTnA2aI0ht4He0X
OWV46/c5lMwrP69ABC7JvOAvMtr9bvmd9Ojzm4bsj7zPD73HKGgXZjlLW2/Rq4VjYpXFxawWhPMz
IVGYrMM1fCuKjGyTIJniL30dorvSlBa/MhnVRFv0fXGNP4uV2VSH+GPBIspLSGbrFjcc4qGXMcMT
JKecZKmSQ/aViL3uDRLBOp+XIC6pnkraBjZ3NCDswDOL45bZFmef1b3M/mpClkKOe7KxUDMjN6I7
EqrBZi0JJoJXak2POU1JRCRzpIbvmDekYNQMqQ1sE1uA1Jk8kkmZ00EwS4bAmFPfrows3Il6Jh3o
b36oDpkXpORKL4xKy+YFG0/r7BeMzRI11OJ/GLteb1s4BQwAaj9/0BC8/DM9nPiIrNiiLK/LRV8M
YmV/bmV2uRJkC/qTeeccTylE414DRJWBeyxHq+EVwV/3yMIYDQNRTzbNTB28lBFz/ZSomvgbwa/j
cnL7ius1G8e32o9DQs4ilDMrzdu7J/Pl24LyIObJyFYqLTYY90Xv+7+ieRkckoZye051gjWXg25x
yFYUHlg5JCt07+48xyEFt+OE98UE3JCqr/Ot7KLFQoOfpS4VKrKaSYtDzhQ24X3bD/YGXYjtI3hO
4Z2WNrBemHSZG/zR0ZqdUO3hDAqlyE3aZBPTMC9PQrDkuKemay5KnB7jvJKs6De0iGnFrSnThVQ0
lrwUL4Dqst/UOv8TYTe0nzw7/Qm3o8oCdLfYG/QOACjD546i0js2n2A8hp0bJU98IvOMu+Hzkk+U
Xv+J1Vs/EXtwTsHtZSxv7aP4xPA5YkPyJZ94vuET1Sc+sX3VsiH8QAfSq4afaD+rM4H7w4NQlz+i
NGeKk6GPYtP4iQhkfdjYX8k/Dtfd8gkTbFzUhN/mIXTVjf0JH0SxCIiw68uk+dIp2hs3FfMgaPhy
Ehwemm1vf9QJJ9CD3VJt7wpFvt3JBuCrboSYo+WLqAmxQvg7RwkvWGIhYl3mWHkHmBfKfvQHyhpm
W1W1ph1VxG3Fm8hf40RzhT1/8oLnxsKCcZjbwRmZSJXha+u3otgzk0cbkNNZMoivVPMNIVSooL5K
TezMNphdZWviKxPiH6miieFcqxrM6U43Tu/+UrfxNWBbVCgIkXyfjEMCaG8TCylRmnHMTEeZFd78
0xT++kjWDep5zt0Kf0+TiPLaGdhLH8JlADdvQ/Ujw6WP/ftI9XF9RMWz3IcaDSnve8GhFNDPkbs8
Bex1s1Cpj9xdJyz8C5/msqk2PbjHW7p5C6jcM8J0Hln+gPUMQGU8sCtz9a6mh0NYZMed3IFvXYDy
sYXOjuxtgntWG+PbWsbzD59AIXrlyp6PKtDqFUImvV06KUBS6YTJQT8zmRinNCeKujp7deiOeyAs
UqVziAMWfRNT6QOZc814n3QlCwm0bzhNGrZa2W4yJS+WRefAFCpz0KeRGm5ueQZG/1TOPhv7esCX
ULjMdvcWWNtoR2sPiDPB9347xUFS114qhsR8uILgqVPFrI1uLc+Q4WPAa2km+zIWp2Wxm8taVAP9
UJL52U3dTfVXqvxOHnTocugmuMHumjqM6JUa7UEXxRpkE+xeljQ+i/fcRMbla6Ejnv2wCoODMh0M
PdCk4/BA8ySuAixXoE2dNkTfztRw2ymtRYJ4ve6+oUWfzQF+6NaiuKViZFBFj8xwsWpRuDvm2hF5
fVOKNvtAoctmvYvzlWnaNKrT4PDgnQGUtRvFosjhHzpzi0Amot8t9UxZKblzEjYxjo52vrMIxmTe
Qlr4gHYwRaTLj1o3I4tUYthKc0Q4H/FwgIesGNu5LlNlHCHLoc68pjksbWzui7YxzwO5cdWhqEE2
EnveM0nAVmPnlzFprWEq21EQzuTpAGtjMUdftVfglXRNtJCdingMixD+13NvjQnXs+Y8YyI3q/ZQ
VGbi31ZvMxm0pwgmRdKB+3PLMdxNLLPCM/2YGPalsJdu367KYjW8jKEgE7SJTpr1drSfKhE/uT3j
tHRWhnQoxEtIKAlEf224mbudWsF07Nps7e9G18myHd2r93URqxentWrGW54JG1BKMJKGLkqD9YRX
45WKJiBiNpr0c4OA7tXBkVxwI7uKl5j1yPYYe9YTYqniB+zg5BeDE8WclPIgZJmS80MEg8E4xSLP
5tos4gsAEvw8dYPI88qGIGunyI9gPEd2iHg6idXKc68hkI9AuLpDy4g3eIz5zCg847iKUysXBO+N
ehjbK/p6bBBkwlvvdT6GRHdPqvKPBO+IizWPFVok38kR2Csn+bEkVX9LbCXZsbCG2XpWiDFvXUYj
8a7iui4PSMrmuyzKhumkyecsd3qiuKK3zZG+u2WD96LOOZvkBAz44BX97KF5d1pWTEsHbtgXHr89
K1fy7Lt+xgtVDoI6pdYaw3yOqflKoQMW53EbNO4Vk5f1tOZr1t3QeZnnRXrtcgqWZf3wJIEOKe6a
GG39oLL2atRxqLdnb73CwiB+0b9Y32t8IE+5yfGRxfjeXwXjKh/ZUWPeYdxm837lwXzOtJW0WJIs
74qUK7gyk2FqmfKL5XnR4/rTk3McpG5jgZ+XuNZ5RmObfcFobPFtdkiUBQUPT7NB/zdj6uAw2amG
5RFzPFl98TT42cNQDtmlHWCbZcS8TIg21/KXykmdTNdybB9H2QwvyaKrXzmQzXpvLxGzDr145cug
ckbtLbSUrzO95TuKA3FXqTKbWBbZyZOMMLCApp5/Ur5mvH+Okm/cyvK+F6FmXdg70UL9I6pvZVA6
Hxgd10eyitazQjbETzxY7svCjPyBbhB+B4sgH7p9gTLAHyeyvPwxT17pu/PvJmqCn9FMzuVOYyp6
FauUzW6uDbp8L6S+yoqsAK6bSAYXPCnXmmWRv+vxKlZb+tJEluvUwNdhcN8QXLSK+AqSB+4IQxT8
sEcxplpGlJF4DYdBSUyaUPrTSc7iKbe0OrfQWuu0y3V8J9kaEKrqyhluzbomjyxNAzxk42ouHI58
lttxzRBe5LbF1dOwR4KM2eNcx24JIdkbl/4AbD/AsbU9LW69bCazsGzqQ9TKsISJJQN1lEZM78Id
5QtoghGqqGLcfVAF26DUdyfre6Zb9Ray2HmCtQmwqpgmgOklRf5XA76FSdeK8+2YTOF6XtfMo1jA
OpDvcLRb2S4j35I1bjAtUQrwvgSRktmyPwv0XknqKkM4TelI6JKAZqfkPFXSo2BmWQB+IaKe3kkk
XZz1oNUJ9zZ+3JKAK6ynjPRqFJ+WLy75lgzBABZAVISFsZh9dwRdOvjWvQOTBuNf6wbO+1kmK+GX
g9UoEDYhxjoodaOTeghGS9jhVOy7BS60C+Ol43JfyKN713oJk0OmqHf3bix9SlaTcLNYoVf9nHhK
EJR7mstHTIv9QvYcHeBSiDHkdGhRdsdZNMU7YfOXHkqlvR+8z+LOqcvgWcaWl+8wwqsb4D3Nj2xy
ZxyGazLFB0YaxbeizYf4GK1WsSJURgO3pwPzyeSpM/W+2szd+JEgIezEOEz5kY/LfM7Q5gaHjA3o
luADvgstO6Zz7kabmIdY+zSQ6FNNhxnOiVkLDk1YHH2tWrNfwC2gHnVb9jjW1LjiHNutxOoUTDZO
bziIGDpnzprjGDQVq4cy17w1RY6KswmcVpxGo6HmO84UH3Hyo9YOQqKH9uwIYCjFvkUIYeOus7yx
cL0i5ENOeR3panGP0AucfjfozRzYYo8iTH42xDE0CxHdx7nDErGLFqcZD3UIzThFhF6Gj43H0G7v
WTktaaRWlHugfbmm0F1DWlZ9uFSndq0hU+m+31aqXht2F8AUYrbhBHlWh2ph2pnaiF2oxUGqEwvJ
zQJXwdNdd6KYGZ9YLvX1ZRZiZ0u9RhCi49cODljgHpyy8JSDm2RtPaKRcmU96JbS9jRKxuSpCec6
uZ5Nb/TOgayO90klya9KgnTbDdHWDyMUEwBV6DaaXcEI2FziER7Kc+NPy9ehqVG9ilAAI+gTBPWX
bmEn+Veb9AP7IMpaDWlomoYCtsD7kJqGLSDrMpvt0DqaeNhHWvpssnKuIUbSZdKfhoZH6yhxZrIv
WuKKshPrHa3f5657xJRo7WkJh2yPPZ7pgJwXdNALpCO4KQ6Ty0vk1Cgxx7ap2aUPUVVcuFGRb7Eb
WOtuMtXI6rxCi2EP3yKVPHP/lzmf721XTwqbmUBtbDv88XOfPw3bV6fPPX/8ufN3A2uc7iizcUu6
YTK4v5C+CnEkjqNrbxjIr93Ohl02MIz0uCmdpl2rU/WpNRCfugN+wLo/ggMGWEduCI3+NAeTRLC0
+X7zTb5Q2Wp1TtF2ve+BDyfeJcIPah9CF4L4dqZXb26sqJzWvV4H1BF4D1hbJ4Hx533+qaCw4LSV
RyJFWY0vLk///YhoqNzXDVjto4iryNmTmZH1J9/OsgiIAyIdZkjY+OLj4mHDv1C6j9StEcZebhBr
z+0XhzOiuYc0JcsnQCSN2E0kh6jnBZsW3D3Qrmv0gC4nK64QVCAuMaoe9XExHPFGLPIzaR6QnnJR
ph49Up6zp/m3XqWL54rreB4QFQAvXSRtOpOTAw8UYhcogQhfWgN/9KqePgUxv8Uxn0IZenhCiQaM
3sXZrXzhwMWaENYkzUra51iUzngIwy7BcyxwrGChbIdLTNrbts6Ne703vMTtMS67Db7hwWvlRgXY
c5pM7pnDCqUPwJfX0mUCqKuYRn3Kglwn2szgfmnbB6XwYbC/RDlzYJslSIEZdEigQ93O4wUX/MyT
FkgZPgyeX4BCjDqkSR76g/YU1Sgoj4EqkS8tv6VMn7ImQmWROHmJ9q6sWM9mz9oYEZT4FEQtTNEf
CHOofqouD1jDjQJcoPkUUslPURXaZwRWoWhGSAKornAut8QrLc38Ek9MwlcN6/rkfoq1cA4g3CKq
SPSHftNz5Wj87Z3qfPMIvJpAjIy8IB81fIPNEx+4eArtPgHxoxykYowfO3OoGAiStFvDOd+Vn9Iy
v1ybO8YD7FcClv8XjN7YWiH4CHP4JlX7HGuNPNRCx31T4l0gKoZG90cp0bQlC9D/dP2UumUM11+c
0q9fzacUbqhiJP/Zp0SuWcrl0vGdEviZy+vMabkJ6upPcR04ddYqvkQqtXfbJHmBr4IUb3VCqhXn
U6JnVaxJU8le8RcffkR8SbQJ+pZPcZ/8FPqZTfOHWprQKwEAiq4xjzWlaL2oGUl7lUOruebDtIXU
mkVP6qYRczk3p7KXI4VUb9M5o6HpCtSBoUXUNuA+EdK3nbLZQb818ZQoEJJWlT+xzKS0uJNO2Hs3
owU+Bwv23Pq1ONZJK6ajHc4Bs1oryEcBDiP5dNuDmT6QHlCrtzle3c3FgeQml4D2bCJig6wkKZjU
GG13T04PB+AQezoktDqs/XLPVpJQo2NvsIwjtfNnmCjpWLjCt44+PAqI6KRqlEdEL9bMDUAe0bmB
y9jsl6EPxSW94LIefEiZTCm8man4CfZkEMsTEK/V+UnWfbI8NGAL47NfZIHPmx3m0UNX2/ixR/KC
qFBlM9NVflGI0voTgwGbFqYd8oCbhwa54LiohYrnt+L/sHcmy5Ej6XZ+FVmvhTIM7nBgoYUiEDMj
OE+5gSXJJOZ5xtPrA6vVysxbqmutnczuptq6usmIABFw9/Of8x03BJGilzUnu9pSOlUuivJ13BLs
2gPTWg2DadKGwEB6qt7IGE/+txZgVveQ+CSrKCnXfU4JMK0I7nMGL5o2nlYqd6Ugy5aGzYMMZsBU
M47w8AOoxAArAaPYaN+r0mXz7S4hf/gXrRuZaJjYQq4Dbo3ijgXJJ5WU1XFZeiyT7UbMaXWMCT89
0lszxrvesQqqxR0MHjr5BJQwhSlHaHT6cvSvsI6aGlRU/nDZwSffWJFt7NrQa8ORuB6B+fSHPvnV
j7KIjCcGbSg90VDpZNUrwfYwwppS8nAd4T0GbYKJzzXyWTssNjjKm7VWXSkywsaRGBpA/KF0/IZ6
CMGAerToVtg5FtbVFVk39skG53CeYlo53Teagw0AMwgoDuIsgDqZjYfsYYEvsSuqciPzYPQmVBJM
RmPSKoWahDykVy+uUYYfWpxKFy0p0e6Jf7vwFcCFmTCn2mUSm/DFPuRjEd70Jr8JOJPWnpGJgoHx
9aDxz6KNNgiao7zJzQJIIfI/pIg6sPxxlYRD+lFQbvXUzO6geVHqEFzsNaJBPFca+FkL+vMTJhUe
okGFNHlDyRoRAUxCZR7TiwDGKXGo98pqaQNALQOU4/itYWziaahfGGFjwXXS3ryLh3bsF1yS8c4x
LdhGKk3uknwMyeg4oYbncsE4gr2DqjJL1XstREvODqC1AP301Oh4eukE26FpIdBxN3MahzlBV89c
zuobzA1JXjAw6x+96uzWq/Q+uZ1wuQQbZ1bcZsAiyn3C/X/nLyUNmwmJ/U5wQCk8Dnnhj5Yt4h1y
CFenb+vhvnUn+nd5qIEp7bVG3mhRUIKrm0e8+1rMN3nN7iGOtjj3u2lF88li7AK99JxJ3eaMUYr5
7KqIkGk9zmwwNQrazNXcx5wahxDpz8tY/pJNlGCxXieYkb/TfDmMPPLK7HPJeP3orSDyfEQibwLD
Z19h0sTPiuvK54xOqw2dH9GUazAonORVsBuevKoIUPsBVgwP+Jjc8OCmGtZrgpx0gZtGFQ9wQNRw
Hl2NhGEbi/gH56hIcnUL5ypLYuAxAHLhCvX4BGAClYDqwF851Tp10+hT5nA/13FLcp+YmkRfEVbM
PjkewEZ4cakrnilpImIYwnZFoxkqibGpefqFxxoQFFtkXNWrgqgeB0w9wdBW8WzUV3NFUioIUsi3
dFPo7ZYe9cZnoGxaYlUCUSJZhl6XLAoN4yDbgQeFgUZD+ODQa9/7g6U/OZTBz9tstsJbi/Add1E8
4/TCAhN9UDTMVNgcnJZOvqLnOI6MIfRjXZbVuztW46PBN0mset9oLmWXYXpQdqHd4qKgsIgAFjz1
oGmZenWp6T/UwoA2lAeWMa2tWuMwX7kMQS5sCZ3bciw64Y0YSxdpvnGrVYDuq/azndk6RVhV+OJS
DKzBCbbsPUQHaAIOgMpmrZtVhZRjT1mybvu4yw6c/cx7Tm7qiGUFZHIjYjl6ul/SnF6PzOVWZh8b
8zq289lew8Cr49dmLtrPuOphCelZ2n8oMWfJnd02reuZ+iIAI8MwCHKcAgxUObvayVa5daGni+6v
SrTxCyFX/Zbu86TdgWeoo6uG93eFe9ClHKzz5yfB2AnKdQjqFL0nLz9FWcwd4GwTw32j6TUVBsoI
7/qsKb6TbABPO+lV84ThgQYyvUyL/4cgyzl6rzH4fLZfKZWfQiy/RFr+v4u7MLf+vw/n19+zH3Xx
W0CGn/hnwsX+w3Ac5ujKlUrZlg1B9c+Ei/OHoB0bpgC+V4pPKHX9V8KFQTvDZPJUNP0Bbycd9Y//
HZky/mBgv4DcDdIvpGZM8e8kXJb8ys+JKd2iJ4SjnMFY39WF8Vu+pUgAVFqQrHsditsSUz1V1tCz
HYYD8tM1+ef0/+dK9d+zWX++Ei/E1TBdoj2/jvpbgyUEoKGX5g6A0LCS2PdY+JNtpvQ329Xpefn7
FyRw9h8+2pItgjqrsO8sgbSfvQWc5IZQuLEXgkPd1S1NHTw2x+lzAnxGXmMZi7JBF6QFsC8+/f1r
/9VltWnQVbQCWFze3y6rPxhREdoYVPVIT72G7++0wwMNPRqHZZD+J5f2r17NsbEmWMKkOMDF5vHz
J0UGb3O+/F6J7IQXwaeXkELyZS8xMATt/wxK/hkV+4s/5F9dV56FfDTTtqVYwBo/vxrWJrgoaeHV
Ks52goeN1yaKYV4s2fcpZOQytm4Sk3/8/TX9tVRDWdxAgj+mkORmDZv//uvr9rZMSvZsmPepW5wr
iOBJa/PUtd5Jzjdr/BXBv38HQQohz0hHCTXv8rfratKBWjuUAhlsMGcUAuXuk8ovz7SwN8hyiXHF
msvJGXvu+e8/qy1+DZ7x6YQlWJGIvvFPEnC/3UHKQpcdE3PbtxoeecS/mVCAMBH0u8VGPyjTP4df
3nr15bMHeGkfwsV8r3358Ae1ePIraU93AMlS7HeLad9o5/5Rfjn5y6ju52Vji8Mf5nBBf00TYE0w
uvxtqJXtrrADihvNtetxNwKyzR5FismcdqYB7FbTQHjfSKfCqm+DuVI0gObTtRji/i5E/B89cgj5
bcdtwTCqTqW/SYOyPFJgCGEEHhPJLj1SKISpICq8GevGNz0qvKhGw8pQNmtsFkVxcgKSwvF2rJno
bU0mRyHJG7jxk7EuJnh35MqFjbvcynQ2pAieTJaI4jP6otfro03r8QVRMLJ3Ee1Bd2jjjX0LLE5u
B1FXdC6GnCK9cJgXhknuVh7+dPZUGChQdsMpQsspEWQWq3mePjnYqXHvp2r+1heSAi8leKyvhri0
XgtaMYtt6Gsp0jQWRRBtWIVWteAG86iRNx6H0hD5zm0am/GgZuNFjp2UuQ40PvC9sx60F4mZCOdu
44iDzrz3By4V6Jit48YfOCZxfcJsgDJlCtAxtox7fx8XohdPVhjkHBvHIMkPEDnASc8cIKbXmCYz
DktTL40X1wo55HJeaFR2kUz2phVpEGNimDE2efiEUR4WC2MuSZnz2IIKu2XTomsneEipRC7pUD18
kPciqV5AXxPa5mhLgLsvTIBXK7roqgQlAPRCdZ2Qkq9XwJJFvA3bjP1tGqGig0we7YFn4VccHeOK
k9zpEmL8MYNEJs5QlwumpJZDIHIFxVJTAutwnAWkWEqpvWCfBDqw0kda1Bai1lf83qHQeHo1gyid
rkg0mswDK4u5dvsV468K9AMG0xgDAg5UdtsDjHdQQuyLQZQ+eNc7qnvvhTP61pYyE8JxzPwXpiSB
xnF4mXXyKKvSZazqmfhZ/Ve+X9hWk46ySm9SLaCVrC3UZ5cKk45NcFDuejLmga+jS3cHLGwmfZi9
hv4hUxXbdh1MJ/oZPlgcCLaYXsLeHR6mcZSgPZjQD7hxZ9oBIj/X6EQehhfOtNVdBz57IQU3oYHh
vi8xJaGHnlNKFF8ZCfnI8QDBMQoXaE+TBu53BatBXPSy6fBEFGPI3GnmJL3KGDqFV+hABd++eDLu
Q9uYHzMrnd41YzS+u3WSvlqked4r0+UsWvGe2k1BhOQmALH/VjeO+5FMPql/05f9Wk9ryj1Gp2IU
lXZwBld5Zmu3dhWCzCiUtN4DpaSJGT8X96Qkygqvucv15GwwPPnj8twhQ4HH3odX8mmZoVz6SRxG
hgz9gjUaYdEwn9en7FsVWeSA8OoyNcgPvcjjVwN+BL8RWM0HSZ8AiiklzCFAaD/y3FAkAYYUrPSz
WxW003QJEn4mY5+SqZFBbKlLThB2y3+swib0c2/AJvGU0F/RABJJNVIBlbn0GdKuSTtvMLeLZ9mf
kQ6tEk6vYyb84dzMRKmdfKs4Dhj+F8eYET1oMkeo9QXaLxbcXr6UTmLoNPTCIPRqOHHc7JWr7lrm
PZgknMrnfhci+9b0ceNudPSFbCvighYpSHVaSyfyjJyRMRwrAEtPJPLIvfioA1rYEWk3gunsY+wl
GGaqgEA7HYIgOZrw4KDzh9f4GaNhkzVuyBiIn0sBmRKFm24wniPCWwaR3eOYdRCCZzGqgZ5CMIO7
xZpgb6FFFr5X9CUTp1pbjoVmlUZnq02Qwt3BpXVT6CLNeLrjDrnPIpL1q7yya53/+8RxMxsaK/BE
PNTTWqts+iOjEIP5Zkg1B5tPgzAT/HDLPnAfg1IFwVWoY1mnyHV2051ShexObZxifiSZk4YfjBj7
+qquyBOsVOQIxrcVli9vtKahuknKthQnnrkq4otYlJy+g27BScHWL99deoavFm1H2/jsBwcMjxr9
O6dJlJk487nm+aXpHIZwbeAHE8uJkFF7l1Dval73Cv1y40QNSjQ7lbo/2Y2pT8dQp6VnW2luBIw7
GKwqeEMohWHPg0DQRt50kxwO/UDlC96GJou8Eg/ZfeEA89uXPPpgu/TmY0B4/DMsw/BuIKV8wo0Z
4XgqNO0DqFCzNxwM6aRiGI7v4pE8x5p+1OWbB0AkXQHHVRP+L15qm0iIpbg/gvpUOAxrFpQeB+xm
Jj0KDbuCgUT2oag9VCz13jsVdhvIIc3OiFpNbsZMtq/kOsVTZOc+0GGc3u/NlBc8f6KmehvAIVob
kD2VtRKBEdB4qztwdwaqyZ9suoP6BhALZJ4trbjji2Vb2PANIl0nC4ls+XsPc8rEipnu9TSn85HV
Pyrx8Ni+M3rE7rsrlzTJfB5iCiHvrTF0nugxwS0MXNKZN0RbnGZNrKM3UStjRKdBRkNx3xPgcA6z
gFbhBdGIzaKifz479kr02RkmE8NjsC9t9hzVwWy/8PCmYTzRACWvjNKHAjaMrvoIDEe+VHPrfidn
pV0Iluf8JVvbuGBUZKZMPGXaS9rGid0zWrc3DBkLa9sGBSGV0R5xCM9Y92r6juhEWRcsTPMapGuY
rRLdkOVe8JSHlsXXB+54Oi2XlVlJv4YcasbroOiDbyDRJsC51HCt+p7ND1OXUPtmlrZ5Zp6IMlfJ
UJCew4iZk7Oy5w+EhuaqSDAYn6scbNIaNLjStrZsx2ytUapcPw/ostoWr45lv43O5OY7wGh+umdG
bTM36vBEMIRn8H1sHHpTjqPm8OBkg1H52zCZmmCrgYfC5gAHSp6qGovQQyRJsF8x9eoBkSN14YJA
fQckmnVMg1eUFqCnBAKi7JqZIEcjhCA8Dh4DWfEieFb5xCza2KVfWTQpQgURRIyXqR+yUWuCI6kl
Za1byD1vypgntQ6UObEhdafzPPVOvamp6UXrRrZxt3iRJ7BCbcJjOB4jXBCk9C3sC2Xrd/YHDqGl
oTspRE3HlbIC/zO2ir7emTYjZk+Pwih+zly0VKxTXD7n3SUbn25SbrEnW6oCBrGkHCwwJxy2pq6K
xbli6t8LYuDzEdOmijx6mMzPfkyjSwuN6rWpyEZBmHat4S7CkkOPAWM7d93kEeendmjlljj2tJsV
5Oy9ipvwkkdJ/M22rfxZGqrGiw56y/a6qGfVdvogosF+pH7BF2mI7q1b5QWUk/NpzwVjTo3Y/BYn
Vo2FcqIhjMgMbhZbtCK7YtA3XYd1zwaQ5y8xuGlKgsRL6Et4bRrBmME0oPBvIuK/7a6vC8z0bI0h
G6RFY34H2DA/p7aDqw+eXPThkCYjs5jD4CRgLodzWFVLj09SOd+70K3uXUFofsWfXoejWcQUK5Ni
ugFTC33Nb2p9P+sYSDG+BEPL6NrQ3sJBVoe+zBnSjYMOoU/jfM/YbUrS713TuTdiYJQt1uR9e0Ku
rOXhwWoSp0FhXXKw+lcmlrEa4UA8btUG8xtWf5vDBfNmZMwAngTBWojIZGxjv7FeiiV4Wy4RXLGE
cdmRkctlIxqc/Zqw7qQ6N94yYkiu5BLmZXiOJm+IQU50XGMZZ01yiYVGKHbfeFyRCKbzIHwZfCNr
V+YSGY6+0sON6dvPBs0Etw0064f2K2cMl6RlOPOVP56WKLL8SiWX9ZJQDmGtP+C9Rt4u8fflpzgc
hfLsr2xz85Vzrr4yzz4L+W36lYQW8HGvMhOn07r7Myv9lZsWS4S6HZY0NVni8qJ/ZayNr7x1/hW9
tp0cG/lXIvvrRPtfyZ1/SI7ufyMOFhmYoOZn+s3yA39qg0L8QQDHYmvK80HSboTC8Kc2KKw/TOIy
JgZNCrYdzEb/0gY1g1jPIoHwP7ssZfTA/kscXLqUhAkZB4apzg5sUZ7+jYSO+FXrgRqFXkn631CC
Yx9n/t80l7piXxPRXbwqg662ycMvUHXDme+6OdLvAL7JLYUr0tgIo+rf9RwYjs/0+h46G8y2mPKC
Q5Hnr2maE9kVQY3n2hVdiNyYg6wIwVfSSkl0+YbnQBZSgR6qc46TliWVQAYmpyboHgYp/afUGECB
9Xz3vpV1nl0VeV10HmPnFfnKevYCuN9n5qDuMgRBo0lhHb9MwOjuO6YhislB4UVZ+Ig3tnjWBquo
ObaUeC11Vj1q3IEqrIvB2STO4BNjK/L30a1tbf3T3/4vtDPzV1lnuaASScfh74d9zLXM31TQ0M2M
Kc0myeE2NR5msp1HetVIkHJ0dm6LqTE+oAGCTAfaxnyzJcu95sxf3fF9TZ6nhCKXmc0pI4sWB2jm
Y7riUBfd12Y2Dl6Ri/4Yh6m08DdzcPr7N/+rgvv13qmyFehgatGef5ekyOTgDJpyNiGwRDaDK/1d
bk7jxtYiZ1MxM/L+/vWMXxW///iCyxt6/34X5UHzP/5h/HfL18NQDegpnPMZ+eF1Rn8wiBdbnbid
RLKtFUNHMTpHBu5bLcyv0jm9pKl5rP3pmczCZkG6jsmw//s3tqTS/o9o/uf7ItzrOHz3lItO/+v7
MutmHLjhJZsLZpEco4ojSSn/P9EA//JVDFNJ2+KyMzv49VVKKsAapUpuFSx9V3Vt1JvKgqj695/F
+ouLjKq6iP9oq7r8XVa1rGQmZe/a2PgdjVW4EFq/RE+DE05H/yns6B1ZrFXTs85J7qmWNrgAYtEg
jqy5+gx1lL2IV7DW4LHwFMUgxT2XNDqIlJQQKRUuxmbuqKvadCGH6WX63u91F2CWb507N+huDGvM
8AuiD94TwM9fKlS540Q4uFlLP90EkYljht3s0KxmZAL2/EZ6GPXeTJn0j/PByi1S4F/X5b/Wq39I
lou/Wa9+QHz7nv63//lZR+/f83/FTX9ZwPgNfy5gUP/Q5FlwhEEAjicaN/E/8W3iD2EAtHBZuqyv
rOi/FjDWr2VuBf0aTV1B6eOW/GfClCZAlj0WPimkyZDh38NsI3v+encDboOmYHI2Z6FkbCZtltGf
HyFIlkhu9eJmyjJS5O0gG0g3bcnpQtMWJEetf7MbyPd66XbfxKxTYzTY7XWJAvlsqH68rqlM4MSm
UWxBish9wnT0ZlUFUKK57Amw0di0UzaORESyKMccoMsfyoqno0Q58b5+41hFo6d10P8T0/CmpkUa
rZUDNGgkPX6YBEhCvSvHp0CW7VUlreRODLW8so0JM5BTAOSi3A5bT1XH10U527QMh9PT2McQVLvm
Q0wGv7GRJhwmGas9hmnrPNgwpyODn8WolG9cP83Pad54jZ+29P9lyXUku48Yl9NFpRnnbcrcDvgH
9L2VNh9Z4IPayrP2mo2xAmuiWDVHvD8cGKidCbX+kE0RrBd6/j7Z2b712bIH5ye1gd+oJ5Z8gNbw
UfEkPqEYpciNvOVh4MXHBY1UaZHaR1Gi9uT631TABQSNllzjdZmt9dfHCHNlI4twnb7epYMh85rx
vLqAF/0YSOGohDkMhh/Di5qu8Wh/sfe57hpeoLXyU8Ss9G4n6nkdmkN7DQZK34OHSK6l6+OsBQDj
YfFqvFHJT/6qIDgMCOwHXcMkiyxnGDvg3MmjpXOZ4ywkmdn2A5R1PjZDCbVvTd7v5Nf+BtNZcj0w
hyAawx13mW2TT6Lx9qUq9VPH0YfeKDtNSMWTZdzj+R03ucEP4ENSAxSm0PzIOn4n1S1oprYkzcjA
iT9eNeFRrAuV7JaLG1ORsJ/HjGxiudCvYpW+VXnKK1rDB+YtpFnNXJuVLA7LZcUWq/au4CPTwwFL
u8rIQ8IH63GgeKoM7E/HmepPSTL6QDJH7VN2TPvYaj4sfN4XIZPpMmm1+IZ1iavo9JeEYOBNPuno
RyhDRDOaJxhbN0bqFz0Tm8I80MaokYoeqvS+rlq1icNBXWt03Z2M1o92jGUWAacznCfUzRpYUa1f
y3ZyNiWnravMxZAa2G4Bgssaii0FUhptWoO8VLjqNnpJLQM7VguUm5t5yuzq1ygZgdyLEQ8xfMS1
lFbvhYSrEkDpKviYsUztc5WPvifNwt+rzrE+LH1BFLVTQSQB7brYZCBQPKuYG2q3SvAThdP+iAeZ
4ox3A0omRhcCVk0OQjlOcz1wwzuFIl1NDyiAiNmS4BYT+7bSB+u5JDV6FwtVbOrADOnqsCbQ9T1f
hHm265ODoR+lbBrupkDFF+767rkONZouR1H164SJrUcaOLg0pAGPah70rUH72MpuCpbTwLCrDTRI
86JNlDa6ePK5tVr3pmOjDtglkWtbr8wz0Zr5EpTYz+nGtaDJ9YSQcPsCTunjcF3XfQG/we33oU5A
kqxe4Owia443aojtC1h161rP/eFep3AUU3Onr3GFBbjvMs66yFT2eYCR95bxsttpTOWhg2DQ0VV4
Z/CoHBYvqTymIC0h+rgXO7I0TPwLIapqHoCiWcNmIIa8sXTf2lig23mHeb21er4Slu6CUY9McdDw
WGE9zYZjr4mnAufKTdgZxiW2i+gxgVRzNHNNvDUM2Akg0i2CbqUzHoEFlByzxrQ5hWMQPRil8djg
m3p2UyWfu9LGCojDe26H8EFFecEWtnW44diezEY27aMZWifl2GF7FHnjP0mTOrIIttCe5rkWHlfY
7esMQ+TKzyRuMitp1wwBkxO+Ru1s49q7I9HurjEJ9dW61jtBXGPANN0g5W1LDk+4cZ0o/SDn8IPc
W7EKtXFvhQZTVJvdfMexft9hX9TXjBJVy/ITE58d0bPMsLafmzg3D0abZ8A3xmRfj6HaMOSpL1z/
jnaFJoUbmsXXDDDzrVM51WMw0DJgj4Y8hgz5boJg1Mhkto4H12p8hY8WncLZp5IJdWXTJEsGdCTj
zwQ63YRmhf5cM1nVC7PmKKWC7zNT6JWs0TLZGraePmsvyezP1mqsC/rjxUiuY8a2CHgc3IxZm+aB
bC4zj4gcbp3nwBsGowe8l9G8KDvgkaLk601j7nsvunMdO+MK/CdjFE2eaEQXntuk/UG3J3ePj28k
wlbI4pRmGVzEbqrPQPb4c4CKQrIve8s4hZzfTtDtF9m7NrmhDFndhXoZ7tmUDOtMHymDoy70UOu9
/Vz3erbRBmd416bAYQ9QPjR9Hh3qoswem9Kdn6BiOKcJ+tLylbAu5DLw65YAyI8t2pdcUf/UYpEb
NHkbRQ3K8KzJAwmb/Mqfinlv4ancmCa+YxtHO/RMKG7mbKQX4lNLsR6ZHSbY9kYjrLnu9YIvBK6A
Q92rYzNX1tHuffca8nG7GYFjLsa78MB6Fx/MEMaMFgR3addNl0AO7olsRfLRDZSuF+SRUO3yB0Y9
PJ8Nc6CGwszokZrys51BJoOvwV0ci2Jbd+RYs7S5zwCsuUSPfbXNljwUMITMXVFbGJPuxCWwd/2M
5iIqOm51Gnj8FXeqOtq8IKfsvrp2y0T/AHimTs2StUJVfdWmRpx0xtDoA6LLtxQLZrcpwvHVFPBQ
o3dqGW3T/1tLzMgWpidK2A0gsia0ruu2qG5H3BI7Ythn3RbVbaTQuysfDs0KdMFe8vu3UoOUp425
F/V5f49JYRlEacPODzOam+RTQujpRtP93qvbnlFjFfTrEDMdY1UOKVZ25rs6rYOKm5j5+3FQHD+y
ssyu8dTfNBYLQJSZD6DAPDub39jBAi0co3BbuPKb6xvcphQKbkpM63xpsSUbOMfXpUrvrUhBda1h
+RRy1I/ZhBrKNk1b627bPOFSUieeNPnGGCxji2+RoVmZ9G9zPxbf8IPi9/adqL6myGQ8aJkvrptc
YwIqRvcuwtW9a2gUgDgVzp8wG471oPf3hmz86woD+EXmDhDgygy2PXkQL6tY5+zBsXZxBT9XRkQi
zILyuV5LLboorWkbT7a1LYdOvFsRhddU9E3VZiKFvUrb5tFmcaPgeqzIG04G/myzY9wMuMkc+NaY
NKFkduVNU64/OmNmv0/GmG5zNr5rqRryJcRdvIm47K6jUHgbOWrcWsXYbp3eUcvsOvP6ZCQxJCkS
6fhKHy3Znqk8tmiLS+1Nw7n8GMd5tiuK7JzCCF1VzPR3bk8PLygZQf1FYz9aDHfi2hw2M5zOTauE
drCzFvatHDnMhlO2cVJbrGnCrLGAUoxja8MtGSskXriCgPEokTMClXhaxSMOXOC8L3Jt2s4iI7E1
teBEAWScIpIFJ6K5eGjF0O0d0nm7coqjnSYq/WMKE3vHGJdhbEMUh8/kM4/q5pNkEnQzsinIk6p6
D+yM6GpUf2tcrOsCusbtzH5lR3hGXBU0Sq/JulxKGV5D2IeLiWV7RZ5Uv59045rkF6UGJgUVRTc5
OxYGptOTMinadbUGW+0sXlNWt3c/nNxDXvbcXYU+GwcKNB1jS2aC6hF8FtaZMRTpUwOCO7G/vhtO
LjmVgxKpdcM3tjwYs5Bnp6xx7JBhil501aCFw5C7+L0PbmGa5PiAW6n6HoFp8UqzCPculMGbrqE+
lY6U+JzRhXlynGxmUl1GNtNPfLKrrjeqOynq/DYDuvFqUP2sr3Vp+7vBWqK2rCrEbgVj6ps+qLS7
jq8ooOnC8t8k4fw9e8LmSfr6wqlcMrxa1IhH6G3yOnLtls4FWe2AJMUpbusUTZFUv3MzuKW+V5pO
nUSdt9VtHwIiXFm2P1JXlvfdYV6yxJadqQ8Wivkgo743vdYOwhtMg/OuLbjzQsPpdmk1qCfaOIYN
XpihWOnEps+Bm2aH3AehGFk5GTezb3TIEY4Vn8NEng2NsL1N4vgY0qcYctwhrKxicyEXu+mdBk6G
aFK0BYLirMIy+57EZeBlTdMvhXHRRoUtupbtgsDoI6B5gXyhWXFaY+d5zBa4Sq76j5p/RTujzp6x
mHhIs05fdVShbUaN00k2l82mUs53wmbzEi3v9gHIXtBGenrVB+33pMsM/tKdth17duOBxmbd56b9
6Ftyj6RG7tRc7hzKdVa816cJTPfaHJJj0NnDpu+YbTlhpeEiXzqgenke4yY6YxeE80E67pKGk/g0
6IW/BeEUXbkmvJIux+4zT4QWR0vP9mx/bmm8+DYZBDCtqA8IG1s1ppFu2ABcs4/KkMExr1ptk2CN
86KuuhqXZLDOodSrA1HsSgK+F7wNyR5ohPEErqTGSDFhG9TI/EmzveqT6YNnJ7mqPHT2mRLbog7h
LpOpSzX3ya+zh2Sc7rNWZltwm8k6jqYH+j7AUDULxH14HIEzwrWOxWs5LHHiLFY31uTnj9pIIZGp
rKe5o1oym/ObTpKgnWzDX6OtzeeyhMRZdR9RKUG+Z8bbmJH+Gju39zqHqale2916yPAUxGAHH3Wt
yK5iPtuhYL9LEWF8j8RAxx3Ta5EMyUsaUdWLIHaNgmB5Y1S/TZH+li97qUizHuqRVdL1mfSxsz3G
WcK0XybftCSP160hcfBrnwwhiWUW14U+vtJ03lMkM9xQUQ3zRjXTlU878NFuHaDptuWlFsHf2Q/5
+DlZiI6iLZIiPGC0+WroQI4mfaJ43FTwgprEPFsxnNZqFsUxCdhNtnopEU4dBAtRpjsniOFxa8Yq
1gVDObTVjY4BZENmEO4Ezd4E5LsrIuXF+1ioiYl9R8o3pnCT/KdD1MAdxwctUM7JmXv3GxOSxusd
GWz6NDhWuslp37XedVau45A6K1Pq2L2KcyIzeY0/r9/F7IXXyECfU6u6wwCKg/gJ+SrSTObW98n+
jB3TN9v9hufufq4FyW3XPEeReyLH9wm44d0K7G1eJUdUXQLI7CmiVrrMKvxTVLBuouRcIMTsUmQg
zYpPcQV6UehZtgHPVGyjdnqC/XvS3PixicrhLMpJu6M62gGsW3zaeA+72vyQ2nygXD30EloJ161M
Ll1XDh5sFLgHTdhvWsN4rnT3OWJ/C+6k2ve5BG/EMuegt64Kh652EixNCmyNgaV937NIJtwQK7aW
r4kDe7Bm8L0LsL9Bn/YyWI+rnmMhJja8T2QGGboUO1+o64Io34qwGUOBOOu8tMX+45iEaConajnS
z5/c4OBF4gnrWqHv/Gx8ol0uu7WYA+00Nz86TK4RANJH3Qh2WarF0EkoxDWrJ611r8ouHY+m3v1A
n2PSUU4gU0Sj4dSyHnAdPmeWNt9CWXktmprH1dC8GFp1W0jjB+yl58p134Yp+IyFc9UT1wisjtO4
+xmkxsEp2XebKc3DAdG6NfH9u7lrv4dFNZyYzHK3lVa3hb9zCFq7foGSC+nGMJLrVrcs9oq6f6Wy
It5IDSBiGkDX9kGnk1G2zZVWV+6eFa+k3jfD7ZiiiMOE0SvkeyxHu77MjmNj7epCHDOmHStTs/dV
MH/kUGzWvJ1mlVTzKfarVy7mfZuHe8aMl9wJx02Y9tvOSllWu0MU0HOaoapviqRO90tkeAtuy77O
u4WbqVDjB+MeH3eAztRv8arkq1nXiUtGLg6K8i5hbx4wX0fz5NiUqhtG8ztK945Obx9AoK5sThUr
lwgh7Qc4w8LoafFfaRPwWZwd3+0YLImCse5kww6xyX9ULaxgPNzMBZm1970q9+zjb7VZO/N9AMRX
39k02YGupg10/l/snUl3nUjWRf9LzclFQEDA4Js8eK16yZIlT1iSJdP3Pb/+28jV2KpMe+W8ZrXK
afMeDyLi3nvOPtalDJJjNzU4a53scxK2twN84TggcVDnIO3WvV8my321QD2bI7QSYUo3AzLOTc6+
tYnT+cGYopOeBVfMFYHKmvo+w2WGNc89RmEaeE7cH8g0CD+RrgD+2O6fsDmcUQ9DkyhyGH2liA4V
SxkiZ1QoVat4eqOIlnBZkUK8LJl6bhqDGpzsJK+DR9d6WmpUt20FRkDQJWxhoZ5IjtK9Dm/hPi3a
OtsGRdI+wL9pTGh/JQ0MFwwHB/kEurRiVUTMt1yUDH6PfYnZaoh7bD1FrXyDLjLOHVpDW2bG4mQD
73jLjME5BsjOfMR800tXgpXvYuZO0m2HC06qxeucyuzzQjLTsRVLfOoUnWF6BBP+pGbKizvVRNFX
tIHiiRabPCD5Nq7BhLX3TZv0UF4WbWN0iU5Z3gWnDNzYKSyl37vt+0cqHziZgEiFd49mh3IPyP2M
97x7W4SWnfHaWjuw4dzgOZxJ3rOnawef+LpOtLeEua9No86mlItEs0PvNmzRtCxX6VIFFzM6BVzv
bnQNG4V05Eq4j2nf216s23CLh6h+IDS4+NRGWfoMIbLeT07Z7aKMXQk0jHHS0THfQF3g00eY1fGF
k6qxMaukfUqaKPCZJDtIFrHLc5SGvetKyjCAuuM+a9RwTrVOw6EFH1bzwqF0oetQDbAn8dQD2Y6t
4E6h7vDdsRaeyqf6QJxBthsiZR3qJJc3zry8waEJLvhKwTEp22EXlMC0bD2k4BWhHh9RoXQndpT2
jDj7eo/iDL+LakzxaCfjcEHRUWyjNZBhxlDsA4ijTWKG6S2BEPNdVJbhUcEseO37Tt1GVvtoWhYw
NNVrFznFoI8FWm7AbC+nqjBubHhwXgEcw8cqwctd09Fo+EDPQezMd5XVQujr8NPT6pr2HGP6p4W+
wZldOiQCG3lzkPWKNe8cDq5KtGdNqGX3iHqohwUrdlWgHo7KTD/v2f/OW1uTvkSedQrT+Zi4CZ2b
3mqP5Lj0x7RpHM9ypXYV6ckXNPecVu0YyB9lS17VV12mh+eVXjHIcIpPseyMW4hSBr3moiTotMtR
DAChoPmlW50fGCNufJkUx4xgPL9Kl/S8sZFN4m4l6RHwno93HEp+HhUDysKq/LqkQ3+GyHGmYui1
Lanv/LBNkTSnEP4GcxXuA0/mNgxscbF6blEGjXeA9rptn+g1uzkE84RsnmOhckyV4K62SOczyCtN
iLZSwCzL+8KXAIhPcZKJ50lQI3ZGk2zDdVUxOru6mCauSlEJV8cJ1RYRdbILir7bx65BLh+iXi+c
LOsK3DtQiXm+heEQIZ7Up2M5FyAsojLxVBbcdLPl7EidJDYZsvWphrPkQ9zKt9AIqUKRfu+dtbmK
B2LygNZF3pJE8S1PbvdKNoyxsW0iEbOEmQkDG+XHBokzKuvvgr4a7rpyzYVjeONl0Vh8Tt2kBz4x
KRLx+DVoWZeEqDYV1p8Iy5hp1Ht6LYxNbM26FICewFwl9Y2GueEimCAx8HkuSiTd9BFt8wJVcH5O
KvwX2YzRDlpWduwDQufwrNJAoeYiARSNE3PDE++vcT0ICNIDbBzPqBBTRhZxpZ2Isp0V9k+kC6KP
INDwHFF5cYhROu+ByL4McAD8cs7AGcTGEp512GEuuyEdXsME5yZW3UWc5mEs9pHUgaki679gFJXs
OKDu6HFth6GGdyh7wXm7wNyTFcJHw+XsNFCN24LkTbCugb4ndLQ4o2mpb0Uk411ipW8DCbwolKPp
aE7VuAXULl6AkDrbxjInPwpb6RWWAClj059F9wpmeqmnE0K3FDoUQvGOtWE3EUGDErRmXYdEfUEP
Rt0PpszIdqkM4pfadlsxC8JRADOtylKvZlD+KR2Tbut2teYV0Duw8DrNaZ5NF/Nt3mdHCHvPDBsz
IDX6eDHwX3umnmkY/QiOb1Pd+hTD1CLyNwt2yMHOo1xytF+IAvTCtMaBHSIzDeycN11pLV9ysOUG
gKXusT/ZNwaKF4JcqpZEowrw4t0AEwASrIXBQLnxPrIB3GyWsipuVCqZRJmmfS8GpmaidZeDBpnp
q9711WVtLeOb1jPJFNqwZoxmDMUCJoYXc7XU+3YijLKjp3K9xHD9hVIand+Yd0AU5tEuF/NRLGt7
tc3yB8cacvquMnuwqXz8TKf/zMd0r+d4za0B53nKFdNCkg+H+6EeXuM4Dy/zlrMMfX17fKgGbbqs
kDt6+tK+utH7FJd/pLcLzSfpAiRNaQ/yEe98da3PKmC5E80jsnf32tQklH+M3MjyA1YZjuZmqn+G
yWb4U20PT/mISt2rStRNXi/HkAciKQF3rZk6YeR8g3w10m+N+eROXkx+K6ruBBFnesDB3foJB8Iv
WDq0zxVIgQM4x+7U22DekTTmN6IDzL4JcZZekuj4bSQzDLA7s/in3BHthXIHeaUqoZ9E2odgq3AM
bgxXZ31TtDkappAXTQiIfEDP/8Bw7pvbMPFt5jmg3GTAKSfuAP4VTGkzPF5vGSfxKi0ul9jwbohK
T15qxx1varMYj+gSaX9pBEHXYEquYCPD8STf7TptxuBIxCNOCzSx/Tfi8FoSpOYBmsTkcrxSBqaQ
rNAKWPp0NCIeHcNh6m4RTxB4laCwbmb+D28euEVTRMaanrf87aQIgQ109TWSWwT7rgyOQtFP7VmT
j6beyMfaaFICjlLu7GJWE6UP39cdmHMvom8ei4Ch6KaHCo2IPWuJu4b3QrIsDeGLxcgpk2dryVe9
ffYywEf0mQkFG6mi3IN0+WoRV4IKJuPjp0NZHRmzV6dy1HQvkX14CBWR0iyq7nWBpYheWpAPntGQ
Cj1bldm99nZeV9oNl+nOMB2xloex7jwglLH9kqF1vzHNBRjWelcKviv6OdYunyRem/a3SWe3y+YF
mazDTM58qUloIbcI1WC/x/DXWpAzYnmg1wenxERu4y9k4W4RRPOom9mLAVqWlOp6TawOaO0SOZDB
NkKwLIonxuyNdRvrVThdNFmhKo7rIJzzoYfIMBNdDOWoAywZZBEXDQQgikt3qpI3sgpIk7YSaD9X
0PM0f3Qg0Z8lc7zI7UIlGd0amTKuKkKbWgRfuhA+QoUSGReEvpbdZMmol1kX5LJbkBQ9kJmwBHcN
nsPe1xxCvGMHYNaG6SnRevmosSMZc/NqCFExkeUNmijh1/hvshJSsTHatnnUAa/Ua+c7e1ioethN
IRB9zsNlVJ8LWyb5LkWXMHLWHdIzwKucNua8snkQAfMRYqMS93G0UqO5YExz3xv8yTLih3vOyQVe
LuUATGY/lU5/cuISOS8adF08kMAEchTgtV4fcUuHsz9mwJksfpZ7OFmUzMS5WVtFsMOjbrXW82AN
3aU2Dpp5yOPQqBjHgrDAUhVmaoMmPKIPURc3ThjqHrOmNUidhJPeOCieqLMQmQ4hcy2zOMdh7Omv
Pb0dCIhDW2tni26Tc5kBH9pFPXURI0igDREOqP2c5c41zW3WCGtuc2qZsWPezDnDOUmJDefz2AZT
updjSjC820YJiEPGH1m/p/VRMBAtu/ocpkJDsxLkE3l1KWbShsmdkJkfvefNO6gWxk1JfiB+yaIf
sAH2dcf5FyzlOb0Sp/OsyLbfAtRhtO/HkkIuo/eLtw5W80tmgXrySsOoXyNErOaVkZawwW0jqr5Z
SyiutJpEj43iYrcueSH1zlTLwiQMR8Mtvneg3wlpvukZ09PKptNTxVcVKGq57UfNHU4Fn5pyC8OH
V+gdB1cismnUu2V0IwdD+ZHkcd9AxyP3Lg9NLcPRycJM6EdDmsigFoW8J4TsecxJ5NWYlqRLz79V
aS68v4lRxzeighKvaJhXK1haPu+f5wbQRDTk40dzmaFxaLp9RUek3WtlV5wLQKir/TL0aA7sl6jq
PnFKNrlpXfJGeYJkf2qDniyMecvRzobDk2UPnNEuFvoGDej7YBPb81GCcPI1gAMeyJ7BK+upuOFu
gpps50fyFB1fBfONKgfdg/7M1KwyOpjK5lfmkRx/y+5zzU58TizHIZojuUts7UtfLmvGtrjpaGC8
Nj2LRcXS2bky34uxRbhAzg1chPFsoglCwLQdnFe2eZc3TY7LwTnKECtwalEhWWSikVcBNxJTUwSQ
i1oarIfCh6dzoqo7b6aV1qQU2SGmZI4qu6XqXeT6BQ5CobveIqmu+f3MT4vFJouS9BMBQzVaFTrq
ZYjLUmMZYz61VdPQbfWwcD6j+IQ8VwsqwmTSia/roSKWs7FtmxSQXZmzIhYkWV005VJcxnETf8YI
+B652GbnVV3Un6zBgiw9h/d5zeFQzdWDS4d2DJA4jxoM5Xf7bZUgcryEY+nA9jcsoDV6HRBBwry6
2qQtqM8lLa2tLMV0TdNgOC0lo0iOP/G+66xtBIgaVHN2pvrxxspzn8iuawllh47xETdbua0l1o9W
165pjuFqKjlf5HlzEwTY8JxU6WRadkTBYfQACt6A38mY5pKAtOvMBW/qrM51B2qUFomrXqef6xY2
JC+JsrgA1MXQK31ZklbtChiDdwB/6k1VTYY3BrOxZ9yne3SCzwB3pfsCsBC4Bwr/jd1xdMSCAUA4
WjiRUwLpfjhHBr9hmFzXLi3PqOn2oV4lNzkZU2EtsB8Z8zEU2RYCmTyWGHRwSfojQZEH2oB0tOBL
Zyc3cejwEbz+wKx0fDbikiZaBwLJcOLPWhWlZ4WZfjEBUBAxYDxNiMi9rsUD6I4oTKG8t3u7Cbem
O+yqejGOs2PZG6Nkd9KD20aM01ZHp31o5bDsoRz0b64KXsnfpiNVQPmscwaDRGg/pKuBm2B55xJV
Ik04fF7nWZFq68CRzL02PBKcPa1uSfJZLCaMrjCWV1Ym0iPRLD3bdSnOQfbpu4z2S0OTZxPWsb21
o+kRhPZDP0XludQyOh3hM3XUYwAIzOsFMhRLjveWJQDcd9Dj8EbBgtFJnJQxA+dOzs/ORNGMXY0C
IJFvppEDpTLL4soRC4NrJyJhEiXTNmgRlgzTBNfQSZ5VDq6LcSwzL6NHoWPNmFo433nkUt0xNnrN
tIZDxTQ5NBmTzlfzAle9cI7VrO41qSY2fGSEaHAYReikE5WpofbSZIoxWwe6H5pXTvILOO1oHzca
5cM3aPykprtfnR6pim0Ql4n9nONKWDSfiNhC6yHAEgptS/zQrtc7ut7aac7ta8PlV28NJzvOpUkY
UhTc5MbwkiR3pZ1cpZjZtrUrcfkWZ+DmL6XZDf6caNdGWGmHvIMy1Jv5i2pwoVXhRduWwWM1lJ8J
s9nOMVCdemTcXuvKb5sg+AoiaEc67PypsQzmkfMt+Yu0tRx1Ek1zCVG/3BZ9Rh5a+oVC2Heq6Jve
JfhvFG0b6CGE/9B+c1JtFwfjac5Mi8OW6e7RhHNCt8urBFv4DnUKOb15SMwn+PltmziPk6wgG6w4
KixzcqMnknQ2OZ1Pjc5nHNydPaKSaZURYnkyrAuLoiTvp/HKsOMr28rundA5RgkIPa0CckRDijJk
oNYaXtwEgICbR+621JJLgLQ0qFVzX3bRCbe7j8Pj2eTwl9Ya+LG2+NpaYj/Ay9pkOJiY9xTRFcRd
jyjWh1DVeyzZqAi7G1cvz1pRXKl4PCyO69MtOZhxd5mAmz5r9RbGNhITTj4D3PlEZH5YxCeZI9SD
YwYnlew31dDCKMryPnK6PTbM4KbJ4L2Xs7ZbWnnq+vQtGYzLtKzPKHHEihtO/EQDB6EXPPVZRP/f
0dHFJNOLmFJODbSzt5i2rS8m8Wr0GqMYRx18aBRImUeGoqK8JiKReZ2xayAM085T463bh+ZxGAW9
cdEhdyRjAdHQQHKrXxvy3O47cdlK9i2DJyDAwB704+yJ7h1fgf0ZloX6Drbo3ykXuDd4JCKJFkaf
XYm3uDiKKLhqENlcjVlKxYNAxE35YNnIXKtii1kG6xYIyYPDcd+L0OoeHCoQjWAAdiWUSKyecqnx
R0sPSRWfEQOq5gmQ2p4qAnqoUX9kfjlcycbESkcpfd33cHjbYmSyl1ae6q36vMgd5xwkMQj+dLyJ
ZbBfGIVTS2De1NNe7mnhkIIFGGw/ttNZZzaXsbAe2NrOyApUG2MNC4sznbDeUtiHtOx4CEaZ33Tm
aF7XQ07WB+ZL4PHBeRISJQxslOKE0SSdoTSo9lFN3sNUvdCcZtaQdMLTiXyWiwMvz2qOnRrPta6h
CxReYKM+ll32wE6EXo287ry8rwis9ad+pGtDEE5IzlrgvEJTA1sCps7ot0hlrLdRmvEFGQHJOdNJ
9yJkHHqKyJYkAY0zoR8Mlny1Tc5x4OS+pS7bJcqT3M+LmJO7IloFAgXtqJkEInS5rs+m41yOjMzO
c6fMv1s2/mdN+IeN/+2vrQl+Er+UfRf/aEVY/8Y/vXRkUxFXBS1T4jcgpuTfVgQp/lBKmLoDNuu7
ze4/VgTjD0WOFRY6GFu6Cazl31YEof/hCgol13UIwxIQq/6Wk+4ny5AyTex6gnxzHAiuxPjwwUjn
llrY0wMwUFSM4QEJYOcnKnf3P9yPP7GX/WwZ+udVHBMJnBC2dPTVDfGDYQoPFhxJ1D/sJ3I+DzkS
45trjO/WmL8EQAkQYz8aoBS+QlPg05DcH4PyazUg/nidbIhi0xihTKR9JwkIjppZ+GhZHYY+vdPS
Y1DSB7AJGmXC3O2FFQ1D35VDd125dguEZuiLT8U8cqbBMizKC6oJwzzVqS4H6r5m4kxJ2Q3YnUif
lUUJVnAtDSfeZcvojzIRQQwUf+r3Qi2SbjSv7NyjSaM44KMMbYVCow8oPdDb19S/lRlgvk9YjNbS
7iZAH1Qc9H5QHFZicle2SH/Mr9gHW+cgp24FWJvNulsU8P81MEZXAe0RcCZsq2ejMq1bC+ZEfKWX
E+IXhJ2AN+0kvR8GJOxbaB7lJbSmLoMHUCN4pAMIbaHuAmb9Y78egxkG0EpoXMsZNykLjOMn+KAV
BYKjVwAbIyFrQvd0aR8m0hEeirEbGKXgckdjBger2saZGyT7PrebDHtHXAxnxLkz0u+w3hSkSc/h
EQnc0p2PVi7lsywtJPM2E4OCdCdZnTXJIusD+uL5Ooh15lWiGQkJxFOPkBV7PRrGhojfZ/yU7nML
dvW+cJrq25Aji+JPcGKGTNO+xHpvfUUAYX6T0rWKJ00FC43NbAJ8IQrdcA5uxOkQyeMKkhaLGEeI
RmOVQFbSGkpyu2PkiyZuoGNZO219RsBr42xyMVVk8wq7N750jSYLvzQmcJWd0ckQw2k2EVvm1jTa
Z8ywyWYB74HKUJ+S6djYAcxfRkG6wpaWdPhS01CMjw7cCTAvVlpUh7riOEh/YPhfRiHCk+Pr//3j
fU396/X5U1/Ebfz84/L8/je+r89C/GGhuTFdAv9MYcrVz/jdKqb+sAyxGilZoXUCWFiDi7Lpov/7
h8kfSYGvDAOyhbJzhQb+0ylm6qtBWqd7KwiQ1U3gbH/D6AxO8QdHJ6Bi03SUiStN6QZvx0efM3hw
WEDkjVNO6/mXLBmj0yJj1weoNtzRR6QWaJbpWhX6eIZ4r/3Nur2ul/8xlK6Xp9utYwA3gHfjt/6A
KpSz2dVxJgn+qcGLlMXSv8S01e46FTV/jxVoCCnZzmyFcdwGTah/MMTlWiCndmQybxZJ9gnkhs0Z
uA/8WmS/243+66ZKm9BJi90YDY9DGO7Pu4RJ27ppJsLUaGDGG8ozchFSlxPfJlqscrdwyU/24ORi
N4eR+9aO7Wwef70hskl/uLN8S5T5ppDK4cGzPnzdNu7Dkdz1HJfukJQH4ggjTKVF1ls+UYQEpYi6
anZEtSynVs3ZkxWyd2MzT6sHk6AIYG+1ojIfMcIz+2uQcv76A/7351PrM2xCU6Q1iQ3353sUo3ph
YAW1ucCJdlFpyXDS8jo//foq79bsnx4wqSBk8PBK/R1m+OEBq/ukcumirJSbgs6fzbAAxdawgNWy
GkN/UlMYX+U9mZqexG6z7HU8e+FmVLl8HfFGRTdxY0Q34LIH5o31UGpbwHyUyH2e6HdJS9iC1/NP
w7UtM0VzPmwvc1d1qFpHEM57+maGuZsjkzW+Tir59dff72dnOmcQ3XZQPNgc+1hegGD+fBcdQ+b0
AU3kCj1x53aqO7ua123FwYxEGkTj9a+vJ/7kgmt0KtBULmhycvz5giGDcYYXKwEk0vdyHVsbpk3K
S+9zEPjiBA1QJwuJPUnQpXwadfukOwEMwW4PROwC8aNXtwzUfv2p1tPdjz8yd8HlHtiSeYYOb/bD
j6wsTbe0ARhWhIvijulejq1tflsAo5xNdKohHLaZ9+trfnx+DZv8WINLrm84b/uH92tBlzOFUFYB
5TjlMTL0dFdkSJL+/lUAuHIhl7Mz5/ufb3cfW06bGCSb1xkIcDQ/JgGRrf2b+/dn34VdQK5IDoeS
4MMZfZ4gFg3FehUUo0dhdczaXJVd/u3vwh7nsK9RjEj2u5+/S+0WuYZJileRNNpcmuMXUTfy9TcX
MdZb8tPDoHQKUmJJOeIglXtfGH8oBSYy/UoxWF8bd5Vh6RB10oNNeVC92SLD51Xp4WdgWphRmRJr
hp+li7K2oRhCzcf9lI1Ye83SuATOSI+211NVXpq51bWH1k7m0JsWXDnHTnYMPTiuga+BSR/TTm+J
+rrJh6nOzgw7c8xz4rv5u2swQ3UiQAEJoolzgShPMDP9oTWTIvWLJiJVSEWFvFrw5dC4zCo994M+
Sg4Ei2NygcpJz2/gByEHOLeGFIE3TZzOEmmCoWdEzo3TMwl5saoxvKpwuxymuWFApVkmvKiuRLdw
nkV5D7zErBf9PiixcO2HvukWYBaiwSyhaSFGnXxxIAjZSX5QMY0QP43pcPqr6ZW+tTIIpusIStf8
BoJSvqsrywn3M2TFz3qlDbnf60HY7fKgsq6Kukl1SPcO078Au/jip4VVCmYxsLNQ97Z15I/GVM6o
zCRpqDIQ0SfHXuA1dlbkip02E8W8EXIORq9ODJRjRodK3g/KRoIuMWuSPEp4ZmILqRDWZDsI86CL
Vm924ZKV5tERgHn9tLWWIw3/NWGkDfUv5ZyXDL9jScMIXbBW78QElwwv9XoHLZItu+1M5/qmmya2
vJg9+5JIHpqfIbeUhnbVOS0/xoykcUmW4Yng4PRtrR7arQqTlMYhn/6+YTgORULKW0HugIbxuyLz
ihQmOydqZcgnDF1TBWgqDZbPqRHP+sVUJlG3FRM27p2Lbx09XF4ER6NlET4ZztzBvmJ6lV1rA3zb
nUiNFIke01zmS3gVHkXjEoisVXXOLCJrSGkh1vIlwKhDZ0uqOL6Y4b6XmC3QKVyKcqkRTAyZ4+f4
huJDEzuJ4bd6Xr8OJqjIjWvEwwHqUzaTTQRay4NJhv5+idDMlwhbJ49naRbbQGoMKfAw0eUe6myN
KjPzpuPYaJkmw6LJpDlcOhoAuc7FV4n4qt9FamJ6UwmyWPhAIwlDFJov9cyuRQ8vFN2msiX03wmG
AZaLUitZ94qWTTpm2Pg8K/rYB5vYqWaLqcx4caZ0ammyl6QhN/mELI/Yku4yZ6injpVJ5/zERG4e
rq3MZXKIWbnALJ4agYHtrSHaVEe/ZvpYnlWwG2YobduwqPAMktdo4MVbKg1ErenIaV/M/aKu+6E1
nmytrioECHMY3AumKfFJmytkHQAxUw9VGb28HC8lLhcmv4g6x4hBFxF201MytlpLEg3DaKwlSgy7
1m2LL7MbjzdmlEVMJgyGY93WGWsLSz7pT8mOaEHb3lZDJWwPfVm67KMUvjb23AV5k4G9BtBPKNZc
HH1Q5sEp+qXbuLND8y5s0+IcHzOSPps1E4sKxkuJXDE07c20uKrfmkXjnNUVOlHE4Tl1NOaN4pJs
UwaPjSwB9hHoJpdrg1KSkt+o5auemIHYywlZ0c5OpuizIB5U9yr65K8xougLozTjcmtWOvtwP7kJ
ZbHbItRKnOrMFrXNaFIFF0GCB4DmdgFHDQArk9Epq+tDnOHNob3fICUZrMK+i80GZ7TDQN239Uxe
kHSI37oOFLIlG+dgSI5IAtoZtbdLqllWNhcMWzkNwRFrzKOhV8GdVAvfmEo+fAXAIi5JcVH1kV7l
2tl0spZEPun2yz7N3IWBlVWN9TUur8U+MqXEm1lgM7U9m4Q0mG92Wz83lkPDN8eo7skyVZjkYBw8
CAC05bZitaJrDO8AKU9k4vpznbb3LKSXpLsG9gZBi7haAPWF20qz2pFJL/vaJjSsHFeDFCgn2tw8
t7GHnRU1+QbcCLe6yfLaSHcVY3PiHXLQEt6i6NNvjEQQ25E4SUeG7GRo33gX2seZTsJzSYYWjniU
GtZG5ZHNKzt1ABZEVJUh3v6A7IdxCueUbrdGOYj3hBE+ZqCeeXqlMHoSUIc6NRqcdleqoSPftsW7
6Wlhrl0zbAMFqI9kSXkL1/wqcaGigpRE3mw0kL49PqG80bd4xUdj25lm+JiwORUnGRqR8MDc1vRc
Snr+YUDik5+j4b0L7JiuRyLiiAcn6+NPKXLmexQ1wbccKB1q9Lo29HOqqcnZmCmW71UPEH5rnSGS
Rys1c/pT9poJGbZW76MyxttuxyS/EdgYOsRjBU1z0fdBe67xUtN0SlV1bVf2yIkxgEcKhJGgxTUB
6Wnp6urG0rLinuQAKTziQ7B8GrpRgWMvC33w4fIi9mKyaTo3qkqy6SD6Sab7eZwbDe4z83+zUAji
cTzjc4oczFmsL/X4NQfmyy8BvYBMgIChFL8B+cIbptpYcvNiQH/YgQfIh5xGGEwalhFD9Lp2MDn1
s031PL4mYjuV9qvrhdfKjddfFYlqfikXARXfdtMJSEcfN8gZs2bWBHJLXYXXq9ZkutOETIj8E7bq
1Knk/4MIOiPOIQW+UDNvmZHZIdrfSU29c6zb0qIzUBom4UyXc2t+6xGo5cj7QlIucdGDRcr994Pd
/3r//7Apff+6t8Tc57krmxgy0b6Pi7fnH7tM61/9d5OJ1rdpuWAy3bWjQ8/he5PJ+sMWzlo/UKlI
xumCA/O/ukx/vP/X/JFCauWotYj5Z5dJE/CNHOoql5JKp5NhOH+nzWR+aPSQYQCHyLCp9xkrsOjy
wX9snMeTy6GvgH6M8NDZIvUf7D3qb4KG0T4Vj1qvJV+Qc5f0T2cdw9LU18W0zwvRNRdZxeTRx96p
SNGxxoVThIKXtw0GO30sWtXGnjXqE7ZpV+u/xqWuPVu1pWdnUo+ADy+mXrb+Ajez39JNdT7pxRzY
nsupttsRtt5cBTJ1jQ1cpn6jAnpQWy0jAWsHvXo6EsJsFOc9Q+uaICXZ9L+pvdba9IdyxaQbxc9G
owbkE17Nj/ORkP6bxUF6oyAynPS47B8FGeTHCUsT00dN7PEVWBGy3DL8/MNzdP39Gj/mknyo+t6v
TIuIkYutFL/wB8hcJHpp8r1Qy6FIQVXOmwzT5TcFrPPxh6fzwkNn8WTCw6IX9rG2HOu56e3Ua0mK
JMFXISLYxHCYb3QI/Kl5RBVJ/151pPTcaIM+3GBQjdg18LP06RZUqN3EjDGrFC7+3FT4jNslbNCA
QArZpPgT2o2WhXRAyEYaql0+S1LPRaEgj0RjSwC1tGp1TyBf2W+6pquzzUIylATUYQ10cboRAG2H
PY7D3yzviJqEpV5ldenrCGjN8ZbqMLuF8DA9NbWKLtOVbtvA8seE8Q69hQOmP5vvKNzoOxZXzDQV
CTcjvGKuqxcGK9lbVRCO7umAEesTZw9CqrR5wvHXZIueXEw2kAUf4jjD2rYZihD9kl4/gUCQ9Za5
TPPm2HjvAfotjrEFNxLXDPKpNzcqzAi1JiDK1vGuZO18E/C0X7shLmNkCOWQbGVliEejHUhpD7Se
rL84HMq3HNL5dBjGerpDnYp5K4fiWq9u3kijrBC0gJEhBelZyi48efCqOaoqpxEzY6QyJE6MxIQp
sOoXIu8zuNvuKs//9QO6ziB/eDdoiUMAXQd6TA9dpev2hydUW0oiytrXEm3OycKZc8OZxao2kSMm
VKMDyV0A9Xu+8NMYpWxrjnmZFyR+jHVabTIRhYf3D/S/PegfwuXe/vUm9H3n0ehhtM/9jxvQ+9/7
vgNpRDcBTTVtfirLWIsIloLvW5AmbKbNymBaYev8D5abf+9BcFttx4IJShMNz6DJPvOvPWgdRDOU
YNzKrMP5e0DXn1uEUATYzPBiGFIZrHf0RX/efzCkz4MISOPTNZvQg7YzNXxxBb5c/tK2mjRc5lkj
tN90ucW6vP1nef9+XRZ2nKYOPXjo5j9fl8NbWQ/IaqN1cMe01yJcJe+wuYzndpy/yQxtZRBnIJjS
xx9+oT9Z3v/s0gBX2XPX+Q6Tjw+XngN8c2PdXA3UTWd5UtWkW7nFsnOTGPGUZDULLxgFMI8IOUtu
eP3GEU1VAzHlN5/k5/f4/SZImv18GGp+qIQfOn+jQPMoZ0IYihCxI6Mgg2iojN2ZgiRESuS0C4yF
zC7EC3LEloItx5DoCZc4aAolJzozEq3DdI4kpf7NL/QnDwZtYwSY7MKM6cwPB5PCxbNFAXwZJT2O
NrmOvX0Y0vn9PHWYokA8It4ajK6ovh9o/1JMsP7DH54MSeWl+I0ExyKxHgx+6FNasyPzqAyvMJoY
Lwjfyxe00DZOvyk+ZTjpPtN7UqQQ1eWDbtOc+vVvsv74/3V1taKUOXqQQfJhW8512dpW614msC9I
OZi6F4P0kV3YGeH+11f6+Zjx/ceX8NcV78BKuFx/gB++J37HqV604DKITMg4tCcOIu/Fby7yZ1/H
cllyHMZdnDU/vN5kEoUELpiXYYB7i5TP6R5elb7t6q67//tfx+E9Ximdhg4e+uevQ6Ko1SE8BKpo
959qEguulJvUvzkU/tnXcVzC8RD2EPq1Tox/vGd9StupzeKrQrhr9BFC2aMua3mblN189ve/jwvY
GGsER1DMqj9fqhwBtQdxihaOc+/QRSFcoLDvp988b3/2FLjM+f6fvfPqkRy32vB/+e61UKLCrSp0
mI7TPfFGmKicAyX9+u9h78KeUper0L62DRiDNXZYpMjDw3PeQBinAS7Uw+XPGfUKndNnCYuVLc9p
UUc3Hfa2Z86yesqsd7UgeqjuLm8dy1slDFAUo3r24vsq0U2q+W4zlvsy7PwNXVKYTVbRP1FEEXiC
Tb1J5E29wtu0JEjuhRMak3Xm9xyZtAAx5LqqTafazoeTXnKnEkXu3XV92V5l0YL+JXLJu9MfUM1p
dZIJrYbSSndt27XVmvxxvpAltNqwMe5M0t8gHZC3GKryE4zx7+jAnWmnHpmQY3J50rGli2ivnQXJ
0inOiOlOhhm87AGehm6hhH56Qi+RbzUj6nJsE1h6dDaN1e5PIQn7em7e+fNoImaoKh8tTC02F77F
tt6hC27Cm69mNNTpjYnPwlm0XWun1s2CvBymsXn43DR9+mSm0QjpGUdQBYFK34sBz4/Tv1b9mPWP
daEo+J4J/IxE5XD57YEKENK+d47ZavcLHkHfHcRsg3am7lTMkX6pS128Pz3mkauDe+PfY65iUB/r
E5g6+y41+U3UlVN0G6apeFd7GE4j4ACpqcx7d9wYAmcw+oXa4+kfcGwfuBbC+OBTILiaq3M21J2f
EFTu3LCfEFBru9sJ/PCZzbZK/19uDo6N6uThFOc6jvoVf+xs2niNwdvkjrzCsnbDVJl0mUGHVRTk
/fGzKLr4i1Z33dPgz2Q0C2aFY9Bi5LBDARf/dXy9HA2NvoJmzen5r9AVf/80Dh0sCMdRievq8kZc
TeEK7Dv2MS5XbRXT6Eny7zgTmbsla5OPmImiF9F1SDNyj0+fJ/jPuzgZE/7k+w9JOBm/86KXZ8Ls
Sz653o54Nvo6FyEHyFttjXERvux8/W5IUuPajSv8dPJsHK+7sbMvKzEhsdl21RcHw+F3bSuTT1bX
o5aSNJiA82RyzZ0TtebVRJnmmn5t/Xx64Y5tHKUbj/Wr44FXXf08px46cBr6HbC48qIr/TZIM++s
h+TrI6mQEWQCCnDlrW/PiMJlgs7SXVEbdEsbLHs+wOJwKDuEmDSV6VScua6P3TvYuCmvEbYq0iXq
Pv9jp9YLiHgb8+ZJH3rUftH867LU/tpSSX6QoIGgc4NBcQI6qcatnRjTpS308QmBN0wU37zCHEnF
U6V6Z1juKrHLsJmxqC3f5ZHm7JZk+K2bU34mZzg6X9QUyOYsS/AGXM23L6n8ZjFIl5YiuPQA1sdt
114MVWy9T+YWQUSXKjeJRIiG4zD7PZZzEGR3ZdvqZ9ZenbTVhndV2oK9BLeCtb7+2r7FJUxr76gA
1NjDG1/qZfglPf17WPkbZ1kuOtc6d0Ed2cV4GgPx4+jrCnRy+Lmz2nM6UdV3lgQhoNUtKsKpLTa2
4fdBZRtXyJqjGzubN1Tx6MITJ63hEeYQTJ3qa6Ryjrd/cx546sx72CWoJ/Sf22+xMCD0+/LOpzJ2
xfYut/4s3DOzfj1pkOA2985LBgCs6nAQrYxa2VbNXQEU9UOiJ6gZx5Xz5pmALqJGTXOfNwOAlMNB
cPqktyXkXTHY7Q9LOmjpYn57Zibqlx5uGQbBwoITC6qGAHE4SKkBSheOvOt1aT7V/dJfhctSRpsU
6uI5mNsKMKVuCh4lVL2pb9iCWLTaKzN+EdKOW6Tmk3IO8A2IHuNJJB+tbpqAX0Cu35gw6j7oYTFc
Tbxcvs2GGV/7lnkbdbmotxpd6XCDfiONXYlrLUVRC6TH9vQWelUtYLnRgtR9VR8hQr+KG1jNzFZo
3kEQQhYWqyTU5XQflU/QZ6j7e7S3i43l+zDRHLrX/G8/z5eYyyAVfvqnrDea+iW8EzhhAGMV0vXw
82TWlCOgON85uA0jh4kW6YKZ9Jkwud4D6kVKZ0MYNjGMitUqNZ89D6n8aLiTJYoy8OjlrQN7zJ7L
9AzqyVBX2p+77WUk9e4lg3F4B6xGGtoC2BYbAJe39nHRnBSlWNBR14n0rT3QizTQZ8e9QBnmsS3H
GF0Eqf3q/ca/rt1meT69tq9yqtWvWeN9E8wlHbPq7xK76265RMqHxpTDA1Lot41mO7sGPuqH3Ek2
2JmiqYQX3372JuPSdSIz31SmBnXs9E9S8z+xPv7qgKAxmqRt2N6hHaA3FIeMnyGgg0cpnQ5LJaTm
e8MWuyxD/NWom7dGNbUepjAsIGmmAQB6lZAA7PYA2XV3bmHIjddA3ks6BC9PT3H9RngZhFBDCwQf
Jl93Dnd0OGpNm2dsgRqVpwo1sD1dkVuznS7Y3u12luX0NxT/PxaXXt3QakioN4RrVxURvFUakGtl
irRMc9d1HuLwkzTNm6KblyfcPegMmwZgKjrJVUR64CXvwbEleEmgPg041qgM/8xpO3oIhIEZCd0Q
LEFevHj+SJCAuoFXyzteLJH/bhkLinnJaDv1Jky1z8Q3A1iK4V75pa1vJp/m8ZB42E4YTvlQoZb1
7fT3eBWU1eqQtwB1VC0p/nP4QfoRwIdj9cgjzRqCNlXcfTHA73l4UdsufOLSR7KymbtmBwteIEMN
IfVXHc19c63ViY9Jl+2NItDCYbhAqMaa6EHpxghns8l+nfmtav+vzweBmZCoILfOq84p8Ltqqoo7
ROaiZQflFewGOnIe30viDRnkWa9RxIDy1CBDofdorUbuL2uRvHz5koVz5qY4Ep499SyDHCZ0sLar
27PNMdt2xvrO0BBA2CADJS8AVg7jf7NlFDfC4Foi7Vg3f2jmlKmZqHlbOPPRXDTSTeZbOUlVVnqb
MCuqqxLtezAxzgDvZkHYBCWAxsrvEgThCgBjEmDg6a9x5Nrwbbp0MMNI/F79KK/H2AIG722He+hN
hBvq42jE8VckpOTT6ZGOLDOIX/r4FE15La0DtRvTlA5z7baaXZrQReHsJmjHZ8KECjyrvUWVEckp
Gs/0Xmzr8By4JOXY+nq3dTvYl2E44StHufgRUEkLD3os88vTkzqSZbw49EFT5NFOsroasISMULTI
/nWJ2X3W2xrZgKWUZR1Ib0D7totho+y7xUcLwk/HHOiiIeefJQis5MyXJO6sJ09ORr8JOALvZPrv
qxDJ6yme0I+9tWJ7AZwpxwYBBPoMn6d28T9jdik/kNvRjYgzsq8ftj1KXUGO+u5honSFunRkx+IW
a/gQFSffRQ8OSWAfNTc/WjIUCirkdHSsWJbrGfGxa8RD0G/1h561HVqldJMvWDNhWdxPd8ZSZ09N
Kpof9APoWgsdm8pNt3htG7hLieSDPWko3CImoH0fyiFD9rHN0IbjTvzRd5imVHKafwinQ72lohNs
BDLJEfuacb4Ekgg+8rZ3xknum0EUP+beghLdUwxNt5VVDO/BNLVodOS8MJCRMMNhDzhomDeLaWY/
3dJEO0+Ohva+WcYKGx3MyGCWk7xcZWklv9QlKjJI6tGxxf40yxu66Zb11bAi9DxGyHm4/S6Ld58k
FggPBjezTYXr9HA9pb7SWZ2s4bIv6VbR+E9j5M/mBsk1dIcNQtqFX/tGvZPeXFXJtgeqmvzoMx0I
ahdxi2xjBIlRZcD7ttxbmadBbvdbr7go8JX2gxRAnrIfQnEfXYiSV7O2Ac0xeJct1Fhxi2RnvCg/
m2Tah4PmTw9+OXoXVohmEJ6Nba+g2qHxu8TnT257C5RcMC5ZuSCME8kmQG5kqtDNlKjqYqG83KEr
lXG59g7qcX0FsGaL7B0UfjvLK4EsFCf0Q5/KHKq/bWfP5ijaYYuMf+LgWlGV+TaUPDyDZnFEs8Np
EtDa2PF1tkrj9FGDhFizZ3Lz0ZFIBN3Z3eQSAwHDFJtCdCiFLN0wtJcGHxcIQQdMvTfjjodqDKB4
k5o97UctHxCyRaDO+NVp1HJDQBFfqwF5/utSB918Edlh+wNRxG65a5IZvxUD1a18k6EV9oS+BoCa
2fZSO+itFJF7fIXFw9yb2ftoQVqdjBbGBZyu2sPU2p9cRHaAJ0cIBdTsaj+sUUhB6QowhxRWOu2R
eoShXrQW4NO4ppQKOnHGQx3cxezvImw32l1caLZ1Y+ZDOmzrKo2+2X3c6/sIUB36FvP0bAH2wzMe
BMO4p+E1xQGEyOxZR2Ga+1HPkhhkaDcC55Tjo1HRmEMavoqLHeAk86eTTTVmFaNv7gqI/u9cgRCu
pZRWczl2l1VkxdZVKPhrNo0PdFPC4/zguDOam+HQxs9oUBk3cCy0dw1a+WXgIkaL0qdXD85VpZX9
cz/4yf3Uh8Ca0X1rAK5SLPrY6x4SDyj5Ygs4LOA9YHMiEbOt7XEa/r5S/wdf+D/1qv7P6IUd3jrt
IXBO/Qv/Ys8bJsY35OZ0G1xfNWn+Ri1Yzl8vdyPZDm/iv5EJ/wDnDO8v8A1kQVjNkkYCbvo3aMH8
i+tUpbq84hD+M94CmztMAqiwk9WQvCtik6Jprk1TEwCnRax5HDNPM/cyMpxdNmn9xR+r8fD3ff8n
EOzwIuSvVfkFMAFwCkiM6msIWtxlldlLbKE8Ivfn3ge66pbViEXDEI+B28t/sJz/8XVymEW9DIjK
OY1A7l2FwFbT/uM1MIG1LVwwYMEEZ4Xgj7wEQmL9dYY4z/b03F6toA/4AgiJqjdDbvJWQ80z1hel
RtwdCMpfQSACKEAP6fn0KKv3zcuMbKpjrqq4Qmpcd4EMByKnMQ28njK/fihdVfc0pdY+mZqGIhGw
+F9hX5CR0y+y9pPhDvvcwPCzsxx3bxtL/vX0Dzqywuxdnf+ywBDHVkl6ZymtuIHfQ13SHBGxCdEZ
6vruWzTQEfgvxqLPKXiisJfEaixc7ouiTKUIOqBB93Ujh2c0uwSKmsiDn3sVHNmrvKAdZQxNj4M+
5OHWkQlSnJVUsNEutVAa8sNn6DoIzcIRuRXjWD1ki2iuY70HtNYaYUyYVVJBZDAkInB+8ZqiRUpf
ZEQgK5/3NgJmZ8rjR/acA6SD30hJGsjLqhyLxs24GFnhBE2hlWjsRDByTDybTy/7sVEoxVK7osvB
c2RVV9KhhbmxR1PBbRxSEsQgnjPXQanu9DCH9fWXnc0OIpo5tDdNJBgOFzzxydeLLHIClKj6PQyt
6CoF0PKjmtP2Cht6DZ8Ww/Z31MvNp9NDHztVtM1590K1ZG+twVOmXaPtG8VoPLVxRXO7d9xLHzi+
ux/d0LgXyOYsGMHQg0AANp6DyG+7y5L6A7mHI6tfoK2qt6+6KrGD22Ht4cyvHjDg2xtktxFs8goR
PmY1Kqp15xXPp2d+ZJeDiUOVltKErpjrh4uuxXQP4ZYS9w2tuJQoN5sBRkm4eReOWPa8TMMfp0c8
spvYr8C8Qedx5firEUMeKE2VRCKI2jbdsI4R2klCbN8+im/btHQ9oEAAgw/nJc0E0ZLIR0A5c/Rd
veRoz1Wat/8vRqHiSgtQXWzriutSjKYx0UYAzliPD0aVJzuvWZr706McCbHIxjoWxuAE6VekY015
2NUFN4tqC14Y8Ew34axVSNhrbytSvpxBn0NgchIUTG0d9NzSqHGyQj6gcMEWQ3aDUR1iIHV6QoeF
2H9GoYGGJoXN03gdtvSpLYpe7xmlw32n0KWLi26GRyVs4NZ8imdI7rnlPeAYdSZgHllKH0lKlzuE
DBkCy+G28ESbN9TVRGBLJJRr0RX7YRnRHmvLcz706jL6d8Xj70maUBFo3etAUdetMrfI3H7iKg8Q
Rdjng4M4j1VuYj0aEBAzr5tumM8s65GTBRKJMiNKHhR01gFU+Diq9nlvQ/61sPLoCpyIeTS9/RKm
XITRsyr68jxcnV9ePsg2ShdLs3K0LiuoC3s8BGiLDoN15hAf2yeUH2ylp6EDtlsd4sgu5OhIzQ4m
3YmusBk1r3ColRfQAIyb1Cq0DV2C/LlFYGav17Z+ZvhjmwXwHQ0wgJO2v0aFVFVvl+iXEUMK3F1c
DX14x2/729yI6jOLemyzgKWgMYYjMcn8KtkoJX5xvhj5dK28n8Ly/ZyEGPe2y28nTG+8CALX6SP4
eq9AXve5XSzbg4e5bmYPJRHSGysb69rC2qdZaL5D3Fjs3j4K5W9EVxTpxFlD/qbM7oYQ84AgMWqU
Bbve3Fd56J6pLb7+TggXIOpCv1gHXutZh4cadmC5RBHuHDSNnadUj/0fQyX7nznN1ovTE3opGx6e
ajp4qJnROAb+Bw7ucCwTkW+myguG3NDVA9w+6mFr4eprbRNjFPe+HEE0xp4cqwAKvdXtBH/Mt0Yj
9X6r2WPydQn5WwL8l7MykN1oaxvhT/3vRB/zZT/JxkWSHmKOif54UXzJZIxIuu7k/bin2AS52gXB
vTX7UVpBkmoNovlljg15rIPKU9imiVqQKZ5DLBRRQKCAB+M1sQtkspJEfMeDo/9tcSneC1Gmn7DM
cuygrvnV/F7Tke+EUdrPcSlI6fvcLztY7qH5JdaWodiZZSJukNWMmCImF9cwh+Nsy7aGIIJmorYg
AQVLYzNY4H+2el7Y3hmo1pF9awChJE/TSRTNdT8ln1I3iSMM98ZOmLfFUH/1ZiO8OvOVX4VuMhOH
qEMTidLx+pbI6rjqXArLVPSy+V0KLevSq/0YmUocF94+lAIp0XxGVoX39+F+SptEbyuUCYJlKvKL
zMkg2oazMiEa51ycuSCOpLmuwdVHKs+h5/W4SrHL3MQnKecBhaS8+0MOAg+fLK/9hxYzDcpL+It0
G9cvwo3R0pIPUs+cf1oxYsjRlKWPDd64Z5Z6BSNT16RaSfSnBFckQAkVGf94oQ+1ZfcVKS6i7WZ+
3dcOFjihlYhLDQqBi6Zo7t0CS2ZZLAxdvY1EUeOuGxFeCqp66bEWSyCbB5NV8g7LaWY8NpOnn2sd
v47P/ErVVeVJSD3OWsVnTKSqDiQvRVWkSr93DbSgDB41Nnap+UvOBr5twPp/vX1vkPzzGoFvCHpg
9bUwgEnw/kRFqK6EdVOkg70t9MS4XPpMO4MdODa/F+wIdSnwpeYqL8LlLuV9VaIgF/OQ1b3FQT13
esSe7Ncs0jtXVsuZC+hI0AYP41NtsnmA0Bg5/O7weUWR4voaDPjYX3a1MD/m/EO0AKYpObPvj42l
mmlseu5xyDGHY5XlAD2t6kjTDfySDOz4oHFa9Q19xX8qn28oOCFnyVZWZAciyAs79Y/t7HHb0bcg
ZVl6Q2KXpLM7cl5uvX0u2zs6KfYiEGnOD821w0nJpZjTeeQdZc+6ta+4V/sAmbB0X/E4PQdDPRZ2
X5TllMaVCo2Hg8UuDe4yJCBJt85ukfFZ9jyYne+nN/yRUegO8p6idUd+vlZXMqLCGI2O8BQ3RnGf
tVl1uehd8V9MxlSIYpScMC+A8Hc4Gei4KWYIbIeJssZVGZvoHqACeaYDeWwyZCWKisJDF7Gow1EI
ZFTAIJAECPqMjxT+lbyJb545uK/f7zzWwMnbqqhM7XY1F9jIFcaOGgiB2OJStIvfoTE8GIl7gxyq
8/ZzRBSiU0yhWgmqrc5RugwzCp4MpmCSn2lseHsf2aOLNjbfXtmilMrjXeelAZrNWAWkydaQ+pQO
EhJ65N10C6rn6IiMZ97vR1bPUrqHMD4BsHOSDr8RPawI60PeMl6uu5eeBud6Kib7qcGXDTqYNM8U
S1dd6ZfbjgoaDDl2HvNb43Mmv3NnVos6U12GCSLRmfkJ5Fh/rVGQflxqY/mJyIrxBGG5QjwkGsZL
ye+7OH3Ojk0bAS5KCXCmvSMoTmcKQ1K8oMFHGn89E0+MVDM/9n2cbuawl2eOwrHxuDbBK3McABqv
9g3i3maYL8w6avXyqoVJuEckMP7QL+GCyYc4Rxo4EhrpiEABBc0PT2INGm5HFEm0lzqx1g17DFmx
FxsjtP1d5/PplTw6EtUzwgl6jxSlDzcQjsR66OYTqbIeY8oAMGkDmqB8B0pFvrl0AQVMMVW4nmk0
rPdqBJTUiGzOdKPbDx29yI8aZoS36Aye69KoyLR643BxKT0GZCxRBF0FexGb2AOGjNSaY/YAr+/J
c7UZshsaXUHsgpkasU2+lCP52enlPBIzKXFR44JXxwZdJ95tP0m8iomZKNF7H1gDzJ3zeHk8PcqR
7Yg0CleW4m3RqlmdekoavqeBfwo8FykHT1s+oxWABb0R/+pC+fYATf2CYEkBAUendQ2jweVDH01i
phPhVStQpsJoB1udOdXlrqaacmabHFtCOi2qk0jLi3be4Y7Ml0VTTzoRZG0zvcegNr+QOAqdOdHH
RnGV0gaRnmra+nIj2cprs2TfIx7xAeL+gN7O2bfB0UFA0wCho32HhvjhVEC7VF0T8g6t0Bi4hdEh
7loMq3and8OxI0zVn+rqC8hsfdOUldUAMPMEsvWud2Enjn09NcgmVEZ6jqN9dEKKmqxkA9Wdczgh
TIzQOmpJ6LFkxbk7mvybdNDEmXKxuhrXx5csntoO3ThqrKto27YexsYDO2BKqgTHeey5vc6t9qO1
LFeyqcTW1eqbVseqZ66csxWSI6OTvZEecG8RP1ZzjBJjhuQNZHEsMv2jsiv8lgz4w5U+6uBv/XIe
aQ9wKhXq4eGscgQdzyCs+wTp4oiraqclIzauQ34xWeM5avHrkMhQtN8NRfwl/qpN9EdaLxszXhKx
ULHWxibeSEt5GzSN+Ia1kdsHoyqWg0BRLcP96UkeGVnJ2HDOuAhZ09V5bptlcfBDtgJgkuFFxiP4
CcMi7wNvUC8OYmTPdmR7yXaZTbo4p8d+fTRAEJOA0aahi/6KiIEjHaonvC6CPjGTjXqYXfZZGmH6
Ag7o9FCvj4aPMLSNJig5LDr+q7OOY0QrKpuSFgKK7kOGEvtV2I9vv18UPB5AAAVdzvw6bFFkrVP0
OC3eTJG/EbPA9sYHy/nmuSisn2ItEldo0B5uFq+KZwIz6biZa/2l0xR4KPeF/ua4pZCERBHFx1HX
2OEowqkKy6g91LiKRQe9hY2zP7foU3b2cnV6QupCPIwoDAW4m3YN3IJXZSN8o2QhqZMHZtElz3C2
vfdz3A/fItnpj8ToeDfGpvHmi4xBaUpymdGoITgfzi+M8J2L2okiZxRGXxV4PyhHLfp+empH9h1p
BpAUCLVIg7irb2XMGq5NJuJnNs9o8KCzvaUpNL99RzAKIZnnE2++9Sg18DYt7RkFV+Rwx2cDwlDk
y5lRjhxXJa7E00x1VunNHK4YQEktznrAZrRNlh1lywUajbfgh2y9kf2pHjJEQx6CIOwp3iHucDiW
pGs2zxTKUGutGnBmOBLtlCocaswkllcTN8CXRELz6NBy30ppFj95qvp+0Ex2e5HjVr5zWqEcI0sM
d8Vsv7lOrKI1piKAAYic3jpsOtVsT+TLgSWH4tKuXJ1fkpyLWq8zSUbhPFDwoV3KYh6uQoQ7VYIq
MwBdN3I+Qc8vr8ExttUm1zEp5YJMznziI9sVhwcqpWpQroXVJ5693o9ggVtBHTn6rcytZR+LdD7T
UDk2CsmQKijwakOo+XBaJgoow5I4FpaAhfWBn/EZsv+5k3ekGK0CMcbk9LapYa3J9xNbZha96mJU
tX1bpJ5z5Sxl/dS1fYlxexKVnwrw4Zu2KKvbTI/yn1isDtkWz5/uVuACeybKHTk+ijdHqkntiRLv
assgISzwTXb5mDwu39uFm1xUTtM/2f1inrnUjwzF5UPtToUDnzT6cIHt3I301gTbkRZ9fF+kWBqi
89ntsVo9J6RwbCjKUEBRFNfrFfYcy8zy7xYcQmHNd88psY5BoXY7jjmEsNPB9MhxECpPV8LeeASt
iRSD1OYQIAzVDSNsL5sF+d9Yc3EhGx1t383JuQbtkX1Kz5RCKzFPPQtXX8xHT5LkpbCpyodil1ZJ
cunoc/vGNJM1QzVPaX1TvKDOqmb9Z+6HYFzvtowyDzSCmj52tjrK/M9prr0VQ4iaCAJKCo1j86nw
sT0cyplp+3VZTsObrt1Gy/QUs0JUu09/ppWmAJubYZRjBGkWnBcwOIfDlH234NbOMF4WBaIQF9mQ
BlaSb5fJ2gytu1tweZmyGuXV1Nhj7PxBabBB+d0WZvXm1VVaVdC96ABxrtYVFDOfx0V3ad7iGFFh
JGNjPjf23kXlW/0bg6fCyLG+VFFAZTiEz8NpS6fssyIBkeEVdXrtO3H3rjPzc6389aZUo9BroNH6
0mFfy/ZYCFMXCUc/aDpn+mpgWvapscvPpz/hkUHYkg7CmSRkgp15OJW5GWIlcGC/sEG2MRo+qA8m
b01bKNUpURREJzDW4jyvrjenln05oTcQZPC+dw557TuBjNW5z2Kv44YaBxACRB3QFjxx1Gz/OGFI
BhZQVHGYhZMmflQgGr+OhZt/XZzKxVbEdOvfvfJGypRLkiWN5htizyl9MZmiHhsDX0O41ijKNmiU
0xIBTzSooeTudT5OuvucFWinbxBudtuLJCy0q2ip6gjp+RoOmzG6E1RM+kFX5MDlTVmmBe35abR+
zHmmLTv857RL1NUsY6stszVsSo5KR3FMN7vdVLTusMUDqrmJhWzqoHHi/gs6OeR5RT7hQ17LscYC
dcGkKceE+Vs3IDYW4GGFb+yEUaTYl3qeRTGigvMcXXohLsSbiqQ0up/8IbvLZ3f+iNFiheKuqMQ9
Mut2t4eZlpr7vGiXOjD0eWmRbcqbMIC/V3yq+iF+8uaknjc+RtO3RdtYzzq2TN9qadqwMfIGl8UO
7a/iYiJ1CXeemPpbEoLsq/T6ZtpH8WTDUfBhxdw2aUjcixOzSq/SLM7NTUtmF6Fnl9r13vImH88Z
W7mHakZdFtt+ckpPGeXG44UJ3Cr6EDfKJ7N1auRWI3/M3xUTjfxt2eM8TuweKjy+Na2tUbtu5Lda
r42P1iybcZPFoQ9PoSz9Z1tMTncVd9XyI7YcIHedP+GnSXhrHwUaRA/22NZ5gKVP8Zm0JckCmbZV
uEEd3kb+GgVv5JOTVupB5OXNralZ9kezKjuYP8LJPur8mX3ej84lNBWzBSvuNcN+wVSt3UIbJfyn
oJrzbV8sGYnBAgwbIXEpO8xW6wZBw8Z0vodpaX4cw6StLqMBCboAr/tpJkcWzU9UDeLwFmTVkm0K
S7OeIz3Tp51ZpOEnF8X48NJFCva9Ow7eA3KY1lU6D/5VEtvttT6P7cYCNhdIsNhfZy10PlLC75wA
CCrGOxoMsnaDxkdKCwjCR4PvLDrZAbA0DAA6Khs/9clFxb8u8I/dJJ6XaATBVvvO3ZZ9zvTQr3Fg
bvJh4wH5mDa+H8v3rRgRJm8wqamDzm1wzMELI5oD5NQpj/H6zXQUXUf349hVuK0u/Ps/xnHKi4sl
9Kab0sdzPGh6P73M9RoRc7ZeyudOW0i/pddMP/spd7/LHmTPLp30sN1bdRp/mig2lDCTnOoBOUfb
2+Z61VpoRE9eWKJuXtsIyab1EO9oVyw3rZcU0z04Cudb3CYi30q/FM2+z5y+38GABuFgN6Xn3GDt
kMp70bWW9SxwBIo3jjdHHIYm71Fbx4XeQhjQl22goQdQPoKT6L7EqkV1AXUiMcHjiDH8klqdXtwm
SyzHDXpE2ecWCjBi+1Mjlk0Jg+kT2qhNleNAXqXe12bRlr3h40V/UzoFxsY1yENYUfSyvrTxElds
jhk9bKhSI1rfooYs1U1j+3nAM+F9ZAh8BnzW4qq0Ug+l7K7zkutaoKm67bFJdYKizm0Z6DbpM3id
fCL5guwht14bYRVilm0PiGKBtHUjYsTjL9NkKG+qpsWLDml1Pt6S218hfepPxP/ua90XdEs8qxGX
4PtqBV+q6y/1OHf+3tKcxt9ZONAggi7brN1Evuzv0zkVYjPpXRkFQEf5PwXEjo8xyjgP4+wkfQBf
axmCiBZ1Tt0bh4lAk634nfvVPrLd/JuR2NFDFjYC5/kCUthFOOWsSaSnJfw8ngc5Sv+xPW2bxasw
GPcR2dz1UWLd9+jTm3h9LOjZ+rOJ7viSzKj294B9o8vC7fI52k19PZhX1EXzKN0sfimf5zYcHyNj
yCCdxK1nf2zsUSmQi974GqKv8xXF9H68HgwxWd8cpySjuhpDi1Zn7fnh7cz5lRsEHcwvmjGOJfE/
wYIRxGcmdt0ssgfqaezNxmq7ZI/5h8NiG14RBo2fd4+JG6cdIIts8C7MjtcNnju+n+2kkc53rb/g
YSJG0tFNZejNtMNawr7TkrB+ThYXlz2AcK64duJh/AWECz6ynljyKZth1lefhjJv4qumb+0Pyq28
bp3rQbeK33PU1nMQxmK5zvDCWILSD6FrqEaTueNoYBYw8J5Hjt/QeM/6oe4lm9EysmsLdeJp05Sm
dyV6TTe2pd7oX+VCFMD2d/a+azHIfeY3IT5sh2YfRGIyp31HsXshytgge5NqnL8hhoLgg6j6IpCW
l9u7iANFLTzPk3azLDW6SX2RY1cJ9Nh9v0Cge3QHiJ1bIPnhtaXpGZZOusdvt6MUsh6KWfX3RA7V
cOGBxSm3jt3w9liKIblKcD+M91ZTdBRn7XikNOsvKBJPml9MgZzC7KKRWfLYG4lcdlxhLZrNHj7Z
I3IYT56eFREf0pkQK6X/JLZGRMjY2YS8x3pKDMyAs6HG9LeyNM6+7y7jxtYN7R3UPtzA66UZ8kss
U/xHaMhIQOtZ09wN+dTi+OPa8caOl3Cng4P38dfonAc2+jJhJ8kF/8NAxzLc2FTxR2SyQfndYhNe
hfdLaMgJKugQur/tXGjafphqT783gMWmCAz2nOMpdzDoYFu7/b0+2Amxw2CX3pqOkgurFyd23qPH
QexLHGeY93ES2s7nzszQH7UHbcD7ps3BVCXdItJbLTdn473vS2FeaFkYm1c8earhKkaout4bcSLF
HkeNSG40P5ff4FjL4X5OB+t9vYRhOGPBEtveZfViUxm+WFbyIsa+clBOlqcT4vUzlxSSJxpYAZr4
PNfWbS8ryzrC+QyPYZbVLjbxPM7sKLt3HRk9nB5KvY7+rIa+DIVUHI8WgP90Hg6zVc0ywI1Yix24
oEy5lxxn67QWe93u/WmPLeZwjQuKedXV87LruqHcnR7/6FQBLVDgU0DINYZAZnqcxQWeKh5eU/um
F9aHJrSmrZe3zRmgwKtnBqtKN54nvcNNS0J7ONU4Kytz9oAlVyENYKwb5oum7qcztbojE0LlwdYh
/9BeAex2OIrm6GXoSm4us8MyKXXJvobB7gFNIdNyeu2OfDvwnKpeAIyJbsOq8LLoXr70C/DdPLN1
ytkW4Fjst+bAix3rjkCW7NOljm+H1K2vpQi9H6fHP7agL80cIA9ItKzHb1LNLUnhgJTjg3IxzyFk
c0Eb9fQoRxaUz0a7iMK2giCt3vf1UMDo9qUdaC0ettD5u52NTFowy/CcAeXrCVGcp5lBBwIo1asn
YtvbQ9aWHtCOBNOdha7ArdMJ79fpCR0fBV4DNxvVpReVlT8eiHhSk8FQcQqwikKhY/RQZZ/S/syy
va6LoNEEutsGFQMJlyL64UZMEg/0QcQwWpfLeyUyu0tFMW5AQCsvsg7D8ambBjKNcbpzCkPbYY6U
aYEAbHLldeNIoRlbHFfzyzPNkHUHBnNNVWUHFEEzjhOyOiLF3GB1TwId2Iujf4tGoe11LuD9gOXZ
1oOjhmT1EJ8DghxbdoQYKa0pAQ0iwOF6hP48VFypKtIZ5aYrKpL4KbZ2b/+4tCAMWnL0+p11I2vK
BtkTOe1gKAtv3xXyk65P5xoWr0sMcFMpzMChhnXEdA6nwoWWeJHD/QB+3w/i3hg+l1WHF06XuY8V
Psh/T+p/DPj/UySOEwz4PiYfP3QoVv/GPxR49y+lXgs6gW4JdVWF8PyHAm/+BeoTJ3iaDvBt6Tr/
W7ff/osaL10GuB1UYKBM/YsCb/3FrU9DhGhOBZGSvfUWDjzFfnbBn1e76j+/BDLFhOSe54f/WYhK
83nClRA9hygD3XiNgox4MGuBXlnw/+ydyXLcSJauX6Wt9kjDPJjdexcAIoLzLFHUBiaKEgbH4HDH
/PT3Q6jaKpVW3WW1r1xlJiUGIwjAz/lHmtLUlcIkSoh83XbUcwvTKcwgncRmvGmlWHZV5drqS09K
iEraiByzImGdt9U1BuXqzZmjqbgqFqfgEcGwDoxcM+UdKMbyw8uhr+rySo1dlpPbX1nuCWFi9hZ4
MnsA9BANLXLCIqTPW3v6KGyr+RiITv0qGmEFhIBqlZ+oltueASL6NS0VQHMiWiGn1A9lMCT1MpeP
Tu8MDxmdHTy0SA/eY8FU3iV8E5pftn6mDbwapLq2oyH3rqqVSS+u4So8yiE9aX0ih2WWlxxjHJn1
GhG/Mok2pwS9G6IsnVyV58elMXPWBrOPzPvWXammJV6+z48ia4sFFJllI/ED1UZVDDeIhZKHCg/9
eyLHN9pV5tAs/URTojfL2K9QgcY8H5Q+SH8zC5m2AevTweuU9OcYw+K+Fi6VR7HzOpJ8/RxUXa5f
JgHqvF2WnVfo8N02y2UZr1sSDczxcQp0UWdJD11aRXfjbPp6frLpImOXIum320txpsXTIFrl6GJ3
e9r8yqbxauJNgTEJ3SqW/wnre5ToscstbAoqCo40x+jx4Fu0s2Gf7R15LWlgG67LsRZfERl11bhr
jvvwYV4Li36YpVjpnYtI43vOa+4X4oQZKmP2J6t96vreEbek5mpxCuqJygSnrpSRgq5tBYaikVWL
ijoSQizwTA8XEsbOy20IQT0IrZplkHRzH5UXq2ePl7odF00LTRZtNG115ZSqyrPngwvHHhxJFQBD
xUdnOlf2WpgdaVAzqxiFce0LdaqE/CyWGB7yiRb61HK45uJNBG6qjTrQpyHfwgdqWRYr1UBUduzv
ne/8hqr78lwEH51L4YVTLl8CahjZYjEe7dftuUTePxfKAyPRklj6I5FMYaj7GU3ZtNqnxRuQMLlV
6bC/1SGL3uzROfcVmrIXaVi2Oow7Zxr762ixKT9eQwSneWxluVSPVqSCp8iSc3mxTCaa7/7XajIp
U1mfDFWZzck+bzIs12w14rzh0HXDtpNF9VSP4H77MuStgZ6ruDxvTCa6YWI8nfNaVQ1uWHyBUGHp
Ws8L2HBexoaNXpsy9s67WjlERlAmw69V7rzWeecVr+jJrk26X6vfeQ3s84KNkED5KHH2PXGcBCsj
SkF1Z+17pNFbs5uglA8f8RqzaNbnpdPttHFdnFfR+byWlmJfUfvzukq7pPlon5dY0yhWmrlz4j0Q
V++LbgBe9zzu2290XoTH81KM/ah4zBdHnHhVlmZ9XqDH8zLtnhdrf3Sn4mju+3ZwXr2FgF9Mq3lf
yYmolO/eeVEvs31x3cyoEolRGdFVeF7rMe1Nj/6+6xd0Y/kAS9z44Ai6UHvBIdBAHsDIHpozZBB0
Yf6p2nEEjUJdHMKmYeWaS20tx/4MOyhR1j8YQwEjxI5LLGeIotvRCv8MXPRWFl4SpAWcMe/IRnYG
OVD/AXhMZ/BjWJd+TDJdUH7UnQESIq0BHNifzSv4LyAU7pDmZ2C09bXaQRaSy8BbzK3Jiu5VRP38
7J8xmZUeqB+M5iA1paMtEefVDuAUq3snz6iOf0Z4IDPGLV124MdfQg4DezTBxENif8NTccaJIE9J
88QxnbGkDCBJ6owqcZKBMAmeeQ/tGXdytpYbKrd3PMqtI4vS0GHhOeGO66PyZG4coBcyt0pyaY/h
/WpwJ/dxXZNgF1Oyk4fx5uto6BIZmYu3pIFw+BUoLNrysDv5OOlCf45eZZUvMqaokmMysI2lja2B
2qS4Qny0TEk/R00dk0NbgPsZvv9YVlE5OEfXr3E9CtPbwrjWlfmqDNRRV/5alV3s24ONtSsKqXYl
mdH6sE1FoAUkv26vJFwBniR8UhRutKqvD+6ANggHomN9tNrcFKgFFcwx4Msw4vMXZTYcyXZVZHAY
bXYtxUZi2tyQv5m2Qji3vd0WYo01/VLTweh9Ymj7UjnjpzlyR7Ky0XXBjtT9A7cA7xWRNJBlpGgT
b4hTJ6+O5MrXzebaAPelWYUpsqFCbI+cHK+JCNybXD3ctOInBWNBeMm1Ibe4YbAXsVzqaf8hV0Uq
DTh72yZI1erPgdCrjqexGPMXo/AMeWeWg9u/V9qs+HTtrmu6dG9nNd3DsClBJfQYEqSQoiOqzKMs
hpyaiVAuTaIraZiprnhMJwQ6gKvVM/p+PAeZAhNn+CVtzazXB8GHJ+KmM8qchMnByhJvigpxELiq
v/Hn1s/Ub0ZPa2VsXCP1sr7M9L3e0c8bmqDSff/F27O/4nZZAudqm+2wizc1Rz8NXW15KsTY3uG2
KZ+j1R0ebNK4wrjNo+01GjL3Kz/q9FYZarsFKe5AYlVJ4ahfqBeHCrM8zh1Wg2PjcjzSJonxer/E
KPVuWQL5qQs6bOIlLBGQFBEtAbFmSWWUcYinw1FLcFhMFppbHOZm2W4yvVNQVtvkF5yopOFv/kSN
fdnnzanwMWCQmj/jfRRCPRneMo/0E5ndTQQVBJwUet1nQsTU3ZRnNpEfgJVPYSX1x6y19yQE9FBq
QVvlhzVEXBH7GYLRZCiM7FQjkh2SiejB00aBanDJouWN/EakRU784jXt0ST865NHl+yVoQjFSG09
y49hKzwI0WJRX5jQYLraqHC+84BdOIpdJOQoqcSwAiNn6r4IJOW/IMf9knCd1E1sRdR7JlxNM2l3
GYHKM5vOzepIm4EzlOZ3v6d+FbZoVlGsvMjIY+Azs4qb3m9foPud9npp8mpvSAqZedq2G0gx85Wv
T1ERrgaL1OS/mZaAQVudzm9vCm5QSbydqnjYGySVxc1gufKwmcIiJzzCv5/qAP4shsCc3kboIKpZ
rZ5v2xQrD73NB+E1GWA0kOrYjOmE42FIxmAzPtQYksxcuTuxh3jCr4nZw6mSNi0xhDEJ0eGn/fXn
g14yfJNx7fSDiR+0zeA/ZIYllhOjH514zsGrecY5vUXU2rw0RwEuiuceXiMd7MWh9a1ahEJa2xi3
Y9Ap62QwDZYnP9qYzSU8uU7zYjQvFqIxdNrpJjx0tcrCY9MY89OcuZqycrzfVF2F0He+juE/nJoy
4tH70fGWzOd50WTLQcO2n4lx3+oozly3jE6wwuwRBD9t5tOuOQtelHYjSlXpgr3JunoyEhJt5aMx
kLfK25vVa9TX+L9PZRTm+rhuhuKJXAbkjkexP8tyuaXNV9bk37UZA+AquOWHmDN7844i7KNHIijD
+1y1XCNlMS5PGdVXHQOVtJa4BQY1Y5MxEu7bRnDKk910Vcbjv2Fa6N1mSt1GR+Mxn+T6OczrUl63
gp7uQ1PMtCn7NBevcQXb/q1sh5XLY63J1ynDjB5pzB4+be3WWEFMqvzvcM5/VvC/7cqV/3kFfyl+
/NfpW/P++xK+/51/1Oexgbu7lolTE1cKX/pHfR4AEwFMgCV8DZvMP9Zw5w98hqCn2Lj2rXsXJ/29
wpU+PhND/m50hC6ClfX+nTWchNvf1vDd+QmkCJyHYNYhEuOv1SKSPWKFAXykoIwd0IAy/Nqyij86
iELKuPeqrJX3rsVM/UJkvc4SEuujF7bU+WOTNcdobobV1SZD6ro5q+pXZzWBDA1ZRZe17pxXKHrb
PDm96aZRUW5P2CBYsE242eKqV0Zg3PRYd6uLeR3LTyMw9FdlzeF02rhmh6OnMt3flkZhIiZo6rxP
lBeGQ0w386MviLmlnrgPv0Zl2LU8YXP4+DKQDtsaPmSLUIGNAE23nBv24AahA4AmrvYYsYN78CPu
kyRUhnKSdZyQ6K1hVGdwNzC5R74lB6PsHRNCqwd1DTsz+663Ggf8bAvSTLfKpQAwb60uSyuHamda
2Qm8BF5b29hf+4YCeH+AhyVRFO2MJ/TUJwZ5LjIZpqlCxCuW6UWadP4MPHhRMfWMQ3E3Tm5EFnXE
VKc8xRzTWP2yptbQG9Wl4xbrwTB3YtcZouZVVEMAQtu4/SuIAuEUVtQb5cFflnZKpKIV8LBJu25T
xyEKN6bsM7grDR6RlCxJyHRzzszlYg0q6k3WGYFrkodKLBdGjQQpyUjOTCZ3sz88q3Bz9GnMVGlO
XtsS907HlInqojKTVc4A314t7BkakpDZpBcjIrdwMbaXAfO0aX3W7H6cP1IQmEejjRguLIWUJVb+
hKRhDsb6pqb0aDgGGdFkyYhSrTlQHLE8TaWZX8F2WzUCBQZfBpJoCw+6IwI1EZVV7O1Ys53/wqj/
81D7G3TM//ZUuynf12+/FYLuf/7XE832/rD2cuO9NmQ3yuyPpl8PtAiAEFU/SfjUryOM9/7xPHOc
P6DmEEHyPCNaaAcc//txFv0BpEjNmXeuN+Kr/87j7C/IMxGN2P5I7iIWBkUs//Y7pqhXB0xJMWcv
U9PH0QCBcAhbo3wIrFw9B8pf/gU/uUPZfwIxKTViMkAXiyj/7KPcv/4nssTTrSd8eunZTeoqVZZr
pNo23qdWZcc//QYefn3PP8d52t5f3hy0BKXL0FjYT1wiN/7KS2DoqStCp0ocbaudW4eaRrDCfGa8
MpyVFg9QDDKv8G5h28ujxaxArrgXhaqtY6P8DREyGbXU9VlJZlX5xeoPTpgEjOIfjnb3YdbY8gu/
7czgpvYdeRcYYESZMUOzUAginschhAupwwW1qDH6tXNDvHLdXxZ1NLMikvcQHTqjsbrvi0U90tEj
tic/+cHGE5+1d+n6i5YehpyyJgt1F4JzhsraDdcRvgPxwl0WjI1+6Hy/tA+DIVdxW8l8+T7KUl+r
cpPBt6ZaOpd+0zx4yL0yu5VrUH6vWfPKhKWCI8izoYKXNAuizfV5NuSaIJEtIqT5vq7M7LbbFgEp
UbICEnE4DHyWqZ8pbwdDrbULb7wm4DgwtFPPqVUYPgUV20L+zsV+eX/P88mq31qjGJxEzUZT9dfL
OgLNkprloNeNsrWxrik6WYAvvKULoT1cYW3M0LkNWUe1XpW5m3PYrLB1l1PdNQKr6gAbVlZpP8pu
BtOu5v7Wy422fSFMeZ2RnnUe22Jc9eZkfoa+ZX9NpO0suk6CMsN8ewhnKtQ5tEyvMxSKSoMjDJel
Qb7xUXcABc5BmFpt7lXVGIUM7oeBLG70MUbTB3UqMQcRq89h0LBuNhh0JAXUhRdsD8FAXxsx4EPl
BM39Ngaj+UTccd+85pSYb/qwSvD6VG7EPHzbU1l7DkL0HesjbwBfPupEPWLhE42rFbpAAn/QvvV7
EXcU2xYQ+1PgjLp5aErDvc8Gz9BH7CNTk5J8oV6pLuEi6ie9Nkep7M5I+T2CfDk4HQlCLfFJp35Z
E9O0DX7VXExCrWGyWEGWH+egUd83dsftgCypYqYwpZN/prylUyhalW1OU7xOw5jfG4tZEo5oZw2C
MT7rLrVbKgtRjIXYIMYuCtg0ccp1sWvkYXTKIq+8cGa9NanZ5xMR5E3o3Adi0vw2KcYQaeuXo/Mx
W4i6rmYNsHZn+dQf3CCT7evrcp0KZ4qluRpBYhJVvzxXzqD1RYbTkT9aLw41iNwVdBDu2nRquYvZ
9w4MjZmdkl0kzItqlTC0Jco0+cPsaldceN245tfaD9CJaNtS75q0WEB0r1yQ6UjXvJI4NzNqtLGy
5tuVAtIcxoNWUBpWHIJXj9MxWwaDyO0OrtxPBjE10wmPX5CnQ1ZI66S1yXgzjLJdYqdY5YW9amKt
Vl+KJs1Kb4VTsQvW7lEayK1Mr9fi2Eyjmcyg4KQ7WUTHUEnbLk0sQfXx0xmDiB6I2I30BXz6/CKs
3M5vM27k8OT19mg954vL5Xsw6tqtPnddtvgXzrDIpUgcFwli9ba0BhgXu6Y1Dfj0Wzy/5rIZAPK6
8ox0dAF1YtMv0fs6lKHLm7YivOzSsBGontScFR+t4/pbggCJNDDws75MaD/P7xBz1U6KgQa2x6rB
YD1fGsR8Exl6LYjKYBjcZm86TM3oTcAJrdekwirH5Zmrcg7StfAK99NsMM0uoHc1JXaxu0Q8rN/I
w5KNOCkZudX2tu6M6lNWWFuYtka4rN3XogWTt98sWroirsu54m4mRbyRJUKjGGrd7nx0l1s4zh95
37a6DxnWdiv3+9R7WekAm6+T4c4ftHvppv90PpL+Mx/9bScr/+el7/TtvWv/PB7tf/zXdGS5fyAB
IUV8z01GeLh3aP6ajsI/4E3Z9NjZWN2QizA3/T13nGxxCyUE9lIME3C1/5iODOcPgnNcbP8huX4Y
XPHW/b//81tAkv7Lf/95hvjLtOKQnMrquNOusFOIfxjQ/jytuHUY9BpdeKH66tHtiPuXJYjzom3n
XyQx/P5KITMKDBqxfeS5oQAgrvX3VxokusJmxUhtSZJX+hax/LShiisydfjTR/9P5qLf99e/vxI7
MkkWfFDMkr+/UlhC6iygd3bRZ6lduexMCwPA//4i/+Tt7EHjmDMoyiPW6i9SptwLVa/Y+Lwy6C9I
B8nv9cqKGBLx9q98XQSZ8BP/Y6bkHTG6YmTe9dZYm1nzf39HmSPBpb09ohVDPovN0Ge3ET4XgTq1
DmUKLh3Bmm/aP9T55IzXkRvSVdKXGwfKmPlNm2wTTcipbHPdx2E+9HWChhhJeySGbnuOxtJ0DhTD
Ibepupaa25y0+HsxO7Y6DXT/foe9ifID2CmIvNEF3WtEjxwpPfPSWnBiM1+0897/WbYb1hCNAXM6
Ot3k/Sy3cj/PsBZVj2vT88JWaVgfrrGU0IpMSAI58oyEWcg6Cq+yirMrITxdzXcmOfHs/xPf2wE3
gwqwGo5nhaj6e0A8Xb2fztCVi4hq2HYRrG+LNqcvhd7LnaIqAwRV9VSx+rfEx8VD4DRXU+H18zEL
TP2jFXOTHWpzWd8nSnFel7lpfqKB9W77Tswlwv5ifFqWcKuOguNn4o27hUH5Uul9CZvOlXTadAYn
ah98ytxGfGJUocaldDML7fcI1IhBiOC4L2FV1bbJ8NgMX5oQmSZCaj7pNhTyKyLD9slWOSUk9jBX
N41hhSKZ3QDH9QAj9EWxQ7+3uizfuWvGb8UaeVVcbfRaJVlnS+pZHFt/CyxwiGSz+M1QiVtCLeVQ
dEjJVwHCMfTz257V450axjCdbGwUb4DMzp3taEBIlU8VHyYlJLHdT+J1sUP6yB2x3FN4VFCDNQ7i
uR2V3SekwLufrWkxjNga1/69jKLhdcnq+XMvjCyMS38tv0O16GdNgmR9tNdhvlWC0pp4WfzajMWW
LzdhtPh5ak11oykCWcwf5jxX3ydE6hVcK8b02JxUDmdq9yNHdUuhDijPJE4Zm8JVX3YtKumhNG5q
u87MRJSttCgUGzJymRuvfRxMUvGTelNOlo5qtYPY6nKqbMJta7bHZUOW2jbW9FXMQfEOB58HT6Eq
8y+jjzwc28RODAHxhEWyGgik4n6k0ZX/b3fbYeoFBPc0UGZH84glv+ue4hjI0GD8QtBqN8Z2MEMW
dBTdJBiS6g1GYukLrr+OmjuzMsSdsZm7rnPwwe/rZWueWicsbjKoZhv7h0cjjhOiTScCUqxfp6pE
HlATOeGQtOiJGki95i6recX6gNlTfliFNkkhU6ie43Y0ZspykEZ8UqBdnwSP/ShVpl98jG49o7/S
RfBGe43/aCt2zKSrA4YjfhgBmaQi9Whi4bKvcZOiWhyEJeShXkyuf1MiE2Kud/AvRW7jvWliP76H
2m8eVqbpLl07yXUT6dzA51KZAWxB5DQ2VH1WqHjrlukLNEw3gO2Ymp1wXJ+cyv4C2ctvSwzjfAeh
vP4Ip5IraeyRUSQkZRHgGoksPMBTtWMKfQK0jb1jpPk9W9zPikfmV5URvBN7ozP3KQ8c1VxGftZ+
K6nmNmLtOxlXVL6q6ggzheTGyZwW71ohK3I35apckEpnve2afuBtusZ8z99rPu1l4rA5ZsVkyjON
cp88L5yfm8WlslBmRHtV52t2vZK9ii7uqNCHsl7BTjevrg82qsEnSmI6cUQRsyWhJIfaV7UtUhfi
NwAMdOcMSxRlnEfHKz2ZtCsqyNOkPbq+p8p25tiHgr5GfDW/WYiAlsRqSn4mIE82bCkHm4dZ3YkH
L7MM98I20fBGpTRDWOgl34dt1VzhTDFZCzpLybSEZqCPA/aKkG+ez0GGcsjpL9cxVM5hsoIW1HZe
zCi21t57UFNDxUW2qfK7y9VaQjrTb5PWRVg3aSVGZ0rgccYmLsaoeKslmTBXdGDnP0ii8TAZeNX0
4NZNNaV5RWhREprD8jz6LpQIcvJ+PezOc/dCUJbN8rB0UQn1R4VwIqxJf8/ocChI7R6dJnVqycNX
w71cRG1us7HPbdmnuArd19Ztc9xnQTClRWmYP8as61lAwE8a4Eg2g3AtaDYI7IblexucC2Oz+0vh
tiEWAMsvbiZVkIXpZO71ynr0Yoo6ejd6T321wgW3oWvoXKezGvJbrwn13eCwNhKEDXF66MKyd0iV
KkrYYFWXn4xAmu9zVy5PrjWrJuF0N8SJVo7ygWKmskvc1VbfpZit17yYgE2H2cgqgNW+quIex5ug
5iDo302ebYd6DJ02paire2/xRD12ynQgfZT1wLEQ3GmpTAwAi320jYBMWb7/Ch9eTMSh+QPtUCKc
URvM7MFxxt6S8wLeXsMWtPol003xFNFavh4VssEPgZDDTyxZ+1YaKHvj2A14frFWSHVllIS6J7lP
IiCo8O6PUfZAqe1gFepy4OJ77/k0BiyPBPHHkxNsF4Fd+mXc5AriP9Le/WK1JXQuzlncTRZ3JAnz
/TMetuBb2fc6wEM3zbfS9aG4DNcePHJVquaSs1efGniKFq9Ntb1ybVrfOugvAxzG4gCpxlUMJ8ea
uJzMtqklLV3V8LatIhfpupY8AUoFXIDrxl3uA3dwmxuCXTfOFHvFByr7qH/zuPjEMdi6+pHS2PBn
YYJ30dQEv7ly9+VJNOXlV3vY74/KdUYfyjlXQRL4TvuKbrj86le64MGOOvjClbl3LJ0m0ylUAnqh
haTqGq3ZxOlAlov/ifAW2t/MNhhRw8PPI1lTyyiPATb3JiYPlvc1M01GMUImdbNSmUWktYHzlicR
GCSfKTERgzhMwxYVVpyjDXhs8feIR5TJ9XStrb7HxtjnnvtoB/2MS82mPi5BuKLB5b28Xgkb9Pr3
CRd6bWxUuIShsjilt3pC6zAVJUId0w7FdTvR0Hyp8J5i6ww6yzkMczk9VLltd6eRdCQDyAvlQrzM
gQF90ucbHa5BoF5kydwJAQnRBNmB33eYm7aACw7VhWztReDg9TXSeK/Clqcog8642sTy3hqz7acr
2PEVIdt9FVP73ZSJK8bCuXcq7jgOEsN+tLU95EfyZVcV049W2Q+D7TMT6X7l7DI3O0QHZwbTsQQK
8tMqxwZxB19fr+m6aAa7cQGDuYN2X76pquvt2ONcrFNhOEGRVlU4fSjbRd+N+GcJ8Zg4+HMKF4Uo
h/z+M4OuhD0X1kRbZ77hWnOXTn/s+SzQO36HKVrkhkWtmnI5cHKt9JyoyJwkgKLv62QZeAZjujMv
57omq6WZgzrEoOjJ/nFbFsp7h8mpqF3RgHqY2czpop6aYg+fMiSt9/WEUYXkWd95DxAZBAcbdYp7
yOrI1hApHu059+VQ28cxosnislknwY1R+JxAWzm0V05ULYY6iNEcmmNJoAoo8mhPtET6+ZDJVOdR
OyYBBpsmpT519L/RBh5gJM1YQjiXzbz137UMEPwQThhyHEy5iNxb6DGDnyur5Rcro7/lsJrIjj5n
c7fIbyWqpP6BePo+eJC2i8DGlDlnMHOd//de1f9AEn8jNelPO2v6bfj2Xz8wbQ/r3bfmx//923M3
DsV/PY8f335DJs5/6xc04Xh/sAgi34bq9aiU2MtgfkETtvMHXA7/BESV7x4WNtL/rkSz/4C1dkA0
uGmJwdljRv7O3PCXQDnwLFkm8Ra+7/5b0MRf1eA7VGIhLwdFhwq3/upLyrnGl0DVb4RgmC+eyJ1D
Cyt91bXrkHJLMoKjoHOTP31E/wQ7IEXxt10blIKPhDC7CEcUlgiyYn/ftb2ocZ21nj53qmurwyjC
fDlxWGRfXFnKKK1MpMB7u0f9GE3BPCRNMQYvNLsP746/rSdSkx3vkriNsr4w/LKyTnIcPPvz4lcB
y5Wvl4+pXMurwM+0eXQql29RWRzKBz0OS36U42jLkw4d/xbd0fQlGxDmJwaCNe9W0HPgozIT632e
8zEkduV7+mQE4xzEWS3C78wzEaJlG+k/PnPUrgnEvWWOSWdI6Rmxz+FU/xxKU6NtHzOHYtEKLh5J
OFUCC0G0PQAmkqu2JdTucuNXrOvLcFGG/6WIoG/ROuNN7QFUClaNVIYMg9+JRs3mtNts2T7aRFG9
z1hp37qilO1pKaTynsKyc27dOZzzz3xpYShYwmgzjqovHQ6Z0QKIcK3Ke+6scflshATlJ/OqqUol
XNCRx+iXjqcfpwBVT97kY35qCrU8ybPwpzN1eIjw6um02JVB/VkkBN+DYAiAAvHQuBjg1Jydxm15
lheNZ6lRzaBqp6bu/Ptupv7qaG1KWhfLWaQUdhS5xtYEV3lofimZPGToJhFvozs/yjIcipciaN5t
NUv2odnD911GM+c2BrCvUnTkgFdVbiBT9MYOuaaHRyihOBZtlXXWWQmDjuOEBDn0V+KsxbKBf78U
rj+9DWet1rhaa5iaUSZaAht2PZd51nattkOc1rBUaL6acmvNa3OoKdLGQ/CJWcd/y84qMcSrKMa6
s3rMGEF9sBLWTMIqAvu9WPge9Lq4+fXmgszZRVD9GOe5+YGccgviqC6yPCm0RzArGQhumu8pu0He
tmlfcC8mxHjYF7Kj9yxh7UX2ltluPiZsHLlK4E3mG3UWya1nwVwd7uI5p8zKD7NZFjvpnUx9Gc9C
O2fX3OV6l9/5uxKvxXL1yZV23x+nLcB4RT0T/IF5lvDNu5qvOQv7ltXJTsFZ7redpX+wD2Z+qM+S
QBfM7CnadYJNFJVP81k8aC4IuctdUeiak98fNkPPNwjRuZvCXX3YnYWItaClMDjLE6dBimNVmJzb
nVyCk8USMCTkVG83USM2EMatrdnOz8LHMCDqEyUgr4eJ20EcuVNxxAScRZPiLKAkhgBbNCFxFIQW
Z5HlhiwXXUk3qhdACPlYnQWZ5a7N7HeVJmYI7yu58turcxZxLnY1PpBwVT6zgLV3DELIPddd+Tlt
XcSYeBaEWngacIDvOlEXBZ4Zz7Uf7DTS+rJitIG82tWlbu2vn8W41d/cs/iUcx0han0WpYZTjVVg
3bWqndvYaxJGhh4O0ljQLtZnaWu4aFdALLW5lZpmASII3VLYh6xC8n7EYr9rZP3aQzBb/1LP9qZd
yp8uN8uzoMBc/WDd23rE5ttwG/krHX5OSE1l6qDNRA1dtUxzMyuAzXjI5Z5Qy63MOLThzxiTGKqO
GyO+JWPpKW88ipa3epsr6MuPJiA1+krn7BZl6snZUSkBvRluayQjs4CBVhFzR2IuuVvmR7AhOSeh
1xNJc5xGbXzmlwyStqkpdBPhO6jkpa6pveV+sqd0rjxLBBcBpbZ6OBoy4HM5QnmG/rs/GluBCL+B
VT5mshSziBUluTyKsAEYXroV26yr205tZZtqNQ9bYqNO0hdFaxdunYyOGlm8ln5tbb61w9h5J1wo
4WRZJ3+NTrJpQgtfwkZchiQOpMiOvk3VMjLuQKwXGerzTiVR0RGoux9RFiYlBx6CvPERimgLmwgh
ZsHKaaqbYCi3+ZaQCeKTwKe09l8oA8CulTilssz9qdoGJ+nvyRzJWtvN9JJNorDflCmb5UCTHGQr
YiSVvWJe0D9Xr88+M8B7Vjwak/mjsxdpX7YmWizSb0zqlNZq9k4TqRKcdSRjfOFpl/3c9FzcDJXZ
/KQRKbysIKSHNDcMt8VgH5JzWHXYz+NFZuNtuApiULATLvYhn9vuCTFx8SrznDB3sxi+jc3gE3QR
iP7dXVFFJVVD926C4GnND9g2CSbJq7mSaDs5x2Nj8kwoPHaFTzw8FLCfPXV3PLEMICwRmgVq+kJf
qsCq5gOH0N4yOfXZvjM5znVrFaQbQNCGmPeDNvjWLxkbghewy3I3OtZ29Ojw+K4zzv5Yu+M4xaVo
zA9AP/UytqZfJQ4HnSCOQQRP+QIffvBXmyJm25H88P+fvTNprhPZtvB/eXNuJJB0gzeBw+nUd5bl
CSHLMn3f8+vfh+s21pGfFa7xjahBRVW58gBJkrn3Wt9anEy8NLokpdipsvCOJCINhwVzmi4rB32O
IRRRO69WhoaPLt3OaFtlUWSAXUrRheWIam+M0bY/LWkNmUXUWW7Q6ikGDgwCKP5uIh188Jq2ziPa
6ZxO/axAJjzqFgX6Mpmj1Tcg1bUMWRNQw6nfelByIx22zg+PgqOkardZvQajO5RWlm3XqtYT+jpK
+7oTat8mXmva80sfPYcm7w+agmIFnYVpNcF56NGhOk5SarSAgVJsZZlYl3LCQ7cR2gJ3hJPoBJpN
0dH9swTHFGX1Upw50eQEYNOwuWxYkAei7al/mRf50AAxYWPWQzFXWL7Y4iwm+zVlHbsxqWUeEuKf
HmlyFJZnQPAF49tQs0YrIdUa43aOPMUOUbq7mpOyopvNnHUe/oKocvXMRIBnj3M975aYhWlL7bO4
AZRqNRvZgpE7tGM5SB9mgtXv5oUceK/Tw3hr5YVlHmMR13tDGsqwoYnhCDcOepN1CfiF24wm6pUo
CYLzgv/YAYykqCrBRMGgeybCR24xcHZjHyKYaAmPn5LHEbExi68W5wPgB5UjaKdYKgm0C/SNaYzm
2cuLDLECvTF5naiDfTNQxN+ri1Chhk4G60dYz8ITpmJctnpUfHEQEV9Q9FvNDlm6XDI1py8w9iNt
K7FQTZyGM+VoD4N1JSZTdC6N/vi16pbpelwMpdtOVao8cuWm5dpJONwrQER6t50tAy9AG9EeMWdb
PnOcLPhEOfqroVoVbyf9k8RD9seBf4pyQFxFonyxE7t5oYALRAaPoANsrGgowrJbuA6CMboY2zl9
5Gn1h2owYvwMdq1SiRdq9b2IlyXZaEqs3QN0VnWP0qhF0RYiyEhdzlp2QY0gZdMbpMJDFbGTpxEV
RO5mPdbk3TDaYcD7rwyLFwZlKdxMDAhWIa/S2RdKZ91luCfDXRlRcvbY4lMq79Ipe7TZqlCmT1li
3ChMTPaDbPVZweiAsQIIdAck1E5J4IUzTlUXmWpItLCBd4Vq7WSej3243BpZlEQItOSQuzpswHbr
lHF6Hdut8t3QQuW4DGwYCTNTrc8FE/66zRJ543SdfRgskuK5+ZA1vSgK0RxNqDLbQ+1YxFg2QUhd
Zm4wtXtSD6JLFJjOKyYN/UvOWjN4LWonrO6FZFEwkNLDBVVmWWydNK/VA2e29DyZpvXTA7as2NL6
SFLXiRcbHkvK4uB2QyFiP6EAUuPLn/Ew1F0Z1BSAzOZWjbNceHEQFo4/dnjk3A65U+w5bOi6Xa/2
/XVRKzmE7ZCzjRc7ZXPVmiTde5UZk5pH840fVBjFFZUP53NedYP0FnqeMETnoj6UtNPkFr2XWW5r
cAGvxDWHuWfHYZ+fJ0HaRpuW8UhNQ0Y3bnj/IhP4DJ0B32abOOFEyJcr6M8A6YI4ZpO3NHUo3Dah
PH8em01UeEFS2wdULJiV4NQ1lNSpmrjtmiTmpVo6Fjwxw/lGHSSm85eED5NeO5Rf53Zy3MqaaTBV
SpB/DQlDeIqHltttq6X+1V60eYGdo3WkSC6T+FJEDvvWikBYlxVAPjSaGgRI8YLyelj4QV5alvye
NImTr8A1+BHaEDi3mGED+h9JZd/TP7IsatiZtcMAYuDmWkaFaVEJLGut2tc1QsWFZAnLKPBuUXTC
ApmhRbZ4Lspyjpmwy31H78fcR8vdF26htI7pxVqv7wG6UbPPlXqIwQtFPenbbDoesC5Q46qndZmK
i5KvYURZKDyy2HN/HZhRCIQWvnC+yEPlc0938iYJ2IX4vFHp4HfE/3KTx4qmHHsqg2MWlrV5m2Rt
hr4v16vQTcaI+hzK+HItAfNFnCwQMeTHxA2mOjEsODqUaPrc4tcp/qsHpn50+Pa/6IGRTfz/gpeL
52/P4XP78tz8rHr58Yf+qi0Z4h/SUjXTslbVh4HC91+1JYnyF+UEygxVUwWqVSos/6wt8RVD3QKF
aKXEI37RV5HxP4tLCjJjGr8Unf5TkzoRuvxO+HIiEqGc5FAR4CfQN6ChfMqOttlDsn+OUm+IsulA
Px4ZHwq0D1Qib2tYxJbirsDrwY9ec6i45rfFJFS7Qp3apPAGoz6LRP0w9MNjb0zYW+lSNBLR5k9P
4Rf1q9PLYiiEx1hLuLcGn8sTlc1EUDfV1qn2OmyTV5yGgx1L/Z8laXBZmqqhEMBzYvB0qZO9vSzO
p/nIa9ismk1MTaLVWFJ0+YGSetUe/aR6WUchTFOsgYmc0wR0iTfaJNrkdoZqmKWNLYu3oKzocjgG
Mj7n03c/JclLj8v0rzf6jUDqZ0HUeoPeDkqYm8bMhXZDCo5cb/BP8u2ZKNNubBWArih8N2pvYj6o
ZsU3FG0+RwddfTBDTnREXORacWQkTD/C1taX4efxLFx/gW3WnUfD4bMVlNaG4WgRhumf8XfXh6ZL
hBNIxdEJEIB1cmUBxQctYVeFLDqajvPCuV2r+uyD61n/L2/vH8HOANmRRjp4gk8zHoZ0TMzY7qlz
1VGdwrCoA4XJWLcfCbDevVqajq4OBBhsbYKtTmd6IunHLRHmzixDptxznN/RXTM8G5HjtlJK7TtG
03z/+9frF08LaT/iNcTPLEarLu/npyWswFzIOIEFC6vWNyFgbxsplW0Bp/ODiXh6IzFG8ILZNqAz
5K/vIjnW+Lx+rHXdS8Yw2ZWlrR8CtNgfjHJyF5l8rFDMdXAkROKQW/D2ghojjUp7gImazsGtYXRy
F4COgNfgT4U4cOoJP5gfJ+/XOiAUd1oO9EVNXPInK6KxiKKaJpCSop/P9MgxeGoOpOBKKw81eNsP
HtivhqPOYDIbebneJSfW7SgByaqco6n0t75ACBbTdkZuPeDmVD0EMdY/NwX/7xJy8uS4RBoXTI81
JwBk1A/e8k9LiE6WHDX6OPWs0VQOlXTu0tpo//jCNG4gebLcRDIUTx9cpIZ1C+ydQaaxPYQilweO
LIkfBbXqT2up6/cz/1cXtS5PRJ3oTJbT5yY5QyAoU1Bn6Wq87emg+pkTKn/jqux1EAjeKFuNE+lm
oWfxXJGi6dG6yNygULI1kn72yg63nkCK5P/xVfEdYyryvAiYPb0qSyr9wiudekuQU4KxZepnKhqb
Px2FR8Qmg7/W3cCqDf551XBmnMPGbMLPRFy76YaWbPG+/Siq6GRtYtox19hwYOggJ+mdSLQz0SXa
y5xhX4zoNPG3fhsuCd6DP4x+sn8MZbCjJjMZGpwqTi6o02DfLjSqPbQCphf1crprVYfNOXKK59/f
u19dFXcOAQVvE3LldV7+9DLRSO+zivKXR8PvvuqD6WzgwOFW89j/8VzQLVxsZKppsNDJ2nk7UiDU
Lu5DgkNoCiFcGzhvINsorb9xQazt5Fix010v6+0wEZEQIyTr3DMTpb1YFFKRLjWkbuGlKJzqA7bj
+7eWfe76sedzvyZInWwHYR3XuDtXc22G7Yi3a7gQZWgffv+MfjGKDdKfzF0WWpXN9NtLyhVBhAyv
KHaOqvEB9jzJObO2f2MQlPDsopnpBBa8HSQe1CQKVAZRgOz62B3kFTLm8eL3o/xiusHA+88oJ09H
q0KkpDmiLcqJEbHjme4uVCX8TButuz8diuTTlUOJTY8ZJ08U5MaoTHM9AAkxgHjQ6HSMdJNqRvKY
2b3ywRN6f1m4MtcEbdKDOXTpJ0/ISVNsuFKkdDcSeZaSlHPeYeJ75izxUQf9/WSQply/TRpbFMY6
uYNjoCnlXDLU6ur2jQZWRaqp7QdL6vvvusT7wLoN6JyT3GmuY5FYY2YXVupFYRUOF1pflp+zMLW7
s8EO9Yrai5LZH8zA92NyCEGGz3YCtQQrxdsZOHK40sYyRHUJus4NUtFslNQwNlmLzU/q2KV+P0F+
ZB/+tJdmmTXWlUglFRwpAp78twOWPB3ENijmw94JaNHTCsA86RDq53YYyz8po+mkO6yRK9Fm6NrZ
h8wunvA7tp871R7gkBHSp3korXADmE7UX8neyRFum1QndwgaWjDGUjHp/+rhB2G776ecwWkDDyxH
XwR54uTHN5CJQxUlhUdUdgU5fsEHx6FgCb4qgMiND+bDr0YzOWPDlmS545a9vVVtk1UTrXtGS6xu
3gLU0x4aCYjba8i8iD4Y7RczAUipIK3IoZvIbvbtaFoQw3GHhsBTT1t4MJGZ+MVAjISHx34e3KEq
m5vfT4b1f3kyF4hoscVqAVnzbvW3Q4rQXCIlNTOvdcQ27s3XeRG5B4x4E9f0jaQc734/4K+ukbfX
wqFksx1bFUBvPryCJoZS8zmMx0lx+1B/xNp7UWdx4KWZ8WcZ8euOArzs6pKybMRIrIZvR9MzBKNK
IzGUcFbBedG11b0y1+khkXDmf39lv5gr1vo5XDN2dZMz/tuxbBrF4zxmhWfY7eRHZqmc5UOYHPEi
LP7vh/rFU1tdWtw9zDts1k/W3SIqQhMnDvYbpyLMoU6tB/iLwi+lraIOR2CUgQX74Bv2/skB7Fxd
XesLuL57b6+vRJSzxLHgXTCRD+JHDXyam+rBQY2EhUbK7Z9epO2sewuu1MHmf7ouKhpJyBGYDA7h
07izhxJsRh83/XkWjcg3g3S6pl9qbH4/6vunuFKk4Y5ii+dvjJN3sJUzsXKEuXjNuGS7peZDVkPK
87IOU/vvh7K5YW/fvTVWCz8eWxy88qc3lEo4AMiiooesFXRuSSnMr2uHMG1XL5biU7ak2V3a1kvk
xnPffxTR9H4OUW5gvq701bVKdHKhWcxuKK7SwrMwPl0gszG8WlK5dJ1lTC4VI0vuAyM3Pop3ffcd
lxSkgMnw/guOmPbJ+p0ipp6LMuFr5+TOYQIudO7odIF/f2t/NQprKDQczPACf+TbuUrYgjaLOuZ8
ntORsNIGzUJo9x/M0HdzhcIXL8J6Bwk44lv6dpSum5pBNdg7qs2M+pgNGeaGjscVjcvfGYqayg8i
g4Aa/XaobOkb4Ew9vNh8NPea2U0bKWb6G4ky7f743rHBAqPLWsbyYpysY7ka21asQZybKgX5uGC1
2QRNVv5hTflH2VDTKBKtqk/g/iczYdRaujXFwsEIlVboCghfX0xb6T/Ku3o30denROmErwGrMrus
t7cOz1ADCsKgi10jEXJbOxgULDNO46WTqhymUqH12Wnzn0WGMdo6LuvemkmGmdM8WaRTPTESs0C6
BIitPmIkSp6NVCdy9288LvZD66FPOkzEk8trlqQhD4EGpKnTbLYqYOqeQjnsg2nxo/TzZrniesiY
42WyVgHvu+uxaAX2+NxIscBaNPtmFN5nUYMuzMgOpdD3VUzxphg1167tfoeT8qOAxV+81T//Autk
xpA/01q9iep97BVz8OzeLB57uRi3f35Hf7pQ6+RDhxtpmlEm5t6gT9NF7tgPel4OH5Skfn0t6/JB
9u66+3/72LRhAGMRrHutOUybrS1CpPu54ogPHtuvZj/FB7LhLaY/dZW34xQNWMW+1sgtTWrTHeWk
3hIdNVKVYseHVdCqg3M1Kj46ZPzy8iDWsCiy26Pi/HZY3E6lI0qGxQ6A0D9aMNhkYa9/sH391Qqs
Y5Nhn0dzBVvv22HMYQYmCLDOCwRkvIp42O1sdZRZ5KgTVfKn82LlEfEirxV03u6Tj4oGNnoYDa5J
qbBuLmWEqIBucPnnbzTjsInkEK9TRX93gtcrtZclC5a+2GnitgOxbAZo8Q/2c+/vHSd3Ex4Aa6Im
6Li9vXdWOaGEleHATIBXDV9l3gwRqiCEAvkHa9Q6md8uHWypNGYfHUSqiPLkzgFgHxSTo6QX4Yze
JqVS76pmzq8iTF149PL2g/qUuv72NwOSWwF0HqE/hxtKfCdrb2JUxqwp/eQlIL6TqyrDwfSccVwA
QqwDHb3BCCMeC6tzSp8QuUz7ZBHMZh3YMyjV3e+nzbv7bNlYpW0ampRKaIac3Oem0JKoKofJS61a
2cYWbGpBMeMm0q2PdpRMk5MLt3ndVooD7W++q6AA3z7UADZH0AWxhdS2WP1Bc6EMzpU1S9l+LvRK
JHiQ0O72prtIRQajx8l3Wa6aIbK7neTTkXgZZdj7Op3S+DmZ26bYxPmKXW2hkV9mnLRuCVAxjWM6
iQk4fjWSsjA3lv5ZJmlnnk11jlS4bnRz8rRmqsMHhe/Tj+5IPHbUPxe2e7qvdXLAFY6rSUMrlJuF
4NFA+saqGwOBb24D4HZd4nX9FASfcpE5e1yF6PaQV0IC/iqdrDdzn6+UDUxQLFaMdUkrZx2vY4zc
S/8aaHNu4UXDoljczGBRrRpLqaJiu1TtJqcC5zRWm5+VKZgFv+9UMyGJLwt1/QIefkDQ3mK2Ue/X
OuCc83xIAez7jtPkU0ykGDjo0LNRHSbfJkMJpqNl2NDnk0KfpxfdDvOYCh8JiSgTi2mIMdJhfsWv
CFM6edRJC5A1cq05MG+tgQDtA6bvwrgu+xHgfD2benvoeMCa182lo/pmRY45ly4LPdqMpZPUOzn3
pnOZLvD6vbEdpgqXd13PV+PSZMqDEhI5exZgJh/u7RnryEaNVXEcMA0jb56WpXittWB+Tcpe0c5X
7U3h2VFsWsfa0rPlwpRp0hy0phj7QxiWsDTihELwZyeoU8NjGTTheZHg/k2yqSLBbgnX5J2ESNTw
TB+nMA43FAOj+FGRUaChm7KQCA5SNvNLMev09F1dDaLkC29bGmzIiCuCuyBAyn9UjcrGwJxqk/aU
T2qc+HqBbuh5aiKRAV5EjhiBT+y0OvRTIPEkNuDYENihydDCUNu05lWRanDm86UWXM9YON8bIAWv
TZm1uBUtc6UF9yLK2BAiAPLH1Aok/m2hXLUcSIE5t2M83et9E6ge4lTEeNo8GM1rHQfiSdej1nIz
k99GXkPV8SGo46LeNmkxnouZNEBU+aNYHgFL1+iHmpgUXhGMFtrEnM2Lq0I0/6w12orzBXaGQ9wI
+nqDI6jr0SWGJT4DWQjmNih+fROJSX9RhxzTvoG3pcDGj40EZ+CUrNF2ZXLVdon6ggmTJEhA6ou+
G/F/3DtBYTcHWFtIbiM8LJMXSUKcPWIODBO8dFUTUVoJ7TWEBpVAjtcsqFUcxKFsqMuE+3tMuycr
QbF3Ec42A8/4dtBiMWdRqofKXPqYktT7agQevyll6YxHqzI4czVRWqVHO5jFvJVjEb6MJccUX8s1
vfCAz3ZfLGAe3UPMZrj3mlBZ5WxI25otBeD6roULN19YaPMRHo/RFFF7XToQXM1QW+llBRyz3ULD
MwiryO1IABQe8uAiqgKE5WEAaPiY1H0ovTBO9PuFsNfokdzzgoeRYIDF1wK1Y5vgenlg4Ufc7UzB
LWs3DOUC72TyoBRVwXJj12LZj6yZ3xshuydjwEl7RtEgeXKGNs7PZjH2qRu0tTlt2IMHygYFev4q
YIc8RAONarzrsgMeAL1d2VFEr0OPjLrS/DKUcCZvCHVV28e8msUtXPTuSl1Uikej4sjljHWouAJd
2WcHJa+ccm8ETbp41ILqO/SIabYy9Ozvwxw45WHuJjLenKTX4vMqUsUTUl4j3FUzwW47lEHhqz6q
OBmw1DrjIXdqo990BThxN2LHaG/VGLn+eViMjnqUozAe4eK3pquAsvqML60mQzG0I6XmZYfMfZzh
sJ6p85wv5+R14tppcQcrPi4svfQAMhChCZwuMkn4KFv9Og+USN2k4IAgIKSLtH1QJWP/NaCdX18Q
P2TBF+3xY/msJdboBlY+T/jxk+UmWyipfWlEK77YZhCmD0ieUvUsaxWs/bNc3ar4kPXWc3q10zyS
HzHEs5YM2hY3fQWmcw4WTOchwSaG1+qgrz9n6pR+rYZaezSz0g62UlVyxBB6prI2xHwDGn/qx6Gm
HoMB6TZQsja/z1K9cR5RlMchoR28riTychQBsq5rt7q2CIlnDgr/GTQbHUZKRBCnJ2DcJRsLt3+0
IRSiDzZFUybFFbyQKns0wTtrOwgz9nJuhcjGHqKuWqOYqoqvZEoeMHQv2oQ2EzFp8L9HzQjqY0gU
sWtgZNtPStZHppd0Q3+EFDeNB7nw8HwHpHYLc6dJA5SQRFntC/wm5feGbj9Wm37In8fIsl5rx0T5
PKWjigBqQErgx0qZqsQcKjWbhCo3jU8sG5lObluQCeeG1QpqHLjocDpWvKO6F89dAuGjnzoxuVqI
ae5Rq806vlPsXqhMdtsks0ZMdrNb+/zDbYrTLLrLq6CTB7VUQfh78Ptl7tuDVeT3tsBnFLkENfTM
koUMgYsmGsf0CI7AyfZhKB2EdYst58CNOc80j4VCKkfqOd2So4VOF5SaXzqHrv6z0eH7uo2HKm9f
dOBpvEJxEBmXBHPYr7IMBj72wukIckC2EbvgX+blMJsDRFu02AaCFbNLUxQDaJAH0qHLKa4/sTOC
tUusMQaHPdQZVd7LdBbqVZNTS3w0+7QN7ybuNMr8oR6zq0YutbqlvRgNuySc9ciz9T57HE1Nzrfz
oBcrMA6241e6reTVOuks+4MRa7U4CMVe8IYVPRRgdYbEb7Tx3H6u4MYFnqYmeQOC0l7OErGM9r6w
Eornk+oUtZe0gwqfIkVOvm9m8DsbPF1qtZKkRpagauSZe63seDFdGBiFQlJsqow7NarDcYvNZTHO
pRaP1pZzZaZeAJkjPXjq8NS79SBIqF4ZkgUEBsjJ1+GarPxpMHXlsm760jofaOd2LxVm9PFShnNJ
tcVCKN7eRRr6ETdvR63b4iKo1GsLNp69E510nsnwEe0nKxjHAo1c5WhoysmuJERY76iIKkpSSsVL
A3MGOdKNkS2eq3Aelc814Wx8Sud8fvixb/+vw/t/iKT46QjzzuF98UxXvXt9o8Bd/8RfClxp/AN9
HBqDta5FeWtNqvzL3c2/waC9qikwJK0nV07j/1bgav+gd/tDWUfjB4Ub/+5fClxVW1PC4AkgbuK4
SzPqT9Bz786aiIOpp9OfoO/Dla4FkZ+UHeToMONToAql7kQ7vHT6OQr8dEvt7YVl8yPp3rtCB8UN
BtHXhipat1NftwRmzv4NmV7XwrBNgVO6AYnk3k8P4Pqvk+vP8tH3B9p1GAN5Aj1b1gK5HjJ/uqoI
kkatZB30HNZt38JvdkzBaXtgm/SzOQkhWLVt0YJq0mKMPvZwyfFe2/z+V/wY5c2xml+BoOlHt5rL
Pa1McJwTgNpAPeVVU35NQGTfLOlu4SPwvWTR/NYCFHcV9tnH3CQtZVGjYZsAiG38okmra2LNtS9G
TOyUmtP03iVBPLxCAspueoODSm9QllrKLj2ngQxBXJSZeqYSTmx6VpuCynBIY+inRh4IrJoAxSic
VutIBIS0CA4wtZ50L2B2jMgHt8X4NKq2Zaj14C2L8cvSzNfSqYJLs8pUItGjcks0zXhvKRBgyCxL
Nvlg5wsn4hGj3n/Xkn8K+td6+u8E/dnzGL9dSvgD/wFFqEQBsJQg3KQywiLz11Kis1xQM0ezBwpC
tYw1UvBfSwn0b8T1lHdsFMEc3NY2+b+XEusfKNWQB1D5QZO86hf/QMxPW+Vt8QYKBbOd1jCVFJYn
eq1rD++n9y4PODIs2oKpZLKB/7HdrpfzlmSlbZAG5aeoEGAbuIaROBnZbNcks0NEQes6dkD5FLaW
n7WkL9+bgJe3+JubY62KZVOElXreOmoNzAWCLohFaimSA+MRvHd5YA8ILNpJvGKszxpz5NiRa6+a
Mz9hP/QQO9x2S+Hz4yqvLAd7Y458LsVUfZKdmPklE8E+tTziqD2retXrxvFKbyZjM1f4l8gxhREN
jddV0srZjvNwJpo0d01V+a5ozmMPryhcYPWybz/M8LMxd7VuX0nFnxSzOlbs3vEwgVxanAZgXWuT
P9IE93X9PGP3T6fY2Pca5LFQmoxfw9TN062jl5cdJact+oJ7tk67sCo20bTsq6Des4nbOM28L1GQ
eL1IHZ/sBECTUXQFscclmWHZRJr0+ti8kApARIUI5tyVeeZcqVn8GKELqlfkQxb7ZQpRwKy+sFPA
oNrBmUp07VW0bfSE2qHYiM6YCc9TFei26uL1daYfIBvb7hQ4oP5s3xrDfD/nqe7GBErdFk10Jsv4
BUBWfpY6tuIrfRt5RS1xWvTiRe9ktOmMb1FlHiOh3FT5PbS8jZHDZusviN7isD2So22M/Q6PSnhr
q81lnbbHqnssiCubHdIZWzQeNN4BMY/lYezUz8woTtz2sGY23hZagXaaerY+aNqOwtf1UsyvYEKT
jd4WB2eYBoDM09dwnPdpl+KJC9Lj2EeL1yz5tzjuX0JpXC0mc4mDCC09kMNJrAQc5sfvBnPLS2Rx
oNe71TFgQKRb9G0p+2QPGGWjWEbiNwmcxXSgE+pWRZNcJfB5EG8M2TFrl3OtsOSuGMd4S9X9tjGz
bUtDIUs4CkH+Sfeiai+pqfSuzOqXoFdfsGxt+nk+6Gl/BMxZuITy8dlSOYoEHQ3xKkyu+zR9hYh5
ozbLd20MetcKOwwuavwqG33raJh7F2pfRuUA4GrjB1t2D5j4LsNK3EmF/wKktYtoR91oGgcaWPK+
FUSHcqmPkVl8bcnKocQSms+DbL7KYfg8OOSNe5AXr5pxJYs1906pb3SqW6qSGa4KpCIJum9hByDF
UnjpzbuYWJ7rmjqDq+s0tV3Rq3vwVS9ppGvHSGngK09OQl+ighGlZEeKZ89sgv2GuKSmp4A0Hxwg
BUN8vYRnRgjAtm03RYx5Ut0HKRFOjvrNnI2jFnCc748gsxd1cofJCDfU7WxefsJ4YijseX4omh1a
F6LBGrTNwXaegMytPZDRVgnA5F0Ys2Ez6eK8IDmlvSsna9Pk5JbInPxlfjuvvJfWz6PcEZLmWdUj
wXDfoixDBVQO2OOBrpEHUGMhEZRO2ehXX8YOgySvJ7RS1U0DymEuVZwk5ARcAiWB8QC2+9aGPD4f
h2bBmqTrc2y8AO+TTryVrDoYO0lNsOXBCSYRfRFJ8aOVOVtpcSPMVmLChH1ZP5FOm6v7CAZqfHSa
WiVOr7XyytoHs4YHue/0ID2jGJqS8TaC99wAQMZMLwdYjC5HK/1rU+X2lSAYptmoeG5vOqoziodZ
pzpMsGkdHJX5YHhdQg3OtbvEjnZRLfXHLM0mwkxnUTW7ttbNl1CEIvaaIgGuj2dzYHVOlhoPqtmE
teOxkZDwckkQJAgm1CEUtnSpcr/rlSzZLnxvDAyR/UTgSxUGjlsA/QNTQ1rY9YJAyw/ahpDATIZP
OVjEYM544W3DE2oUhq4ph+IiaNoD2PCNMXfpZ2ok2XOL2LdIsivk9MpF2Rb6fRmA5KaekEDvNuc7
Xa2kS8JW91Q2drFZa+o6CFlEWP03R8pq31VTfqV2A68O5QeSBYFyTPtCA9BHBMqxXrYzQWoEXZ51
Bu7teMCPG3o5TF2S8bx+aPdDkvhhOnDjy+tRJ/TOcXapznPHDqFUQe6z0s57UPDqSBYOzPzCUvKL
gTomxYbuPo7jFAtF8NTqsQ+OxDofB/5B374uMttbNoTF0Yz2kC/2Y9O7tWbYmymJUeKBwugTAoSw
FnuZMnb+iJ77qEQZqoVxp/eD8cVCvOmC5uGEzNl0u/AWHcyw/2TCoG3oxJLbcwQLtBnT+gc/ev18
RqAfggu7CrfLkN3RXxQYa239Ppyj/Bzws+5pQIPMcLqBapIfZJad5U3agemdAs80AuR6Y8CuvNkR
nAlGZG5fgyz7TkcPWk2jxnsYjdVGJTBir4czAjzL8pvMmFwCHfxq4t1bxsy3gyi/HvN5Swn4e9Mr
57gJKU20m7QRl3b0pMu5pXYdn+Vtdd0VMBGoMaR6785xsiNtoMhMiPG28ylSpvOqWm6pegUu+wuS
YuHpYMsfPEg0O8Twe0s038XcXYMzzq4KBl5zEXat2ti+Oinng9FfWg09mSZ1ZqiWZhnfO3J6Dsar
ICWfxyAEdDfm6jZaiQHLeWPmm76AQ8B2iU8pyLvS6D7JJIk9HMrzoZsIFFNyigGkJ28t9ug+lNcH
QoaOSzQsl4GS703RhOemPm+piVwTGLsWvinAKBMhDgbWrEEm90v0XAydn8c9UJ/xQAlBxTvYw1+t
jsGUPOULqUHkjygrNS+oe+egdsmZXcrZt7gDlRXftsZKCdyZFuvyJHJKboAhoD04Z0oafbf0hZK8
8jVryr1dMpEq1R8JJ6Ld7GFBQ+CBnfywBhXv0nj+VGk10IYQrJG6D638KQyai6qM9nXACyIsHP/F
azJQiMkJHSJplG0MkcRl+qgb3d40eBeD4irNOPE0cBu2tjEVB92YdnpdkjEwbcfI+dql1kbG121w
Dg6LlaQmTwuIIqjaxrlvaQbh7WZ/8wCj3w+EuevGx1pv9/Qnsk99JfgKXjmLcHZ5hz0qUPaapoDA
IJoWP4xhmY+ifh5y5cVJIz7951TLxGucl2daqnmyDVxjIk4lcHZ9rDzkKkJAIgW1XZHa+SdOh4/q
KLI73knqxhZfuRIldWmIXZiZ381E90XHlqZ2RlbfmAqUrk1eETW3cQRdkWIy2D6jelRwGHjAZ317
BstklDJgD11swoal0J6pW1HebJXLPNG55C8mmPD0rI1v8piK0WCEbhsvkVfGS3g9VuWjYceXfSLS
jYEVjalmuWGkrZCA/mzo+GSI8plu+FnV2ZdOiiiojqsVwgznFJAdeAYUkaBaWMH8rGm3OV6Ez6Aq
C760X8CLl5uwJiXSGQe/t3bUHWNvEJeyo2li0d7cB1odPCRjsCe2mTALEJPmTaZiXQT8/eSAyiTW
pdei/VDOnU907g0innEjdMHK0K7c4IDKL9aebWIG1oaKqEf4hScT5s8MVqQ0L6nT7AA5tZvYEGvy
Sd48lEWRWa4w5fJS2aVTsHrNw7k+Dcmmr6f/Y+88liNHsm37L3eOMmgxRSAkgzooJzCKJDTgDg3/
+rciq691JbtepfX8DiuLmUEgAHc/5+y9ttr4IH4jw9SKyw4CbCSFfYLXTeqpYA5JC/5FQXr8yjL+
zYHWuGGllznP0LodboJ+elAL5Ok8OHhK7kuHdMzcRBRtgOCRWZQvydHCqjEKd8MMMXJkv3ZsICda
5Wm3ijygEArI+Fim6lSd54faciHxx67ruAUqx2gOYOSTFrsXrRfvIMjsieWNSl8rw8oLjv6cHvMM
4HSAULH2n4Zq/hBdfpXWt8HgvANVOG8uz5Lg6pQYRyDQ6xxW+nqKW/fkGLW2Uy7d0s5mupK0O7dv
LoxcXZrwJEkPmLgOWjnZUK+h99wj07iuJrmZ4zpSaBrhAJguABAJahSpRNhR362SnChGB+qkr21T
246Cpf+AcOzuqB7SVdeLlXSTXdflK9Jpp9UouHmd4zZhMkJVMvz5wdKBGzSVb4f40U4Bm2x6Tuww
4701DQ8cBA8DGaCbuLOB+crlkIFp1o0nlFbBSk8d87ru7A8n0w4T61dcV++A7NP1UMZbtWTr3rll
Wzk5/KXWHqY1OjTiC1qbbo0D4gMc8kHMw1NhaSs3G67gGOXw1oyvqc1+JLO+GZL8cQiG45DSi62N
7Nnu5ksbSTr4sN3C1+LGux7yq2heY2+TtdQENsfbJnfZX/U1oFBjlVPcrcuyfpJwVh6RW/RHjPo7
u/LmlSwHJjH6tcrYkYk+WEKRUxMm1vTkCuu1Lm3QwUF2Vfbam1TZuq2rh5SoOvBLAeB/AywNUAlL
eoduvJY4+2Kv3clWwp3RZDQJ+8b30vae+fQmb0uClkxOp8IjmVb6m0l5EoDc9JUo1MVDDPHBS7HO
MGOWIfnW1joYxrWczTdaTQx9FuszTolsJoUe2Mlc7UjXqzd4XiOLiGJirUYo6xQfljdWF/j0OSXa
b7ZXs44EPhW+s9z7ygIP35wo7w27okGOPCQONv1ANG5J/nlXeJCKkrsJdC8xPHdTnqxH01vTIVs3
hP3UXbvzp/nejcWz4OBekjs/dNRIdbmS/kVQ2pu2Lx/i5lh31a0XOEyyHC/KRiYCBFcQkRGK9B08
2zabnoYh9i5b0oBgArv5K3nf7do24rkBhCbvEhf2UVvdDF6QfiRppo8s22X6I7EGdZnbOTBEvamN
PU+U1qx7AB4kKcH2TpvJ2qfAQtZL5punzjDFjQ4W6IhnCMZSDGOz1LPhCXwQbD+6wvvSY1zULhTP
sQJRV3HEtYXnrpgvNhvO8ykVNQ9wRiRZ5HpTt1Vq6Ngr9A3ZPu8xcYUESuuJsS8qA/62I+ed9LJy
247xq2am9QNNPo2CLjHfCfKST51neFtGdbCmEi/b1ucgY+ah3d4uhuaGEta4jS1t2sWx65CWNKbc
+0pamzT1rQdIRg6EbOALBE0ki3nnKOB0fH5DmaPRaAKD7aQMylBUMba30VUTOhANJSmVmHwwttGl
KJojW0sht16uymg6tznAiQzMslPjunbj6VDVflZt9KlYPmHke6t2kfOeFajZJ1267EcULQfVEwLZ
9gD3uzahYZCZm4WcgrWeejPp5araO8gpnjvhzUmokPhEA7/mnTvP01fMeQq6pONta2uMdzquDFJz
q+WzcAKKXr3C/NPUpVh1NWFUKy+nCmq4suZI4lm6NojA3vZpMqMiT/ytxvPwlgyduw2cpXhnIT8w
hkrXUo36ztd9VMvsVPMPMH3iuR9HJ1iZAPBOk9svq3mo7aNlzbqAJmnHu9Fvsp0u6WJDouQdaiFU
O2djm6oF9a9kXsh+CCEetc5m4OZfEhsMyzs5RyQbg04TyRsdyMu0CgVLiWvd04SJ8aQr58qFuP0+
m1V+0quC+4WMPN8GutA2wtTj00g6xUWTC+tYoZ+MKkO/KLQMrClMo3ptoZwiS0Nv+lvPFvpr4qTD
S+qZsKpagt5uITxSkPhTVb4niA28cO5IEzM53e482Z9xTYu1k2cQGNrZzPms9XJcQuDTEzymuC/2
kgnCBVFZxcGhx30kHqx97otp2eeD5VxoWZa0oRcHrrZqTDM+WHxqqGAl2ZuSvDGO6420nqifGkaV
bDKx7u2zrF73sdo7gXtrIBthGB3czUPzZsbtFsLeYSraZJsaQMxcRJ2kmpBbV0Fgh3YAl3agAwBQ
y4e3WDnLBehBlpF4ZPcnOiLNibOqgy2x3WNEIT+eXDjbDL0tPDcedX0dub3nUHvU8SboNbBQlNNb
+zxXiXLXi++aqU63OndlcZYxErwDWyL7khJZzHAOZoZkvyU2Jd+0vjAiohdRcfne9Ob3zdM4BsaN
ps8254D6orRAvWuY782i7KMC9NutoZR3qdneHbRJhAGoweZu3PaW6oddI+WYEMs1eJez18sqastu
uE9q8UqE8flNndKefPi8s1cWEnGIfqLNLiQEk3LdFyypzO/brZjtdyfuCX01aL5eJg7ynHApK/fI
CdlY14tGt7WyzBr+1tjLgyEaec7bibduG8zFyhK1+CxNRc9TeW7CN4q4bjXU7e2kc9Q2TWopDiPD
+JKKCtqQGkrF6gdrJiTuizgixF2gTECXPWidJBDQ4989AObPGep75VF59rgjyH7fY/BGM6EPl5Mp
/DXjcvNk2ep89ICutZ9sg3BJy4uXA/Iz5AJ5IbrLmezrzWDYztEUsUnexmgEG4tMAGo+RCs0Vfp+
T1NmnVWUgfWgr8dkQKXgjcO7IQcyHSeq4dxlNNbLZh2440ZLre0gp2MzmNOd2VdU94Olzx9eCQaN
BAJLo2AuHBJOUJ6scjZxgiQK+YPhUbpRfpeX/BYgNgnVSS/nKp0vEOvRLjHNlORbMTTJwV2aG8d3
BIcfuLG3ZWCZrwk1WBDKAZUkNaTN25ajVzNYsfOiHa9NL3m0B/lQNB2NxT65NUa4obUGMl4qwj0a
CnraHTa3N59CYi94uq373tyqNp5eyGZvjqR99GHplQeTtZbSJnu1DC3dTWX74lb5jTH3pzE2vs5o
tIlbybGUOly7GlsP4O4CpRDHXST17tlfPH5kiZ/JQCjX5PlNSExynqUGbm/jrqBXUoYNT06ZKJ7S
uCLc+MVs7Hs6ScY2bsmpCErrZpo90uSnZluRstAVjbZjXvnYyTKNEmX3t/SZbpjuw7GfGaKdLJJ+
jiRwvs+sf0bZ0u/VHFseEQnIW42MSpZgFBJq4Ys8J/NtRt4kX8P66dGvS5dpk5qx+RovcInZDFxc
mqP3kLXuGqrcCsrxaaE/H86+fz13nBzAYn+Utnml241YccImlMfH9OrA4hKO3nw4PCuCVTlCNXGt
k3m4JnwLzJsVTd50X7p2T9JiLe4I/fMxvs1HWZhPtbI+ut596/OHLiYjKm7W5AVY29J7akomEEhK
6Tn1FQbYglBOw3lD98ZNzLwHJCGXy0y6p0YDAO3Eii6iCqVu0EzJu1D0AKnpjTlJcwMcb433dDcL
seZSNw4rQsz0pep1QHbp47x47OuVPa5imR+Cqa5CGNFkMNj23c+csrZuT9MwXMcBSFYK6OOEdi/T
qRcyUp3W2VL+SDtkKn7v3Y26zHdIiLwj/YZd4ycZqgwOeWBCN5ZWxzfgUfLQCNof6G6rnWqaGnOc
T8oUi4GLdpVHxLl3HeewAGGJZOYF6143qJKnHTMd+5kMa6oC8Vi66Ya6SEZMyn9MWT5ty1RAzZ3S
XL9G9KE9IHWu91NA+tfWcrUXOgcXQ02v2vCnR98cyICa550+drdyaT7FMGRAMCaOaE311SU57S39
i2yvJ/ApedQQMsgTnwMtJGR12/rM6emoPEwZXXM9kbeJjpKQ9rO61LJYbqop6TbEvogVCN4hkp1F
4Mb86pYlvGmwW+wrZ0x2c6IbD56u0g+xm/XbdrbtVbd0DI8YZuwdrB3NOSQgNGOnuWwG1yIIyI1U
hxbFivVINyR3Ll41o5mG3GeHXs78vACLj+oxOII1Ni+1Ts/DgnCg23kwQBHpVLFpsGwW1dhrKgMC
L4jR4AqVz56LVE6WtxB7/fWcmCfPlFjF0Ka/Dk467fRJd6+sOkmgOwdLfg3CIQ9HDMkhONoW5c2n
33bOXmlFd78okhbYyOcLwHzvSouzF1sl/lXcxTtchFhzNJfyRJ7HI3mySoRE0ntAthuvCT/KEMkR
1mIVFu+E3y1HnN7aBvIMsT7NMR7q7aDE2vCDt1nSsKPtodGSYjAWkGLUO4Rnz9MPk3VZlvDEmcM0
jIdW41zskAKdVzQYz+CC15B9nUuTHPRIzMYalvMnIvgNIUShwTEv9KZ4Q5Dqg2x7dw8ZZQWl3QyN
wlpPmsaXRCCIRh0XWw+Zps0hfPOOfnT/lXfyWRVBegy8PFoSzyDdhE2FE0ZIkkS+NRFa93Z+qNFP
dYZDV5slOqXCzQw1vjqSRIoxRgSMNvZBkaU1etkFUUwHI/d2sEi3QcG5Cuu120BMnkhDKmJ5zPCh
Xk06+GqwRQxzTJbqQI9VxEhjCbHiNuTHBCxqORdJ76oRRzmovdn5JafWwdkZwbFGRbyzRVmg2tA0
oNw2CF1RnMgufNKs+YspFpcLFdIETq3Z5xNC+hzQYBqGco6squWoP+n3+MMf5lazsN6ne1siWJvj
i7g2Lp3W3eYMsUKmfheZPR3YGIk/yYwzFfRcWDqWiGBbcbxgupFD/AcTGlyUBhpJUzlPnep5cqbJ
D/3ZMQhDCE5agAFqEGAWNXnGvtvRiE76suBKNg3JpLDZ3Tz0Hc5t1iNI3m76kh3DDo1HPzUU+jCV
OT/6xH1t+zlsPfssHTQYYNU0fDFhPDQOsXmO4IU1kytrVKcmy94avX3RZ8YKVSzWAxy7KbmSY8nX
Kt0FjHF6Jm/6fgSqFM+xFprWoIUxxzOODaSBoK8Mnc64JfOoAgQ8HfIMJXMyhLSooMrpF31iVzvR
szoon1ZD0ZDklGp2iOJ67RibyZWrLle7gLDksENqTEgU0dGU/VfVXBlR6RhMurL5MOOe3aaV7T94
Bf3lCakL1Aavu8aV8TEw7Rg7bXsecY4aMEDXjFPg9gZaWaFenby5RXA7FTMpVUKPVGlTwJTNSXIX
jqowWMAN92QQs1AsOVueAgkBBplx2mPDc+eM+perf+RjO733zA83jlfw4Te6i1+za+LgCtThbesk
KwTk1/lPjbuoHgsztkI7UJy4x3vk2+ZOIaULguENteqSh2RrP1o0ZEGP0qTu3VvdTHYKTCc/tqWn
ylAjJXEoYGufWcd1446UW6JreVlVmz9IRSxYNllfrtqgozYR4xN3GNVpgto938DVYLJoIhiqGDbO
M2l7MGhjjiC2njJ3ZkSSVF+gZFd0tGEio2rcOhiudmw115JF3iP2wfKdSAK0bYI5WdV5fJFM1YUF
enjlKXfA51vtcGDsA4KgQ1J8yw82FLKWA1tsgIpum4zuetc0bRSYkv4MYzydGOZrXq1z8rK6oxZa
uS5DubhRdtS3dhM1JYBW05tOdIBpdw1ih4qUYJxPDv67KtUua0Ftn3slOQPTpVu2TzZQDb4qoODp
DROhFSnI68JgQUYNHSWLPNYcCqunEmuFETNIsXx6au6QPVZGubHUkkQZrPw7vxAfk1XedRNvme7q
e9vtaT5mF4FAMGAkz4XHBF/AIa4a5AiLlmx7tpAVESHnUdlC099JltAcs8sqNd6Hwm3gmRCEZHT2
hZ4MQ1RaaBnGdB3U0/Lq6lX7lJE0tIXemq88mkIRZ8Zdv2gvRCKv61TSonOmCB0IUUO5Yv5aHOzq
s8zjq75G872k7I7zKbWJh9QnMjcwCJj9F71O5pl6zIsVLw+Tn2evw1jfLBSrU0uDWozrYtQoh3x5
4ff9BfDAm1q9JOTaCdR6ukAtVnq3tO22uGa2Q5ytz8oYcPar2AIwbtC8a7yF1bnzN2Sp78ueNcla
OuRc2VU/4i4aR/7D70k1Y2uGyIlc4ZrxwF7kkKwb60OTrPsJLvh61I8ta3wgQVN0t6NJOBsNa+JN
h2urlgTaPVYD4R8M/gL7vvaaQ7/ohzQ9HwXsKcYw6lIB6pFfsyP62rOGGQqnC6lZ3oT6Z9kaFnxe
ozvmTbxhl4188gD2hmmutHGn+xWHSJ69zN/2S/qxkCzWN5ibmoZhi+QoCiE68U4dvfyCvI3tYDsb
YCsrZoh3Zief0gU+Z5GsU5who5PKiA0y/bISVtmzNH92iz01fthWcPoVkqakT/atu1ySgc6bZcKp
L5InXRsPhUFrpbrluDltcqbEM0aCsMK+3NZ4kLRTX4G8G5O1wCCjKeoGi9qiNRgbmBcD8jzhqj5S
mkUXt+ppszubymzJeSLqcOWM2a5WKAGArvud2hoxYsEcZZVyyZqp3pzSfhq95ZqeWxnN9Pbd+mJs
5Y4gv1A5Mr3Vuhr0cKovM8D8hT59LpYf5NiZzMrtrxlYcam4UY6404PiXjmHoO4jwgXuodJfTQxN
WNhbKirRrWe48uu8KJBFNFtGjTj3ybBeKZ8ne2F/XNeyuLJKqR46jqcskCkNV9opdmIfnAWc80Cu
gTIA8HNwytriPijVvd9Nu2zwmZNXwWWufHmU+pBfIUlS1804X8ym4qgTf/5FVfd7gehPoZppWOc+
6Vn86n8Hz4pgVIS58GjA+nSuF4TSeMTqofisCTt6kkSogVSuF+84j4IQeYQZvbmeSka969/8JmdH
8b9Foqj5zso7co5gO/wU4X6Tqmao1N2qN+oQ+V73FpQx37RBT7DErlMXd7LStE/a9pCjh6a793tr
2jC47PpIU/+X0vUziOsnSPlsqf4n3SXRBIDlul+kl+e/86f00rX+wPGLjZ/dBZmk/u+MLsf9g7aI
CTrM+lPe/VcVt/4HnIGzt/YcF/2r9NLUCSQHDHPWXkIgA87830gv/4M2gIoT+AreXTCi5wThbw5e
lcuyJnqZ0XDhGQdNevODK3OsNPUAmkL107DpsF5FuTw3KPtG5W+TPnlfUtIW/8ud+5t36zunhV/F
cNA822jFMUSZ3x7oOlg6DSTGQpRK0u2IXVeRp2XDDlilhwbGTvtb4rziD4lc4jeW8+9idngV0Ba8
M0YCiir4il/lp7CCCX6xVBMFWvro9wZdinr+kc/+Bq2R9ZsP+y5lP8MxuNTgDHSzQTB++zDial0H
ODIEd80mxzAd3iyBoeqfb+bff4gPvYjL0ol6+/WK0pF4hdLRRGRWmbGnuz1GCnX9/T9/yncbNCWi
6/NNwcOAzeJ/93+LbuyZSQ00gMfm1tHIvJ4TeQo89SMx1EuhxN4fq5uyDX6z+Nm8HH9Z/ACzeji9
aSWCLkKXDtbn18uDrdZqSc9ZFMM5eooBb+iyKSZfPsU+LfNNjJYY3UGjv1nnIdesNQEnphixqRyb
GMEM+xO566BrQktO/sOyaAHlXhXMT5k1CsWiikEn1MgdUGElTeKz6F0RMtXN1qnvfP61NoWVPxDZ
hFDHLeK9rBd1tcyOZ+4hOJUmTVLIcmHTaqYXjgNjnX3QtZ5ClWQPziqoMu2xzq1H0qslTtl2YGBh
9INnrJ38HChliQ613OI6lHX//K39x7PBFw0JA/SBDovM+Lkm/EVsTWet0Qp6xxGDnOJS0+Nh3WaB
95tP+Y93ygOb6uBQAUVAStb3d6rP5q4yelJlJr2XUdC3JhVOPK8IH9FREGEG+Oer+k7gsD0AFWdU
veOx4DreN0OKi4ETMWTbR1jt+eYGIsYpMxEpC4pzWTR4sxfaQf/8oX9zkT/t/y46OA4EzjcOQBCk
KO5dSlevGG66VhS7PiUebLKCm3rBo/vPn/Y3X5yPAM5Du8iKbZ4tQX9VySsejrE1fCqwNB9WVYsC
awjm3zHUf5LZ/32y4OUCLo+432ENBoBsuN/Wjt4QuNJYuKLJKepXKB2mg8Re0HwkDsw/+aM4kmJH
ALxKTOCki/SqTZ3ZyAXh0XknCBTOddYxm//z8v/PKfY/iFv+8iT8jVPsfMp4q7O3X48Z/KU/jxma
/QdkIguAG6dCxobgKf7X4qEZ3h+AwHSP7EjarnBweDH+5fEwvT9oWAcQ7HE7IS1y+V//sngY9h/s
G/wx5CiQ+ucV9r9wePz64ILEMVgCSCRl6slLCiXq1wfXdPugGYfsNYOJwdhmjsNhZn3+yz35m/PD
+Xzw78f2Xx8Ck8M/e0gwlHzzkNhV5dE/Tl4nv0h35GsGtN017aCLyf3NW/+3lxO4Z+gZ4Assab9e
TuJANA6W4MVYykKExhSMd4ST0IX55wv6z48xYbiAVwON6fLNffsYFdRz7krn2ZIj8ipYBcOpWZB6
/Oa+/XruOt83PgY8EkEXjoO1/fuXk/mZ70sSmVNqttyJraeEMMYwHkwjClKCoGLPE+Bjluo3ZJy/
++AzkIxQg/MziB/xl+Ws4AGkjNWfrSqPI8uo+izUOwLWCTkjP62ozEiAFblatEz+hiH567nlz0vG
HEl6LswwunTf9oomA0bWGupZmgnTq5kOZrya3E45Gyalmr7rrRo9hDvHXrlpHDQM68YXk/jNY/Sf
D+zZCWVy/3lo2Se//RbukolSCfN5yFN7zRn0JIVGMxFZzX/9QYFLsWjorsuzRLbDrzeaZn+6eKn1
jOZcbuLBkWvkcNig5yT5zRmeU/P3txBLmM8fA7bzXA6f33bE2tW0SZfplVqspFwtdpbS141n3hO/
ERVWjgnzO+gKgI/mMsYHL0gY5epuxWCnW1xlMcE+z4M6zMdzVCOtf489JjohO471Vk09refE6Fug
nLWs48hVwObXI+8IgUsLieHEQhIQCpoNHSxNyxopMCg6Upsw6aRszXFnfPimbzOIHUmgCO0Y4xLd
oyIhcBBOUxXWEofHVgM0DduF9L9L31HDkRSyZd4gh/bx38hBvPlEDduXnQYC5JZozfTJcsldRR43
680OkWOALyLPR/LfDGu8FtIdJF6MyZ9RtwRo7jVAc/fuCDZgZZp2L9ZiQZWyqiZGLxC/q+aTow7J
wiU0oXEf22Z7WmihBqErWqSAZVFpHjC4pNuLWKT6iizJBolf6wg3dBSingQnv8cZNaaHMzokT548
yBDWhapJYQqrIhtfU61OP0FhOn4YE0pY0N43OM+8IUbXk/eBJu2dGgmDuxoHN4abMrc+cBKDYEVu
7FbX8pS5V29aKWYgP08tPQLva2m3DPs6xhao2+ouoJrySG4rbnDsFi3m00orywDVLDq+3tDWixDt
KEJbTDVSY005Wtu+CAGI1Lo1lf2zPTk5VXdH2CUdDhxPJZrVewA9TT9vUUS0CMStoeiR54N9kfqG
Ke1ocoYunFQ4PjpBLWlsIgsXj+DeU1Vy4ibLV+M8augbRGl8+SuNaLwZJjTzgNKyI9dMPKqJcbQG
G7OBN8BOLDHB2/Eeua0PP2GgTO9PBLKqYqbJXbVfqrVgVuQc3DCojHPfihibflIPy41jZjlihMIS
Vptv3XxxznOvStfq+qFLz9n1EfM/Ok9hIwVDJNviozIgKkwW9+f8FQx7vdSrqzTQC/1iHGNX3+Lh
aL+mpZkUufetfxmkbiL2jVH5T1Y7Qrrrbbf8kZeNmXwBWB7sq24p4Zy2EuPHtZmM2nXvgwTezqx6
6SNxZqZcGX6tm1uvnSt1EzfOeMu24CTXs0gohQxZ5y9z0+fedmwxck7MAZXBzTCnuXlKTUMM21S5
vnXsQZS4qCCClmmZcy7Zc1JmQXfQ4X52C4S9YaW6mng40CEMdkEqmFsNHYV4T9JiRuCZWLOiNeka
/KiNUAdzKEVL8gzuY2yZX9OffFimfrROTB3j+DrrSQrZ+As20eccVYt1AhOkp59BxVDro0P3RZO6
rBbDQM04VGaDQtYIGAHPvO70EHVJ7BvGuDzo8cugW7CQl/dT7Ieya8f8oVBZi4Yya1PGFIvVwMYJ
m+bs58I7bTpHjbwGvssUJE5t5O7NAn+e5qWrIR+qp7G8RYlcIF1CexDQODZR3xraaCNByDtXIHsX
5nHCIEKmnNGWt4abzjdDiz43nNsuCaK+FBk4UidGIw+FwvgaJDd0A0Ur9VekfZI7a6HjXJirG24X
ElGcXlasLN1qAdmSbeGFs8NmDNiKrTm78W1ilfNjR0itvprrc8kJmSSmp1u5bEOo65lP1Qw7T3Hi
OQ8Nzvg6spOKuUPQqHbajEQFuRtTix102vWQkfQGg4Xccy976ZYJbVFLbumNYaeOtSJlnPTboouZ
amR1MjJzr53qmjKDpd3ArfYI0TJ5Bc7EpNkptPhFZ8r7MQDXOM2kr+ahl5r5jxT4CqF3Xda9upqu
XwqJiiki+qFIwmHodTBT2BZeGr6+NpJO7gEttzrNCT2jCV6doM4YldltfcH8p3dXwHi6p27Cs7r4
TvWemlA72D9q+d5XjTYj0sYnKua6ybapa05X9Wwg8yw0Wx82/lz5Y5RbKnt3yGlkFrqUSF8H6y2v
tNldjf5SM5Xq4bQY2Exe09mwHwZdmz5YoVDJN0MW+BHbnIFL1GvNYiWwAuIT1hWWYZV6X3My+ypU
fMwQzhLPZyT0duIJLINaY3Q46HcKCjWZl33LAF5wVqTn4RBCiygyNrQNF414rFJB0eNuM0BhCZya
E28i0K6wGszFjmhBSJxSSTFd6aqbEHiZ7nKzOLb5NWRFf+y0EQUQ38AUuWysyNKLwSwveXXiqwbP
toyASsdqVQfkmLLQUgxGPhkmQ6jYJQPCZ31IbbUA9m+Pc0aHSBXJx5J7tQkGPyVv1ls01kITkRGe
p8VprkrkRNgx1CTe28npmEIYI99LD8rwDZiONKLG5ZixsZYazYEpvbpbKx2REVorgXaMn26Zb/rd
WKwLUi2PaeFA06+yrs43UouLZ16Z2thOMWnNJJ13ZFG3ZT+RxmMK584CTPovrvD/la7/Y3i0B/7/
DfKrLPnR/lK1nn/+z6rVcACSuIA+qT3MM1GRY/qfXAL9D4MtlA6VTweTnBpPp/b536KVlrqBZJx6
8rwfEqzw76LV+MM956UAbEeY9HM6818UrcxTfjnLUhhRHuj+ufTSEcnSKP/13Jy1cskSpJQgCc3x
ospVAw1Dhxe+mjhmfeI5YqLWDeh+d5qARIQyXPb6AYxtrG0Jv8D3nhbjwsFHC/Bwxy4lyWfqL5m8
mXxLu9Jz/A9b8AK1iuxJxk+l8PGWze5cf+D9St876HN422vDDwFuiHTlYo09DHrbJO8Tm21y1ExD
HXyzb7acOlD71IiFQaYhdd7ERqXP51Rlmo7OmmNDHuyX1hbt5QKvkA47+8ED6jiXVGi4iLyC5M2o
tepSmjpOUqfqa1GCUZY7LgY63yIXO6TgXr4WsN2T9Yx+akLmgFhE3y4YuAj1dRBN/KhlGZAnC919
BNVdD43vQXkEEGjvOIH1Fu6FeI5Z682lYYK4WNaVi9vCWMXjwJ4CpjJlI1ZjS06HpznxJ1T24UkW
y7SEcolrGS6cUTbDyMCZss0f7xYv4e3V5cLmpA9TelMMeA0jRCvi2DQ2XuTZlLINxZDFcdTrZxNQ
3HRG1ObCvBMsLJuew/IFh6o4AwZZPi8GiX4hveX8itG8r68sDhMfzWgX06qf6/Q+6IRFOHgRoAJo
iZOvUFOSu0u3EQd4gBrXaLIqZu7etvsYbQ8E4sBMwQMuOkZ8Fmb7Csl+J3AF0K2N7Hx4MSaihdg3
1HVnpsgEAc5tM8CdmzY13btM2OLDNoOzYVFOKLAKo35eSPLeoWUO6qiaPfWokI1/cjAJDLx+k3tW
n+kacgc7MYaVAcx/TWymeV9h19XP6stGxTv2Xe6VO6GIj2jmJs2pHHuOoHSyvQEtbzsXR9Ckk4+8
qvdnAHeOu1gYnhK3s94IKaoCA5lK0KkrDi/FgiWmF8g6MwqoK80Et3d+Lwq8JZ3dnNTi5Be2bIPI
Kdzj2MyXCsXZQPo22ehDA0pOlmFaZsBnMDrVCO/CNoOkp8ugX88+sQTdpHOyKOv33KEiaqHe+Emi
R4PQgyScPf9jaoWMSJZPEBigFDMwQOyKSTHMwd6ZmFgO07REqJ3MaB9S7bEv9cfCjq1tY/fdRpFF
GJaLKLe6HI6zCCJjytBLcs27pRRbs/MeY91aN3W263wIBSbzkbBYjDzU9HZeo1P67Ob6Gfvdu3TL
i6xBBzC7CYxG2/+BCOlTKzkM+/GNRrl6X7e6t7InYm7xpvLuo2mKhWlG1oL6ApNOGZWT94kVHrnc
QmI9Z5SEzoQeFY6QW38wrpWcCdWOCb1sZnSezOyy95Hv+wJF2hYK5zHoJA8NSOWnukmeekTbQZC8
2tK7n3LE2VNWvgZOH0cAnv1o1IYr4eXJi0irW+KP9sQTW7vcyFGBD+1BeZhUeqFdJ2m8y+PyKU04
QYMoq/FY69MKE3L8gLTKveuEeHDE9KJVPbRU7CBdf6HnSQlCY0Dr3lQPtCIlpLy+wa7KaaUhnQfP
k8NiMXvzcpiEe5dPHIbKcWz+H3tnths30m3pV2n89yyQwRno7otM5qTJkiUP8g1hyTLneYgg36if
o1+sP6arzpHSOtJxX/9AFVAuW2aSGYxh77W+tcH84qzoxskViZFE3SNn3oi5YM+RlGjwRp3mU+3g
MccXIdZtnSdbz0HlXgq0RGnef+OsBCXJdn7A+csum1nPr4BPXIMJxJ85sls1Qse/YKfPE3HhvEx2
5xHq5bTo3O2PbWcgJdKBKpv6yo+t7Kb3+z3SUqiKlX3oUDGkKryH9PhQ+mT+1KmvB7mlvvSKeONC
gYqIZrCBIGfjS3ahpF30BHs4erqPRg6/mm0GAyfZRalHZSQxL83Eb8+jRqRng6uRlB2LmqLYeO6h
TnWH7rpGDX0FKjEOBnd+pMb2sTDs5swZ83aHavtrnkfFbVuBa8mlwpynozZOeiH2RtjvhTGqK6/N
UUq5CTpJXQ8Ss7nolbXpRVFtukxL72kC7ForeijkYGHVsT4QsRJUPWFNKHqLTdoYPtKsxAvifqz3
tmw/dWr4USCAyrLkvASMyXQ9fIbeeN95GhiNOdSuVD9Rk0hgX/QavsAEJz4pCJ96zndb3TLOdDlf
VstEL/Odi0lwbaBOnDNC6GPeKIrH4S6xrF02gLR2YhIFqpG4coQlle0H+YQpqW+063HABq8XQDSb
K9NoDt2sa4extG6Y34ord+aee4/TUJpgMrXt+sdUqk+2Xv4U3XTmWPFmghoRqKq6GJPJ37VUerdz
qd1wHIlWrt/yrivtUAD/qceuf4hRdcNeUOuiAv3HYTBdAypw4bE3j1U1XRc5cvuo7h/diJYvBODy
3GoTjW36ou/vxDbTo4/z4JuB20GNHf0fwIM/9H1u3VSpfeZI93I2wCCjUg+9otyztGcJ1BeRM92V
ut03P/Vez+76isGI8QR7h7VKR51vwOeItTXp2+erytW16lFhjsC2GLsL0DPuZ+OzFQM+4JBHs46t
tmBMbbuqb7CJmO2M2yPvBUG+m9koaIyakWsOdeDPHqxXat9e7rl3HhQZedEXTXqgx15o9rrsBztx
boRXVH6z1YF/DtVPYQxuVRzotqdixjRLvUJfh8A9jHUSRzINUj5sx85JABc5TwwZzd8svekVuI62
VJ6xU0CLcrED6CjtdBealVDljqRYhR846sq931qj+MSXJ6rxaoo0/UyfYv+aqDZ1g3FFfyDyWNRB
zVoh1uwfKPnctq5Nd3BPyrgjVkUxmlscrXNkfyH/nXxEjkYQFDgJM4ZucsF7qG0qzaSrebBSlAoc
pJRraxtnpqdcB5pu1VHxFV4KxTByqT/pRiFz7UOitxDZDoOX6feqzOXYB3Hae+uZhc8W5QzAaBos
q1EXaSo9oPRh0sTWRyrI2I4Sm7z1LEMhne5QNy+ABjPCmSn8dM7itekbOa1wdHoTJ359aATw7dwu
mgANv+vxeM25tAk9i2vay7AVMEnYWWECa/Uw0TRBNrPQXMVh23bADjhksiOkdn4D7XFyAdc3xU71
EWkyOGu75L402m89C0HyyYi6yr1VRorGjcZiXT0kFgN1wxbqutWGlPVkFlT/tmHbR5dxp5lwmigJ
SZdlZ5Z4r1dQ2+Ny3CElaFBLi5xz+apsgf09UeyckmuZear/2lfULQ4AElQYxA3bMmqRPHTLgmcS
gMJT850X2ZazRRAs0w+zZ+aTt0kAMbnbngbNqkzGMN5lsqB+nLpjqr6UsLs/hgVxkVDDHaOlBF/T
tk9Gv7Gu4hFrzirJp0TuSpVjluz9tO/OzFxz9mCUGiytoZ7qvN54pmO2zAWQDWBIAeUwINIYcrEu
xuxoAt70oghq01+QLxopaBHIrbLDBZeiYjfi6UM7RaW7JaUiyw8GcW/W51gumO1StjSVaupk/ka5
cVXx0EbIUpHJ8V1WiBeaaYaT1GpO+5XYaIxZKkZ352X5WdETtzLArsGWUc9fECXX90OeDuzVzApF
BhHBnS12MktDxGxa1GEhKIbAjBUms7Sz15wOtAvlu9XBcTLrIhsHuZ8t+Lda5zYfq5zZzp4gh+LM
l0HP4z5zMABCxPDE3gUOeKZ7TFvcpbbxY+BlbuugesbUmu2dJmQdA2Z+7uVDsXbDvNuaiVPddbnW
rzvdIwW1qq1LDYIv9iIXelWspZ9T5ep0nqP2Zzk17BJd9vhPOdyNn21NF2CF2kF78IahyFeCt/wK
/Fm6MQphr/BRzkGTlZwajMob2Pdg3o3dIt1mZqc/TOC0UV4yjezTCS9l0fRXfhgvIQbVQ+053qrD
4Q/ZpPGuG+z1D5xZ4w1VeAzWVQa/S1XIZDvWykMLh3eLLeVBq2x5gLw07e3Wh8WSaJDsiUrAKhgx
MWpR5hwiz9K3UzN660GUX1l2iKSbVP0Vxz+YC1ixaxi+8edaL1Tg5f25PyDfM+kH4BqtOZ64gM63
PpVpehajOX7xu7DF2Z0Ar+AItfYmx9qrpn+CsR1tF+LHjZTNdVGOxQXoeBTnEkVp5rGWA7hPAaeT
PUP5zxeBkI31SSXDpxDs+CHVgdJ5hbO1IhcYRzQ6G/BfxpkRAQVLmyR5LNrlIOsWFeZgAx3LYGD9
Srv8tolazo7SUitpjfUX7oQt6oTRf1cVIwAeDpSgZIz5SkLWOQxh63LjIxQWMamAO+mz7bH88O9K
zL+oVrxVifn4f//PUCZV+aIYs/zIr2KMbf91FIu5Nr1YWsHWfygI+B1BwYU6DW11EzkL7cO/azEa
akQKN4u2wOSY80tc8A8kUhh/0dilemJaMCQ9Tnt/IiE4dkP/s73P4kFai24h8TGJNnPh3r4sxsBg
7p10GeDkhsbalSszWa09+ktaMCrdcSkHElID5YduMqVGf8Q4LSgtnhutZXEwLJ252ZghK+ZO49gJ
P3YufVThSvCejU2f5meuQeTMqrZjdk9eQ2EW2wYLZNABoaMqzTH8umxdDbtQvMAdce7GLLSF2/6I
rBT9WNEM5seeOknLpF/bwKZyn/1cIodub0XSHFCu1187kE6PsNLdBwtS+Y8/H94f6qfytm+fnvrL
7/X/XN6MxwpVYUJP63+//GX369fRU7VoTl78YnOUwN4MT+308YnpjR/9FaG+/Mn/7m/+j6fj33I3
1U//61+P1VBSo/34FJ2MQnTUbw3c26fpMX7K86fu+dA9/tDfQ9cBlYyciNFBldhhsP1TR7T4HX1R
CepLLQ+NK7XCf4au+RcVx2VMo3o1qCUuopR/hq6h83OWu2g0TRKd+Ok/Gbovy4iegL1Ky8UzkBqQ
MvSbwKKchlaEPk6dAbzVdqo8XBChNIN+Uv47Wo6XkpG/L+U6Nlpe/kFL+/IlKS1oV5bwQs4J+ERo
a0Gtcum0Pnv+ryhtfr+Ka+rQn6mwCtQTxkmPv6maaUwalszUMwvaAp21KTW4FH98FdvjL4eCbQu+
hUXE8UymiNU4nMK8jajHwS8t6MRD+OmSX+vBr7H6yr0YLwULyyNbhAqEB6FidZEqntwMk41NBGUJ
Mt6dflDxwd3PZGGtBiR2qbAANrpndRGtqim/sHHrDIUeUCQLsNCt9CW/oLoWtX7pzvHt2/e/yD+e
T3gYUyzSKi1OvQKZyiIRe37/CAntwsMcBnwHU2TTF7dVZEN08mIJ34RzZNjRTnn7mscBcnpR5ChQ
vU0a/WAZX150jEvZh8Bm1n6ZektoX3XoCT1ZT8rtdrZXAO9zCH0BrycPzLH6ujWcqzJ21M4xMUsS
pdusIjvyNm9/rqP4++RzIdthcRImIiUeysvP1Uox+T3t4nVeatMUVFiArdYQWuCmQ+WsBmOUCbqQ
yfg45+rWUShv58SvvkBqnLD0mPICTVO7O/oyQ8+NnrQkisBKmFEigO5W0bcB3cE5Yuf54yhGVQZa
SFkm1RILVKRGGllrJqJ453H//iKBfCHmj2nBQgd0mg0mHRcaF7baNcIEIOMmFJ0mgkzw9sNjIjsd
SEj8Ud3paKVR4568SHNG7dpOABZqtg5ir1qCVKLCAaxnNoBhUvedSej3+W7JVaajg8EByd8y6T4f
uJzJCPxRxDZ7MTUQ2YzaCsCNE0zTuxKq1x4geBPk+0z7TBbmy0u1kEj1ujFijOozThjdGHlvRfne
6Fue0MnocyykhY5wsX9Zp0HAxlD3GPN5grPll1cJtJAPrte3mwyk6q6vXX2rG4m5HQa6nDkFkQ9h
aojt7BAlIi/HcBOPrjzU2W0f093GElRcx0jNOWJp9p4K3ze0xaQKRdpC5wrnjfBIlbJLpW+A+wK4
jJp6LUhtOnh+mL8z//0+/dGCW5Yl+mYMEOvkhdeh16iB9J91j1McJpjXrcmzz8GA5WI9mJ4TaNZA
Qa/70/g9pje2lPzLBpHdnLmM2mfTu2hNp4saN6YjYsZ7v0HEQsGgemfsvzKJLppYYTuWveQXnmjs
0JPkLfnpMW0VgbTMm9RuVnTSAQw4a09OMQFMTvPORV97puyJdV3nbTP008Da2u71keWRFKeYzET6
4tmF5nvZbT6KZt8mRvJlIFp965HXdnj7VX/lfWBdZovhugavg718smcPNeMdmeWUJOsJTuZaK3H1
c1of3nkfXnnBfZZF77hIsIk6ecG93gLz4mLrzRGrrzMhFMAlfQrqVIveGZ5H9enzV4/9GyJJThac
IgDSu6fDZIrZgPS1tcpa4xvRp0E8qIDuf7qj7YahF28blctuq3l1cj215V0MBxxyjAcoM/HyXd2Y
w0GJ3F9XXpn+4eP+9eEIPceJh3z6NNzZD63GOzJ/ZwATN5LU1suwQ07z9pd6PNr8/gz+8zIn3ypq
B+iYPYeSEvTFxphgzcdjjcZxnuaHjETfA+Fm3YVOLtldk1McrAbS1JIhHm7IWLWDvg0fFUe4VZJY
5gHI4bDVpuKeJQMMO4FSN6MPaEeQQrYxZZYA3qSaZQz+0zv3sXxXL+/DYh8slrmaV5++/8vRycQ8
5ZRWLWrv3sbzk+YHJRr/My9uQv/BHR5AsoI7JksSx3yF9nEtO2OCWUSNhLi4OL+vey0yltMdCW+R
QRMataxLs6Ayjduco6C+miobEPfg9xZJkAkM/bVhjZT7ozHJrQA1FFhViOoReH/YA2/f4G/OCQ4N
GPF1ZPiOYM52lxfn2etHYkAh3Q6zeTMY2OeTSt5zW/lGJcCd2XVgMDM9PNy+3m444MiPCX7XxC+d
TQidsOhs652Z6JUnjsVHR8HPJL8c7V9+oI4wND+z6LiEXqU+57b5U2tstEPUtzeOlU/vXO53OyGn
JjLkEXODxEFqfPK2Fn1mdSUv80pKooxG4yJznGE9qExbU5drd5CR2Jh1IbxKr8kIESiIKPTVO6/l
MdP65UDjlWDSZ//K7Eu54OVtT17WLicKb2WKokYSlkV3/eAQDcjQB66J3AIhF+SUvKvOtblHz+E3
7RrNl7epsS2t6OIb32tRMH3URXaGEATalGb5d2M2wuyxrSe8GBdvD57TSZVjKI42LDeo85hXTp3F
wOLMeg57WNft5GxReD3mEWFp2fu+glevhPidgy1uIttfdjvPRmnfNOhtG6mR9lT+LIqClFi7lDSD
dO2d8XC6+nJPpARRd2W5YGCcWjqn2poMyp9AnhswMd8OinLRtiqkDFSCc/ntB/jbWCczmzA1ht+y
k8bB9PK2jDkeoB0Daei7WexIS4zXADp3Vb2hdvreQen3O8P35JI0y7l+yek5ebH8ulFeJpmsQmeG
9+GNVbtB1NGs9Nxu8anm87kRk2v29i0eT9YvBjYzDK8Y52HUSex7T1YCZLR6D++Y/ISyA/8w3I2F
ukSVskpb/xwIy1lGREQaE5E5Zu+8VL+NGl4nTAoOB2YKGu5p1HQ+2cPkS9Sp5hIiaIY1Max0Gth5
kyv59m3+9nC5FLow27a4JKWTE+NLGtZ94wp2McQzCvg/fraKVe1uyppiX5bSMpZ102/fvqix7Fpe
PlsXQzVSL12wucEE93L8jLAT6DoRc5dwKNs1NEvgf5QR0aYy2lUguakXQuY06w911FsXwBz7D0YE
57wlMvGdz7Lc4W+fRTjcPfUiip0nY9lLxgYD68j3TGszEO6SW+M3gw7ARNbrPHTrXU0z7APg56Jk
o6mXatWDG3znYyyj+MXH8PBwMh1ZBj5AKsAnH0OXlgXeBQ6Yxu76mqmkvnREXW1bjluB6Uc/MrsN
YbvCOiOJxvgAJ7fboWidaJ1r9qMqzN3xE/27ev8vsbzr/7WO8vapfIq+5y8qoMtP/O3/M6i1Ux6n
a21bFgWSpUb/S0q5+P8WWgDTxlEbeYyE+7sGajjoJTnysavG6oebjenk7xIoYXGLNZD8J154XLz6
HxXvX77QFG4oy3IUYCBZLgyE46v3bMWp2NapqQhvHDCdX53WzD9RXJSsx2pIzLWFquyBoJTw12D5
L0t7Lw9Dv67qLDJLnwdA62L5VM+uShoFSsvSvyEQ2QHxViS3zRQl58++hutfL8PzyLhXL0KxDL0p
ByL4LS8vQrxz40W9d5NFlvV1ctvuLosgZr8zI75c237dCqs12wKWbMycJ7cyeGGDfcO7KYaYFrUn
IuvGYpLYRL7U93rpfnv7pl7O9X9fzqBxgzCX2Uec7BDIzpDuPLg3BkClc5KRbyNp2BfdgDj17Qu9
9vQow/9zodPiq1P6YgAncSPzli46GtKV3mrZO6vma6OP4yNbKteyjKNg+Pk4cID7F3Hs3BSh53/k
DyHhUZzVzjDfUY73U7RIlhPF7+x9Tk6ufz9EV5Dfx+QI/+NkZOTpnExx7t10hdkG0mrhWTU90HrA
VuaWBNbsdmj9cFNSnyc4oXO2gNqihyRy3BBn1ADCMa2Lc7f1mzMZ50YY5GVBwPvbX8Crz4YiHYQI
VNVs1V4O36Ft2TSlLoathh58RnDw2ksBYBeAFn8Kc/ava/px+7cv+sq3DrQGZ7FJBwEAycmTmYY4
tmIpbhTp0GeilX4wQ7n98xcT5govPycBpp1T92yroeSbBv2GIJMMkT9MgKQl7/btO7FP2gfLt7w4
/Onw8KZ4bMpO7qWOo7Rt6+RCzaNrb1rbll/91Murs9YrvCpIPJ/Mtxzy4RCM6J8QJJSwwYG2mcaw
n3S9+UkNNcRLT1teUqzB7rZCKo3BCu0VXgpYLOGF08xQrGSlNLKEoKh+BFKdAx3zzfAaBCCHhibu
Fb0BP6k/uQ6JJK1VOJIIq6b9GaNQG8D2efq4sjWz4+SMWoKuvFabX9TYjuVKiT6962vgxpgajQMH
XLMnRGUgZ0InmgIrLDSWDZIV8sZ4Y9UFvBTzplZeKLBoJtl320gT0A4EjhvrynWMHYZicxEPlIRs
gdb42JqNqcgrq03ky0Zb3Cza8XmX8T/EapItUKhO2vKbYyyywRx3IVbEpi6I4eswAK6rCd8V70/Y
P1lx2QC5NXrtMRqE+olFyjp4ZQ+r0pYI0Ndeq8W3PEf/gDqsIIeG1GJrzSsWnTtNhQANF3V/p5uZ
SLdR2YcHPKKkpNQdVEjAu8TzbsKskvGurIxx4cd32U+SjYoJ6Cckx03S9HN1IWRiItplCoMfFpMq
hoqo1Z5aheA/oOVs732H2vpZOFiSTEKOq99KMKlqReUX0ozVaFDMFhQr4YR96d+aid1cRwWCxarg
CjCh3fyuTB2/W1WoJz+xqEDQBp4Rr7zakfeeJocLD/mdGTRm1l7PY2efN2igv8c+ypZVevS4OKi3
v5ZH50tydMF0lsLLevTGiF8+maNnBqA//hlSP2QWxL6EYkkTnKLL0WjjHk03thOV3xPMNRKbD6Xr
lTHj0CmOZh1qHtUVYB0sPITCgt8djtae+WjzwSAZPdpH8491NAJFZTs96nKxBxWdm2xMBU7YrQeS
jGYsY3i9jpaiCs9TE7RHp9Ev05GUEMeLoxnJyzx5i++rv2jMyvxJkRLbUmYb8lxEeJmqo62pHBaL
U3a0O+UTSU+YnhYbVHm0RJXQKmMEkotVCuQKtikfjTaUyaOdaoQTrSAg4bJqDDbZqwZdHNWkUYow
GBeewWqKFoNWRADAT4kjgbisxcEFspb3psOMlbCu4K0P8qPhKzQH9ZgsLjCY6R2pbjjDXOkWmMRS
OIJrsXjH5OIisxY/GfDQ5ME/mswSC3JMkPpVdqiODjRSXdRVc/SlJaVVHYajW417rR+So4dtXuxs
uh5G93yC7gs52rjdnJJW5igKgi9IVPG/Aa4O7dU0tnBA66NjzpqH6T4s+zneiKOnrqd8lNFHxmqX
Z3r7LTn670pVpE84WHHlhUY53hmLVc9ZTHte6TXkCixWvrozrM/KXPx9mU8eO/ZPXH/A4pBbkDSB
G1AcnYHdYhL0NJtoJK3EOkhcdnwpcECUa/PoLXQ5dDpbUJF4DiXBEFFQlZDcA+1oS1wMijoHohHi
8fBZdZSg1xNybB2jZY2nsT/6G4Fwy8/GYnpsUPaTXn/0Qs5HX2RBZbQjAhS7pI4KrcNz4tm0GI+O
yiwkkAF5yOK0zBbTpWwp9ZLL2eJOn46+TBawBOGsEPIa30N+I6tpAi5ta8YFR1wb4Qh2Cn0zHB2f
pD9FgCmAbkE2X0yhGeMe3uTRK9r2ln3dyQLyLNDAGXWlVVpnYyqzwzhTzrpUzOT1t2JoK87hZIeH
2lIoMpiBmgpyn7t2KrtILjwShroVNYS57Fe1tIthXg1uK81bu2jJe6r0Tlz1rdUjxQL3XwQa0WXi
TPPtuLvs8izVgrIvMejZtag58/Lf4WZ5KxTaZ0AwNIdmguxBn7ZMm0IiaZZzkm9GzRXnhpm4P0uy
Z6xNrhDbzKbEDUJPsMK5bdHJIgZnxAWQjPq5VqYCxKkZOfetnU8XVq3j1tZnXPH0nhztx5hp3Wey
PHx722G07iHP6oAtCVK/1st8fNJi23hi/429WJUQhNc1QUASHVkUp8hCu1xtSLiybmoRxwRKVDTC
jM9e0ul3zdSkZItN+Fz3jaeifjPjTtfXtVlB19fidlKrJQUgD3qV29HWpRX3wya2ciKqs83UHgIJ
Mm/lpktlQBISvTcJcUQH7LUuFkYVAfX0clDyE4liEM6BXSabsc4WW3FhNV8w9roqEL1ffAnxrPar
kVZ2fx76DJ+AdhELJXIORpaFr5OclaJGA2+ZcegEFRaHlVmWzncFTqHchEJidLWyDguaH8kBy4zT
hzn6zIbUFWUtWQaq71BHgSiotY2O7SPaWMPgMBR15ShCn/Pw0YTfveplDicVKTDvDuR9yixsPfJw
M9FEg5AKutlcExFEtqCV2nG4cgsTR6mdoN9bZ+NMyCmhlaOxSjhWQFtIItmgWmXUb9wsHAiMJErb
WtGkiZp1qsUs8w65s82lLpTstx2C8pE0vwq/JjD+Kd0nIUiJCz2vxvhMsRT4UL+zVB2KrjK/oOzw
DrgAijHoFw2szlYBo6g+ReHaJlMsDsYo6cLFRkRgW0GLqaw/zEZDCmpRtPbNXBjuN9FIOv2h30zs
T+ZeW3tGFtIbWPL52DERVlismgbY4no2OTKsaEloH4STk9vgdSZ6B/pWbBxMOUIh7UIc3dto6A0M
Xzb7vXWDKq9ZwMwlLFdTkleAu8aQQWsSUKAGcxj2WFChhStkIDsxhZq6TiaTYF+O7DFNUbRq2l4a
aXHraObg7dtJEkDaYM/mhzq/EuNZC4Qw/oRcBkaTBZ2m2NHkiQiMZBEpt3nfDj1fcSytoNZ7VrUO
J2/yiEO5qhKCzkKsJRIDl74jpaOxoBVDwPAhVve1IvURjFj2YaKJWamsPBujShsPaob3RCOjKEjY
i4RZMhyi+qnjQWd8hLgFZDCUNilTmqpbpnqbMHBzmIyLoXYA0TvsVIY1e2B6WX2xKFhnrVlMIWQj
fUgN1tdVEc45pns/9an+zRrzMhybeKdAoWMEi7U7BU2wPS+ccexhzCIbBfGcpF+HZHTzX8XPf9ed
/sWM9+zI8xt66lP0vfzx/UXZafmBX2Un0/6LmgSaCA9MEXWJhR75q+ok/L84GlnIAyxKhP5yavq7
5mT9JTgwskwAuKTP5S6V8/+Q3f1l0R00OBIaQCmR3v2R7I4azMvypbGcLpnQEfHRjRJgjl4ebmU+
pR0Ep49Nw0qINLv3UKJw+pQr3GTa5RS1tw3Va8qbVR7iDq1tcUkbxqdBllfxvSZdVjzOUQiukTkl
ya4XQ24jWKDzuNZcn4mPCV7yFmKAc/BwVV2Fq2OWX5mv7OkgvZTWG0FYuod9ICHvqO9HtSGVAHSw
ocfFd0ylEYTgyJrh12J1iUPoy0An6PssUIsbf57pQpATDBrF2Jpsiup6nTmihYpO8KbgtJX3zXQr
pyjOzyO7M9fN6BTIrW1OiPRPyfN1oEynyS3qdKfd6a2Y2HDKccSnCp8w3qhsVtEuSvqGMvJYAGon
Arj4KgfNNemasq1dR8LAvkXkSPpTH4T1tXGS5ipTRck+RSA0JFk5KmGwdIMABTGjVFlDU27x/VgC
EDPAS8de0TQF+Sx0DKMbtN763p848hKymmaPqQtuP0DFzykKH2pubPF+mN/MVDSf6qGLMPNHVbv1
5rABxRQJQUKCVae7HLMNmX9eVy/dD4NwzDb3jOR+EGH2aIdYk4N8bubuC41g6d8LXavvU5WzpU0j
1ifgm2N+gAhiyY3qC/tLmfTzd1cljBMtLqEe59AzF/2YVGqt1azvMPEAR0rOy4FblHO4wkaTXbSu
gekgq1qO1Y1Lc3XtiabyCeTyuw/S8m1k+Yz6OMg0Mqog5k/zBQIiYQWNxEO8J47LUsHYGD2mj9hQ
6Bo61gqyuD0gzLTY1ILhLzlsMLro3mcFjqVF3oE5CCSxGa7YjcwwsJtJx7mo7I5Y0hJ22SpTlfSp
OZgkeKVTFz8tRxnIHBg2gUMbLIVrUoOcFC0MBoWVH9lsTDspvatWkD+3kr7m457G4INt0UyzB/wp
xrWKh7zY5UpLfnhdL8Vq9MuY3U3njHdJ4YqPsicfllTvrGhZW7KEN4BoiSE0Oe3GhCqH91MW+fnP
qGiglGIQcObhgCeB0bEi2gkkP4oKB8sgbziIyjzzHiNvkO5qIICqw+sF3411epw+5OZsYkeYp9a+
1Hqmg3VcDeNXQrGcS78qjHqnc8AlBtkoySx1C20kasi1WqJSkik5E4WnfkAZcyN69r0tPuOHTI2d
79Zxvi9RyZMHAiF8Z9Zp/xD2sXsXzwmV67kr8hsUANRsNCfv2ZV4Wkdqs6sNyWYaNLUXtYgwKg9+
kkLUxm2pEifbFlmd7q0cDNKu8KL5TsrOIgagFv5PvY4ybCfNPF1yAmk6dgjCIfYokff6GLdMXY0/
TJuWrexnWtouRihB8M3atZrN0DVVuzZwlGE91WNc72Xa4NKRYITY9KUOca1eWd/bdoQysmtG8z4u
nfRLU9BkXBc5mc2Axxyst16oO9eSXAGN+kuLQlLVxKB3vp19itC7hFdpnTbE+PptftaCg6wJvmT4
blG9tUQNkt42rUnVgDFj9P30E41hqTqEs+4wOlvXzCqLvVYpi4+cmtkXDXUmv4ekMnzAM+QQPEsk
pLvmADolATCY4jIdLAQtKsZdg+2vmT5EPZlC0OmoH2wBuphUdsKWPV5oe4A+6TQgsSutOO1uSDxw
NNCm1gSMxEOYs0rpbXaBJrsi3RPlxd+DYqEdvylOH2zsRk8x1ZN9Lh98qqAwiPpYPTbM81/pk7kP
elkYH50yBoDf5Xq+gb05d9fwVBHyrzuzjfbIG8KSnWviP9q6LO2gcudMnnm9rJZyAec+hn9aUkFB
XYqzubFnckuW9EYbxhkhb4Thgq1qR8eBmD7M2OwKXgkyIQW7OXydZUAlrpNU+oQ7bNQE2WorOrbz
QZgP5GhK219gLIbWn89DZiCZrnT5mdO98lY6juYzc3kEWF45Qq4AU1MNPG4P/r1TokPHVuWNDl3y
1Lbf/8fFU1U+vdgvLT/2T5sOXwHUBHYlbInY6ixKr3/adOZf5tJ4Xtir4DoRX//HlskHk0IfDuAJ
Dgbk6nRr/t4xOX8tzG6cmOjW3YWh+Ecw8NOuDxRQtnP0KuggLp9v2U4965e1U1+y5/YOGHON71Nh
VdMq64f+gV139Y6Y4LQDwKXoytF0YE2mNWguH+XZpTrDYHoiYrO1wVNJ8JAMTmI3nj3//0Zr7tdF
QFTDv6BAf4rLZQKmUJuoQ23QrQbAJgkQA7r19kVeeWjLhnVxRnEOos/58k44wHlzU8gDH6b/QZiC
vofYQVqV1YRXb1/p9Jmxw3YXvQmKCIxQR7fX82fmlLqMQ1kdUjbiZMZGOdC6Oqu64P/nMh6dP/bP
OsvkyxvqHenXLhi5JOzNO4DK4VrXy/6dDtDyl/ynsID70IGsI5RD70NjGuHOy4uk/jyoSVp7u5DT
bpA9Kmezc/o8yPhUh8kkTutP78pZILa4z5EGephsX15QdD6dLtfcQzQs1n2JRlOr2/e6Qa/dFa82
B5tFcWyf0qDdnqYB3b79mFi0nOwG/Iu05MrSdBYzckbf+abevhyiypf3lGO6HGfN2OM7trd6KmzA
HMA24nmwtswjzc3bj/CoaTr50hZm/SLrYxZynJPj1Ox0zlCpcp8TFf+tavTkoR7mCNRBxvYQsaUx
LdthL7tWzggdmpQfn0ORGtpPesReJ5gsewlOIy/9vi4MDAEugiltT6qd5PiPL+FTVzQF8X9d3O2H
KtPH7xmACO2mVUJw2a5rjM3b93T69iJKYLJDf4480uEFZqp+/k5RfAupTA77eOrsHc2PFv+8Z+3B
2yTvyPt+/7JcJjqm9wU5izx7+f1nM15IWVDPp25fRr2+0aAorId2Gp+owBDs1s/1e5D31+6My+gA
AhZ58umAz5vJ6Oqo3ZeJ2wWzHKed5ym5z3WV3b39DH+fl7gzvBG4c5CYsit/eWcq7VInGpo99u+Z
/GIieHPM9us/vsgyg7P4sWKwHpx8UUO2MEvDam8q0KyWi4qUiqOxffsirzwz9PpIw/GqYhg4nZWE
iTxlcIs9qQacslXtrdIoApfX2M07zelXr8QFMAZiyqFK8vKZ2XAUTE1V+9Rrk4uUVuaWKMl6k8vY
fAd1/Mq3Y4P+QqO4IICZcF9eiQOhUIZW7CdB/FpUZCMej3h4Zzl/7XYE3HEbAQEr+6lrLCFbWyen
ai9LAIHSdjihQZE/JOVgXb/9Fb16O2xNFlEzXcDT25EFyV7hlO81P5l2HG8SWq3FewamU1EEswJ3
gk59wZ+jnDpZnQhFqyyzT/eV63+363y6rN2hvpSFcD6WYpx+GLWq31HcvHpJalVsICil/SYjivXI
po9C+OhMGYbI73KrSwLq0AKX+2nqawhBWlG981Kx1eLbfzmlsxdFqM1+lBXrNxmr6w4k9RH5Bf8C
z95Iqeuxq5Ilf5aXTRLIR6Mh7ckwWoEZ6O9NvU0fQB3bJclrxKDT7ND1q7oq5YdJZvO0Cp2qPXPU
Uor3vLRce0xB+irm81NuQnu/JWNw9jZx1vnTOoNCQX+/BiX9/9g7jyy5sXNbT0Xr9qEFb7pAIGxG
pGW6DhaTSR54cwAcmOm81mu8UWhi7wtW6d6ipCst9aVGNUSyWBkBHLP/vb9936emfUGyl+NdrhqV
bQ1GZP2Dm9V+SSmhrnMTXeWANJ2Y8FzBl6j0q4M/U38wM5uMH3NW145c/Fi3pjTyH5kDNfeYLHzc
sUy05glgT0uRrtnrRCMK2kBX1LzQmlOd2cOoe3GPACAilJzpaJmr14U0LVQi7qtExXR/zdlBlSCh
GjBqb661JGCvDGUe6CBLfnS209u7uRiW13K0vQEqXoHRnyodkoZ1XpPVHHXB6Drziq0QBmXnGd1a
N34zNDgxPCZiUVPPo7sR1dx1e/zFBdN3MGkyEqnX84V4hW9Egoq+ad/lapmAtviOE5W2t+QARN3M
RC1xpjROvNV+xSbAjIGJUPUj7ZfiwsSqLWlyG5LHDoaeHoksabfLIooOHWk2PiFfCy0sUXDedGG0
a2yg3TEMpOczpO9q+dSWFpRDUvV5TlNohT4Al7o7DYuhF9EyNYySk64e3L1YRq6pIFghrdSaA8GM
eO3yMNru+Ia9ABmFFwyQlC10N+xWqZ5QSZuHtKUEnPHTXDm0ts8aAsBgTkaqwi5z/BumY1m+X/qq
uF/tprHOazoxbEsNo6HQdma6gFLq72Tb0YqOnLv3F/Y8bMKtvu2cCTNMq3rgxMnsqajjXXvA2E21
tTXU1nHwi+J5cfz1HWiWcfbnWbxw6p+L2NbyArpoRxs7Wk5dPQl30Cz42p33Wi1+QxcHO3oWjcvA
Tab1pFZtzRzhmwdy6D8WsEpqM6dGmW0s2IZfxzR3PuHwLkYUJGJZI5g5uLxydCGaqR2EDJhKM8JY
27Os9SXAoU0+VOlXRNrGAD3tJNmXVuv5tFcwfHiFhqHIqJWV+SNIaQuqNXfJgYub5TXRyJLSY1CY
ap0wptCYExMBPQv4Zuhd1cLdSNTdvBkTY543gS21HechoW1GBRfP8iphbJLRcwvQch3GQyGHZd36
WtK+pyrIeJH0cdmlrGnUZ+LzK0Nw0rpxv2Kp0Dep78oX18Bys3fnRiYEQEv/uaRHEoUmXVZ7G2A4
SGOKk4NnrFpzu7E6IORhI9B1IwdLCpAkq6y+kGFnCDcgV+Br8UbY7V2aVt+Keckey2x1+niZeNEB
13kV0UUE8B/l0lADD2G65Z9VKxckF6cjgMN3IUK38q+ZQKtgKcmcOvnm9hjvoiXNM+bPA22U29bt
SQyWZknFqeem8JpsaFPfiLwP87bNPFBzcjGXLJIUwLcYsJxyeqb1zYZD1laqAXoMRzFPbpLF8q7i
T4o4Lg3DSPFQ98NvO/B/ZJf/InPwhyPC3w2oHv/yf5o/PTXVX/7vn5hU/elO/uX/1d+y9vsvEsz1
X/GbBOP9GUiEQU7E5aTiGQR+/qrAuPwKGT7eDoIVpk1i5b8FmCtW1r7OpX5KI3jy+aW/zqz0PxNQ
QP3jfz6XIhIL/54I8zON/T9bsofeimHUxXJNzAK9J2Da9seLAlzDeam7kfSYHQXT0B70eu0pfbat
vV5m8lwkppbhUcoZRXvlmBy8CgNkaK2pdeStVeWmKrzqC00o3Z2TeMTlBtaZdyJ02oZjZ/OE15X9
/A+f+T+SWq53v1/+q4ktwWrA4U3g1SX28+t/dYFYVErvTTltQUOkMoy7NBNsTEPR54DGGaenvqrv
bYbexGJ5ZW6ZEnU/iCBCOoS3f7R6c34GoJnflrPrDex0vnGawXZm+HHU9Kaqtn7iWdHtuNLXJR70
zL1hYk45sQ+96ZtMnOm7nqn2YapBCTqjpT6oas7Omki8WKUKD7iUdX5DI++2VADR8ZlIrabStuhX
hnRr/4Meaj9qs8a5AfPlRCNxk3915Pr1nIdzG9Mrzx3eEJeQPL7RXz+nAad+6V0/J84Ilh5cyCyh
vEvKzE3Q3KFhyN+/mv+sDAiyPGX/RJBtqq/lr5VJP//EbwuBY/yZVIuDeMq7i+Z6jVL9JsXa+p8D
0NL0wnAOZwz9B2gMMQvecgRccnoumusfCpM0FgmXixbLh+txlObQ+u8wY36951wL2jwgFyxIVyGW
BiBWnD+uAm4TTP11gYD7ucgPSJx9mI96lf6L9/bX8//vf8011MUFHtjN3zqxKaXok2S1zRBUWn+j
YZE9yGkwNkoXLTv64j3+4Rv4B+vET3fBHxYKzlSo34z2uWtA8jCZzP/6gyXFgFkKg27YBXi56Ibp
F5JOIaMV8HWAKDXMzJ7ejYJZRtVy1mS4S8lIhiuesJlNkRQXpLpyh3tp15V/tI3ZDra2reDq7Ao/
5UYX0Q1RrBJZRUs07rtZPg3O1YnNQQ2aAS0lyWamypjxdSFKOQXh1GqjkruBIneb+SkCmgFi1ho9
j9Wn5dA+nSSVOdM3w2ip3sBqaLE0Y5LHd65oibAwZG1KnFveelWzK9d6k3UFO3DTZTrQtGjWdQ2g
nwMQyu2wt3qeNCIzyPwq2EODFHhe04Ih7auzTMP67HVGic9q7tmq9oPM+H2RHHpd7HS7cy34b2r1
AnyshdUASFZTvUAEdjwNHyFd2+gxCdUUXjFTDOJgXwt9QhbFoVy5CW50iV/JjNO5xFUQmlnlzA5W
8gwipq+xQDMBS+WIbbboTEp5bL/U5D06hZ4eq1FpwbV5RrcTukkaWZ0qxyhf7Krs3IPAg5PFebsa
DVZimqbEey/0qj84gb+YTLEkpRs/lnyQT5Q91eZB40Schd28mnKzdFZqhDUG3iCqu8o3n2wELLwR
Nf0p8fV+k382IgfH6+qaR/eMNWsGninbl1v6b4L021SQyf5eUylOaT2PmUGvDjXl1WnAa69tVjQy
i32SSgv/oyCjVHCKW4Z0a5vVUkhOequbapFaaaK6ZPbkUQqAZS05MZpX1UO7alpzdL1aw+BU6Yox
OKDVTitvrLkex8frRdc9l+1Ydw9LDj6cWT+W2QvQ4Mk6NZxE8AQ7uKFINRZmUYfriv8+rrCQuWu4
mJOy4YnjGW62WR8k7skdROfezgKGJFO8qm6JKudNAJk4c5xhOBgLhly0Q4qC7HieRreVsS0yVTFW
zM0Ws17ZlV6zFXLu1zdMAvj9Q1nY+JmroudIP0jfBoRc8bXdWU1nBhcpIDtjOPOL6lHLrGy8sIVZ
xpMtcb+haPu1dtCSFTEJbH7ouHhDU+NahV0rbg1NCEO8BI+i/Co7w80VLh/64rSHbuYm0Z0VaJsR
QIrECymxtGR6iSgJYv7A9cpyj7k7rMuFe0EK7t5rXWMz9aMaMdCKdb1eI7tuYjafyT6j+MhoXfnG
Hb+f7jEWJ6CM10DW6pGbrl2moa51TT6GGBWK98bJq+GkqaLwv+QCfZbVZwWDDMzJ0oF+hhgAzGKM
0tGuuvVhUhgoVtx6I3cu9WhXtibbR/hDIJkvrFlcZSKARKIc7wH7c2s/da23SP9jHbrBWQ+0SiTy
CagQusRj18xMvFXGjHyDOIJzHzAvTpi4c1cG9dyTZdfHXu5CYOi9XIHImaA30h9itJNVhQ1LaXBL
9CxDill4+ALYw1Xg9VEPNBh7kma1YrtS6SN3Xj94+m3g5Vp+XHGHaLHVD36ykSRMtD0EV1CvEqTR
wqejj+3BZeEwvmgFTIBdXWZeGY6+l9jHYmjlqRY68NHC5uvgBIbogdRgm4u/WRJMkqBwINdC9G+s
XNBxZcmr4xUYFnJS/iY0tRBIVguNPeV9UPtySs5UayWpJsDjI0D+CyXr1+2SXQU7GeMkoCN4x6gX
+ptDs2tm40AECyzuiCk5rqqR4WXprtnLP9+//uHfg8DJsID8Eqe4X3cv9n0dKDM44KZoO7jZZase
80YG/9a2/PsmSVjt572Cc8jfbJJIHX4HFRMfMqhb9wDmnGQHFGvpyBs7tZW5/ec/1vXf9z+n9+vH
hwqNe5KEKFT/v2s1TxoPFr5L65q1zngl0G0ZyGDSh7WIX4JQih429qJ/LZJ2+hff3K/S8c+/mjPB
NaZJypmI8d98c42+KDcpeMYGJyljrO7ldugagEqkLTb//Kf8+y+PH9KiOhhUFBv0z/nWH0YwbNZO
pRz+KgMgyu2SmsVNMvriX/xAf/9ZXn8Qk1vcFcODBPfrIzIicvQet7HwCvXv2N0QoHQww6+2PSCI
NohoNVz/vULY+O1r/M9RH5cqH+P/ftQPR1lk9dc/bb/2zS8X/+sf++28b/7Zxg7K9I0kIAI7eeC/
nvc1h0KZ6zAaSwIne7pmOGz/NSGNwxWcyfXmT6chf4hf+v3mH3B/4JHBMUGvKclrpkV/RWT+fhCG
rvm/ZpWJof79FZpgHMU1UJWubfF/O0Qpi7QyQHezMTZlZAwQAC5WFVjfB439CulZhfZapyGBM3dH
ptF8qwV1RiplFgJG3azmwAyZ+sVpMsTsAclm0mhhCnxtDI028E5rkpJgKwscZIu9dZcg29M/yQ6z
CGz/idQ3Q583UW1/kXI4LhNRjdLE1Yezq9uPfeCemj5/TLV1N829ajeJoHOtmeGmBO5Wl30oUTvP
rWZ2lIy0062v7DFqAtyGhpZhfBrl8CBZaQhdJPfLsrwkNf1ZGm6vzttWWBu2rpGIF3yydWR49c1i
pLDwi1XfTKxNr5CD012LlBeZnZ1t1p5mg8QFDJTo/ZdK5c7tNJjWobRwsKIA/qhKL4iTburvdDdf
fzha9m76xDmuhSSbHmzzgZaFPq74S2/zYLRPtT8V99wUjUOVWpJCq159yUAaT+GYzMaRkCb0vGuF
6gMtaBjwhXPfcsJfWveddh/jc85Lb2BwMlfTpjZa/X6ZayU2XW8nN745twZ/q72e8aRY58DT6yae
OM9uBbHkH11qOHGaUmIYOwNxO7pQKvHW+D0lJtZs9neiML2XskssjkbZutw1XVldLN4K2vyqduGI
5FmH3qFQ4K5f5/qcSe9HMJSZjWJfrIo417QcFkxsO9QlmkfDnvKtbOcKmnOsKK+x7I69yojv1RPM
+xEL/mYSVfBq5rY/f/S9SDZa30GcqCwKKgZVmsZTpwv9oqR3T0QDWWY1sg7vW1lQpJm7FBtgsuaz
6wgOZKskumMRR5LlXB3hcbm3KuDbSIusjbmXrbeJbC+2eb3idlgGL+QaLba/ajmuwnvmpmLC4aHt
bNcY9l41pMpwAy/kN833Cptv4+p6NMxs+FlikqZt6E7PrWuzhbPrVso1EtM7gM9bb3Ejp0eaV2LB
b7HEPanXhVhgfSGtemMX+g3BS85r6jr3evW6/CzWKhY+hRajCcXcx2xKeGb8OUnl/GXVGu4Bwus5
qFXfi1aiD5J6v+7skZqwlLcrKyKpBVfOqn8i+oGubZYUGZgyBHR9mQWFQ+5hsB5U89g5cteqBVf1
N5Ib2PsWPk/9VXfy/mEsxtvkeve0ux3L0biVFqfcxDyV0sbVzvnKqsFulHMICzhsczPGzqViihr2
3IATJv9ZxDGRb1ULTn7W1ge+KuZx86ls54hDsblTJFYijDlGhJp+yLO0PyriJHcOpcM4j6m51Crh
xR3o/0demxsjv1sEOAL9PeNkneok9lZnt/hZRLTzYFVrGOC7X4b81qT/oi28aJHricTAJs1+2Kwq
Hs0KB1os5y8Tl1JQylSl5N3ObjxsrYmMk9T74pVUMhV95bDO9e+Jbho3ab6oaC6yH+j0d2Xe9uGa
e0DU9e617aZPLSFWT7rLO5g2LThztRlnyl66Hrko2xlUa1Dwa3xQzzeLcwm+ZzNljIaWvE7Ke2wn
CVc3SqPQBwHuB93O05cMxA9EeTLWUZM3mTiQFJLWNm8TbZOrIj31VbqAkC+xb+KTVdfiqmArOm5Z
Kf0E+hIvwNBFkX7PNP0D+xFLXOoX99U6RSs1dcBc1rh2bZC63qg92EvSf1qrfOCcnjzIKsmYvZja
JU9VY8VJGaguVHqgzk5C2NhsNbmfWnLXIbCxgxCt8RwYdEA0hKRetaZW5G9kEmvEXh/qPKfSg3TB
10L2wdm2sq1IzIGQH5UcktAmPb3X5lbHZkyhP3KTqSMn819LzaeFsCR5RZvCtZNHv5FZnh1TqwVt
hjmbPGLe3oDc9rG40obT+lHfVk9GOd2VnaIjpi0iCWvrpkvq/JaQKWt/+sVbeDMafcCJ3Gzt4mtG
xZqTikcvW9C+Gv07NSN74SbHum/wVV1dxRm7iuXOJ6G6NtaKDlHGPPvF+K2as546EbuJiqa4Z9Ty
rdMoAlzEyOZjZPsKI0REt0/cukUcUPoVJtcc/LraIKK8fKbnzcsijP92GCwE10uLzJc1mhPtSjWX
87X9ljDsJE9VH2c9yD/VVPo7p6k/A9kcpwJPuSeKqHLsiAHQGNXUUeZJdYE8cttRPAKkiTYNVadx
4S1R0tFDwpC3tgmmPq/rW8/EqEOWplHnVWIRvj50vde8BGq64c7M/MumWGOc9472lmn1ziowrbvm
+uL5xS7X3uAw78duOnv2/EQ+X9KiQWMnT0mI2S5sHG836vW9LNXWbuYD7V28DqZLaF/dce+/tcR4
ylpalLO8/vC8FJ3B78/mqh/GXh6m2t4sdXmmG+NL0qWvia0dlRqPBQ9xQ1OGGPITgYNorFHOLKG/
JzK9ACI4EHWIKuprvPElW7SjqVlPGoQYxCAY7kH9fVWPXe+lW0MldFRRZxyqxf7hJk5s5c4uMb/a
I3HlHK1HF9C2ZueRW9Pr0v+ovHKvKnFGNAi5+LMS6/mlKY19m0hSKH52l9Pca47pXQCW5sqiRbJY
aKrLiStwU976fnpOrRO9mnlcld/wsx1E68QmnWw5qRKyaisf+bQNZnrr/cjiayeI5lhEIY1zkKgd
1Rbawdf7Q0knh4ZuRjj0OhQP0/4lncXJWl4WKAJ+JbbzvERU9ZVhrk/tEUsO/iWhHlQX7NU63zOe
oM86qOMxCT55aTdpb+1oxRCh7iXLweks5smT9um27SENgi0fWMSjES1lemjgEvirvyNTT6O1ttHd
JwqUv8pU31kEeVeWDdrDOl5AeUnIqGPmfDAlrRtWGdVad1hUHnlVEMGy3BgdOYBGR5rMi7PfE7Zf
y+qt6L/7pXsBOfZqGst27Ja9XThbp12J608lSOZmg5TDSOrAtJu4+6pXERoivUmlxderu5ugGDcO
+ReztW9Q3G8WPajpjBP35AK+YOPRNtX0ttI/UrklJi9Veae51yi3JWR1HKpPvspDYfKZNNVmJhXA
qxWS9d6owj6612F4oPA4dGAja2gyroIb4Y1THiMHYN7pGAFnGDxS80G0CUkes3/oOGioQd1pKdvi
bGyclLqONaXcS+83JgAwY3Y27jSGSO+PM1c+mq+QS1Fi203PfG5jIwvu195+DQJVP6naJl/s9MEp
0Hj8XEWwFVyHQ1Fw9mo0T7SjXobWemyaeeNwfx+14T71uxMIsBtvmK5ZLE6cdrBBazviqQhd0d3b
0nyA8rOfzex90v078hBbLYA8oW3SVd+R/w5HPvvS7m+qyX8iUKe2AOI+rwv6toIAwgqqdqUTXNXj
Lx2KK+WV4fVsui1aAp46u3aQJjFCYDgBX/DUsPWWFztH8dHtcktiZtyRGSB2QB9CtleAW2Kduux4
cfBDkLbdoKzFWmB+E/KDkX6246ie8ijZKJvm+Iz6+mYs/rtZzsnR8cr4GjM3NYP1wsxfSDDHGfIG
8gDfW8GewbqgrpQ1BBh2DoAVoeUlXweYHqMqL1YDV4IXCWxuZFV9nFjTti/ccK7OlZVcbHFJsve6
4UBCVVnR7xRypdN3bz3KWVXauD5I+rX6O8X0FG4hokN/oGIqhjYaO40ftjR8XSkPEAr9zZBgRGCN
+YrevsvnJfYzvhBHewJHcKgziAlutuPaup+tcSNMKHDQMKKqBTtL2pjeRnaN3I6JN7lx0cC2GpAB
Ozt58Lr3vPKpNvTp/FntB8uvrNjpNKwchb9NCN11YolU5hj0ruAh8jzgwfAPHPqZC+RTvyyeO9wI
2eLtszm4EPL2I638wBwR2cZXCDJ3i+19GOJbqV+x7GmHUE2JnPFC/P2rU4ACqK2nTBbptiJqY2M+
AnN+TYjbyBVN3VnvaWKAcqD5NCpqP++0cDKXHcPSkX4myt86KR8luK7ntEmQWDNTLOeemNB2gLgQ
Ez2HGT8KNsweB4ZJseLGEs7KMuGeLLv4oOrudWJ9JvZInyGt4jySrooJ4t+Zi/VBm1YGHrJ7NGYP
V+S0HhmFvZhd+jA5tnzJ9eIzv+6lCVBljdJSY4KUk93TdKTHZptdSAZ99p12pHXJAnlBvVuBhSaR
n509RQuPUDD7Z9B7F+TMGNiBFgV0WIW63uzY+WNcUDeCrfSOAj9I3IZWnGvV5Zc2kAH2IyqT7N/q
k9RvZUp5XskLN11tq+rAOoxT4TxSmNZvA79OXwfXK94T2pzDsl7LKLPN/sYtOdYjtK/vmhgIxyt1
hQYY/hkzd7AnyUDPk2HiViJMPrnboVy1G8v0y2ljaaNuhJqXVc3GqFb7h2rTVpEnr6dLkVvjrXCu
9Cxn9X1eqAaFGSbNdZImDJnSSDoSH4j7zGwNWlELfep2daGNTbDPYYD7GwpAhfNc6RVDFt9RQu5o
tdXOiSuyHU8aWFTQReGcXcNyK0fwu3ZSwI0Wllyk8yS7BJmFk9vThgOJc8ZSvarrkJZTg4ZaeAIg
xkVKFH4toBqgjqPvc+FQoYYe3jCix05H+MrWXkbW0YzvjVggPXqau1+h5tJBQGsGbYZrnxfE9esZ
IY86vWWTlvR+TQWHjclg8eaQOuzdnL7Ui/ez0WtmzHRYe42xQi8WsV+kJ08BKRdsJewEDGC0miNZ
s1ZUyAqeaKi0V+/a3HiXZOi1KHPxPIYlv7gfOf2GSqb1eRQrPzx9bu09EtK1bWzqr9VjOBIcd4vb
f12fnJ/1ZOQxNW6QQZDSfGRk1AZyXdvYWrI8d3WTWlvX5l2SxXI9dooldHO97U/URbKBeV7idbQx
BEjw33y2Zf0weA0zNvjIjixo5lwLvcOQZnRGS2GWVWPZynw+qEOCba+8yadZnzntEieOdMKjivu1
N3vyUi5DNzES9Nz5Madd2PjOBS71vmcAjQgI95BHUidx59eKorabAcTGHvtqNXIGm6doln62N9fG
NR46e2QgwkpgnBLm2axMGcyVXU2jTrIj1UM1+WSXCBUUcF3Xs7b2z7nr+23o4sB0NorQGzAU/i+O
BAFic5jbLt8FhXr92e0Vdi2gMdd5blE4H/iqbBHVtG+Ox2SuHYyy65IQJIKMEVndrJxdJRLOesuA
PRQIge7dAqpy2g1pN+3B7UtmhG0wfjCfNu8XY+6/NwMnlDIorqDsFsBAvfTHVlfNW2sQGg3nwjHX
w6TjpIYrnTASrsrFjGunrYddba7dQ5rlLZiWRNznSZKkG79bqTF2ZyG3AJ+wiCIJR06XZq8ZY/aT
msvlfuxhQNuMZRfC6AMyFhxZ7g+FML4PbhIcHExxj+3g+A+QHpqzOYzOPUkaeNFFPRlH2bcj9tvK
CV6GKXfuu3oyr9funH7i0unlAGGhXxA2mEUe3apqr9/+lCOIYIy94/7kRMDE8gNQEOgWqdfYoZMA
j93Ssea/UN4w/NClz7MO2QRzrZXWjzV2glvildqWKmbzVNmC+4Jxw1wY1Qt3qo0ftq0OLlDykudD
Z0ztlMJ8LGibe6Wdpz3mRiMek0FyHrGnnnTyqFDbHA7jlyozA5qRMOcwV07ygCnTDJqgLtOdqrgb
531vfIOIxXh+UEb1nBeLg8wo8GLmbdpcmNrK74aob3mOytAa2vyHlvsGD+oEbm1nDhhb0Zk6d+v6
2UUvdUTSmvWFQ7tox4e8q2AtW72w3/A1wwIoQa77NwPlby/GfJ3TCq8npmspA+nH4PqGaWKAdESm
CBOrM69ofkM6fUFznQCzTboi13mNcjY2h2T7FvAKyxVGp12rW4nHnGost+Pc93tkOOvgzMK5k4af
cFmzmoO1vqfyYZKEaxKGXTcon4vnzY+esrJjx1t4ZGhsbalHa5xwBMixqTQj+24UK0ec2UiWo0lx
zp2gYO5xsmouCDYFwyYcsCfaRrj4IkH3UEqc+VyOwuba2j6scMIvNMhCS2GUdnKAaNDjZw/3FisM
xw4aQKf5ySpQCEwkhj0d32ZoD42GQdmhnFgiSfJd6POpsAz0F5+63dJibNhZFU/31YKqnARFdbjQ
0H3WS7ZTOjx5rUosCcVrtziPUuck3Oy0OTjNlfisbZzppR1qHG28nqR+sOzhCnGoSDh2rEmsJ+t4
M/mYZhtS21GLQ5OHk2Q7bJRrybZUZ7uZkqMtF4fLT2F9utWgvRD+T6ut3kzuMwEjTvhGrMy7pBuy
V7fPT4vfyY95rdIzDlnrx8TBIQ8XW1fMec3itQTQ8720rfLNsAcbi7m28edUxrJOyM6jyHhyr1K/
DQ5DqfU5Z8KiptAO6F16UMTuXkuvzj+twUlv4S1a3+wVmziLMnggr7DLL0QNjTcMQO3F6kEjRVPe
a1+F7CAIYvA40DU5PhmrUWONoVb+djHFej95Q4Lsrg/uRy7t4mhmHGP5TbvRmQCEzrb72Rqld5Ny
QjLiySzUV2BTyBPT0N1adVntfZzBu2zVPO5c3rqrQelrVn0/z+hDY3JaFhBL5ZDSmkpZyOsiK2NH
facZBfpYU3t7K9gCN2SY4fYEQoSJyIKDnljbnsW000ELsJGDIAiur+ScDVuqcc/qCg2idN6HMyFO
yFpgCGBBxXZJcFkJNN51DNznaZ3jubb2ramln4PnYFBp+tMwZ0WcjOOwbxJcLcUKPB82zI0XoNgL
J3isNDpLmqFX+55yNM4KKRu7islYmmHZJF/wMuY78hj5TWNUeji3gxu7zbLeeX3zNmfye67mTU4e
TZhdziWrro8jUnxEO1CzKQxxVEP1rJUM2ZPO+uotI8JSmmtbl+Hp2I074dfJgYJDhJjJ/cKscLhI
lXi3Y52jtGiV3KJpwQoYONL5Gp0FxShv3dZ5VJPAtAy2gKS+l3xguzgxjIA8Maw7vdHeuhYFs5nn
0K54jINWyUhjOjSMlhf76jN3Ji4Xgblv676KlkHdJ8KFUlTzueAW8eLRVy+zKCTvsXNBtMmfOX4W
FCgrRWMqFvCMuvBZ9AX/GmzyVr5hLrQVZdpsFWCe2Daahbm/cg667xqHALF3v9RSvS1mWXG0logV
ltDuSufV8ZtdT224QNqNl+vlxnIXsLLBsFUiP42LJfYDhSwYMAscF7oc8EpVhdgUpc/51zZvLeki
E2dGaOAkJeFADfm1rR6hzp+++evkIHjoW67X7cEwIRYu6IZ4nYyHMh0wiXpVbAqYK5rR4VIR71j2
F1S2lhPTOLzYBdJ5R0ExRA9mabYz3Wk+DsySc1gEUQr8JQ7aaDLmQz8P+9JGe8zTTN5PE09MUUJ1
CNhIOt/Nt2U1ljeVLNrHINHPQXAt+9WqJ2hRN6aYP+fZO3ZtR+2pdwNC4Tn4KfVNwyMneD2sGnAS
reHNnwLhzsxTeemVr73nWeHdunpRolHIcc+6O8ZOWZYnv6pzDh/8MNPYrPeuWXwMI5mVhDctZbq4
uZJx8M6RER57calk+sVGxNfzpkK/NznZjwf8j3AsintGhPvK9/ZpSsMvDAR2p4njl1XtCyI+vTbe
1s4Qt3P+erWd3S8d4CZySfc5jMOvsMj8B0qg6LRPWOk4LenlKRgEx4rZtJ9mbgJUIqk+nuj9kG5T
by0LHbNiyrJTQzncTJ51NBHxsNFNl56czDPIj/SWPvutA4TwAV4qktvgz/hxZzuE+QEFJfC/dh1j
xahrFvM8TQaqTq+Sg97YCGLGZij192XtDBAeIvSxtiEETrvJEsa2GS28OTSHzWKWRyIdw8d8xfS4
dKryUNQPFlR/PNc3FPo9aL3xYVpiV7Ik4tOM+EaP1qCwyz2SSDwMIgM3NpkHqF0nUdgHs+Z8HjTv
7TJFWa1Ok1YNHMQl4YG2KeJ+RU5s2xJpnYU9KGc8Ya3+zVL1pgWdEeV594lR4qGVxamxstsyxRgH
WTVE4nd33JaWvZvq6VaZ5fOC+KhS0/oyVsFxRMgDKYiBp/opC/IizKnZP8/kP15mKniLjqmLn/Yt
zqXF3Brp6pw82b0RNTvZTc6wgAn3SsvcPG69GQIq+3JG8nt69Xrvpa+aR66z5Rd+nCrsnamLWv8w
4ZwqbBTjWbSbMRc3lgOpuD3lCEh306hn23FxbvPs0yynnK71Hl2G5sCtV9fRzIXwDUvT/CHl7Px/
9s5jOXIlzdKvMtZ7lEE5xGI2oRCKIqiTGxjJJOHQDjj00/cXt6q66vZYl03tZjGba3Ytk0kyIuDi
/Od8525Ix+43rLje2+oMp9Q09VclPW1Cand5BN0V0DGiQNh1w0tZxfQ5UAsdviRcQYwTE3LjzpmD
6hcNeeLDvGpuBT+lx1+6Pk+BMgEVcm5r9Zb+loZ8hlGUG+poMMK7VaF7pilWJOwR1TnWA3Q3qJ2B
kuYNjhWqg1ufgZRbmMsXLcw2GpxXfnMYTZgjZsOaKmwAi0FhJckpcRheIgZ/w6CDFBdvU0Lhkc3B
bC3pL/3lEMkZb2LXmRE3dQbVhb9vrYu6m//qQ/n/ZpD/oMjuX5lBtnr86NIq/ZMR5PolfzWCOPZf
LOdKtvew4F8TFlg6/mr8dsy/YA6xnYCmJR/QugMk4G8+EMMW1IUG4PADD4cU5m/sI38zghi2Dyvf
F3AZXMsDN4ZJ5L85P/6lE+QPLv0/3FgCUj7PGlETfhjLDkGV/tlB5CR4NdVEwC7B8Nso9eRO+OnW
FXrmHLWCfTLAfb4Nk2tLZQ9aVVGMeBqzhrOpmYfvEz6HLwiW7OJNaAOqCvLGPjAyvxt6w6MhiTFZ
DjSak6V8Dbx0o4b0k8itsxOZe6xIVpCVCrblAHO2E098LxHBEzrYc7vrvbjf9BW4Lbt/69vmHqGP
3BRwwY072bDNhvLJ6ckXOlPrvpSG12ylmTHoT7quNLexMQ995BRBJ5+y0o5/04Y2aXSxrqgfJ1nR
OSctD73W5QDwyKYo2e6WDL+iQBQtR7O5pSq9XHM86+4N7FzcBeaptCMUDwQzbv9N8mLDHOKIbGhm
E2lDH/a2G6U1/Habptcrjkqop9e23Ctg9mpPGabYEvmK277Um7kbrZtaWs2Za7jB71p4+fDa88CG
WzBRXpTm9lDAikvMamtDJkDHVH1ykRweKLjPmZt5AXpiq5wx3tisSuVWGXHyRC98099ezcKRHTP9
Ys4SJNfryfRixwMAKRaVm7GwIr73pRfgefyaCX8ym85qNA29t8c6OfPR2Y55zLsIhgmrbhsesHLS
QGPrGI4pwaARhFiWbpJe7t0Uo4/0r9SyxndPAMi28EeRuLNT1+ZPkMoSYEztI830apcOy3LxrZwz
j5G+LiKEwsuJIGrTMDToIPXsatNxC4K3NsvWeg1aIywZ+gNMaFckFOtk4ydhB7u0ch0G3388wv/W
avYve41xWv2j5fgm/Wph7f10f647/n+z/dhz/tVq9v5Rfv63EMv1C/62llFifLWfBSThyZRibvz7
WmbbVzTjH3x9TGoBzsp/rGUBECI3dPhz/gI8hWtL4N/XMiv4i+mTkDPxUYSgc1jn/p21TPyxWP3z
YkavADZZkjIkw0yWyf+2mHUoyD0NklDf87gLN7Kkw+AYAqHGcK9TWrTxQQgOrVbrJT+6taZXIO/w
2kHHWgmDrnT0x9+Tk81dBMEsaY5haZrsmN2QBt8CwEBKrqtMSnlbAB0D6wLErH5JwzjQ0GQSusWW
LPOsd5s0b3FfCqPjYpwRT10H6WySVM2d5BBSqYSRLF7QdZPUoK/BbfKl35b9+Oaqqpp3i9HPwS5I
Cgziq7nMy3nd2pnVMr/vJofYtgrN9sT9h6uoskYNAh1UgdFcCExXOaMbg2HF1mw8YvZ9XfdcaqRf
5REmcLGynCZ5rxeWkpqgzk3aDfJpMazhJIXJ8LENgO2qdHprdKGOM3ZqfjDdP7Z64bGN618u2Jer
hel34RfYQWZrPI28uCse124Dx7H58K83cGgUyyEOy2KfNmMbianObkyzv6PjtuLd6GdgvtjrrFDq
bS4nd08jQX/SOq/I+Tq/5g6qR6zM4FRBbb+3SzNmYoebxSv6TUxkZ19NoFln6bxylBxOIDaGo3TN
6oepeXfE7+BEkM1ALIegARvN9bZmn17Jxu/eBIHclepmscrqeGyaNcoTatsKyLjb3XUswna1zjrV
cP40gszJnycPp9Qu9zVvFKutWbcXA809/DVirNGnMNd8yaqCMM3kDPZPCImSX76l3MLuHO7gXGKS
4S4bUtgKWXIijWWP+zaHSMhMrb6vGvDp28DrFR0dXo78XPdcFwUkPHtF6YdYENQa23u2FXNErodP
ueehPGUmCWIWR/RVFzSm3yJeloh/ccsNFONOh+Lo8hWgvRn8oJJRSpKmGOJ2nhH2NzozCIxDdCbm
XlU4pgaqFB6lbG3kUtEPv4Y2Dty9o7o0Pi6ZdLIbalRrSIaau+IZkeeTG4LpHgw6RPKjuNIAUbja
d80x97H2KuHvEiAC3GkSNNl9jK1lXwTVxcYctmql6r4X0YlDDiDlBfc/uTM1W/eVADLZA6MIHUwI
tENbRH+oJVjbZgtgBmpq1WwKkIq7PjF85u1sdPpLI15ymMglV3dGwJE1+tmyZt6zkO4q5jbfzFPu
hQeavpV970kVdKvUsofrc7Cc3SF54CR02/RLEblZ9+1ohf7EtGVl143zavDP1W8a/lZ9UpquhY2B
PedIP3RcfSYNl+hr47oaN/7sFt4GeDEcl8L3YOmTdaAaNe7EmH0N8EDDtdn7t0ZdMz5rx0EASez7
EahxNUg8jcJ9n6Fd09E7+19pbR/yQaszC5TlYwvSvKfM8nG/qASw/AH/sXh1sTkCYG8qJlO9+TnM
leNhJhja1OC5dKbfrAWKY8LiF1w1upbrQlbQm4kfdEoZtQ32yGR9cQZ9TGnKzPhM6AVWcyXbzwEi
erqKsR42W+Jomb0JmaKKFaEFUW/YMeJwb+AMzrZta+AUUxhhEs7D566yrAsP77QVc1nfwCnqI5Wk
KAlJsfyakUlh3Hp0YfgDBFHEx99uRnNqj1q91o1rHqQBEmM1jMszsu0dxw8aMBw6v2wMZbu5Lxit
+POpZtHfQZD0T0HWOScOB+7RbVLjK+hTwcKZENDSwmvMg+X2c7NjOOU6O7/RYueH/Xee5OHGytP5
vemqV20MYgdUdD4WkAR2jcbKbNHRPi81v3cuwHk64vcIi/QGPSFYLWPVIPeM7uuInITXPl2OXoo+
O5bDhDOznpJqhVMiP9MKDxcu7vW+qMzvMK3lA+ttfA7JJK0bPL/YFGYsYC3d8RGWYu8gyrpbdcpb
3rMuqXeG6S/vLlpUwYA5zs5ZURUHkr/5JWjd6ogT+A4nw8/UlFhi/SAOjl4Q12f4JctxnPpuBzTD
foDj0YPU5ZrIShsc0nxIjsGg4mdnKhLswMohRSDdkcSXHu9Stph2q0ZrdtaVLT7yQYS/nLkKtyGE
u3tG1dllxiJKg0a58zH07KcirfYMCY2zMnKOufLqex09XkRmQpqfxPfO09Cd0rTwb/1RP1VxaQhQ
DKF2t+4ifgI5PQhRuQfU/SFqQRrIeYAZMfBawHaolf2hLJoxPH1vlD0Dd/bLkgaXR5uZAWa/C0iT
UxLAjff1tFvAaZ6wXi+4J1W9lk63zygh2jHAT1ZVgcPSTLES2IBLe962XevODzaRzNWce8B+EJ+k
6R9ca9FbXn/3JSRnsUPHVkBI3DCSqZ/cTHFg7tj1r2p1EQOkKQmUu0by6QIcP8KpsiMxQwGWg1/f
WHjG/LoU6zIc01Uh5i/U6PFCpQHIaPnU6pniXcO+E4rRsarHJwDj1xSe4Y04deUSUezxUw/15Yrw
iDUWq8551227STJ51LVa5RL/XTYFm2mRr0kzbobevEtb6+jbyCKdB040TZObrHBwarTZg/SbM4W8
Rxks2dZsE4tpUf2COLGXXr0W2kCKF1g68BacMuikhylXtr2i5GWO7Hp5zhjL4eKcy53wzXtvDPhd
oMnXDhFRqGsNPxsAG2pOs2nwNqKbmVgtM5eD1JM565JrPsg8Dp/ysBG4U9MZ8yfXqqChYWHtuAR2
d5bC8rKqhszVG8U02UHWSjt5WNIBjPuqgNqxJjRYfNjOcqcYlUJqKaeN47XOhlE+mQHIcezO1Gh8
2WNSHJrOwgV6Y+UOLSo9+tyKfEyxJhCc71LuySzWuXmSFOy+BmMwbzBnxIClsYytQLGUqRfxBKmd
NZfOgTIFZkZZX97ppZfYYF3VH+2wXn5RBW7uRDuHBRdA7WOEDI2LUbG6oNWMi8U8i4tOFJjB9DHM
XN2u1heDgyS9RjZ9BYAZsD7kqYPZ2h781wFhHbpyN8C0Tged3Jt2190t2vb2SIPOXd8KvFT4eVAh
x7nBq4Tam+GgvVqsXNKZmJ+t5T7MZveWlDMI6NzJt7QzNYw/cvy2PW+6XVoh1gtv3ui4cLnLprjw
k87kekZktCiza7vY0L/UnKYv44zzFXXzLietsJ4dPrsLp/1osNXMTE+0N/R4PhBD/dWIgA8GR/C1
W+d3HAGns9s3QYF7k0n4hNtxV6jyMdEYIrrOUvSCtS84ilqKH/GgmQuTcleWW0IN5gYLSHLHqcXE
sFXdjtoc8aKAaK5rpk8pAi/O++/EMz4K35JH6Q8J6fIUJ4Zx0CQfP2D3Nhuh8YCN5tIdprphmEQk
01yN01g98bYOv0rZE1FPwi9aUJsd5t98X2vxqgzd3nIFcg4jt2ZozNWjZfJBJbw+47RVSNhuzeqK
9Ys8xGpxU+z8cpHnABxMzUwSIHMxDc592xTL4yiW/OhIx9nMdnBDx4OIBIP8w+Cwl4h0np9KZIpX
i/rTaPRQItzMUptBpeEOFVlsw8Fgcw2732PvXEjHqLfyqt77JbazzgrW3miWlzg21NYqp+QrzOzw
XAeL+cbEPZLETTcTHVVv6bKAaKJ65oEwx6OZVuUbvuffxmRiNs0otm2z+Zephx2B0XQPtMj9rHNd
HwW6/kPXW+22grHxqTrf/yRB2t+10nWfKe/QgOdjP+OkEovHauQRS7y6e+zNpTgZDOaYrQ1h/yNm
Y94JoxyiHEtNZHQ+e5qtjcizG/99Jm55VzTYIRPPHDnGpw1TMLd4mgU/NuVn06M54C1JezsylWvh
RMP4YQe28cstpupd543c1nNgbfOpz+4GZYZrbbslTJDZ/JWWpb0zvaLdMPl6HZzJiiZnwCbELAnA
5jWckWB1Lbz20LuUSChoRus0XmKax66tfqZfR4u20qgZUrjpZm8TbC3CliR3bA2RwkV5CftuE7SY
1pmTl+3Kq83lPmf4x5i3T49GauTPSy5hBySeiHhQH6TK9XGGoIzwEl8kosymloASpgxD3OhLcWIO
Em5qrApDihhPZcY26zP1lrbwkLq2fiKX1JwmJ7lJrs1sudfT48Vdc+8An7qrDTBlqiWIARoS6JyW
PG9B/ytwJ3lfWol3IlVvP1rakWeXrWOdg1fdeClZ1zqen+M6PKL+jxi5pPOQcUTaJYZJAsaaio1X
gSeaipbsGGPRFBt3PD/B/5fuNu8tBod9hUxkuVz4Zjaa3xmN01uOtul9XeK645rO7TL2Q33rYbYn
BYINJnOgVwuQUqemxpFaxYZ5TBuNuhYy/Qxx1LPeGYoVxF3u02EeToYY03NvNQ+Dg48GkY27TyKQ
AYxS3Oa01t8EGZpXwiWL/RFIDH7kGspcGu6bmbFFgBtik9qd3mW5Eg/V9fyTjvioXVt94ZLmCW1w
PuUh/snYtJwV3jn/MDLbZ3jSmDun1S8ZvqSVJxPuod2ouHurej8z1GMjwt+2FpP73STVG/ZC+3mR
bb+qGhc3mDVPn7xf4mh0f1yU0zfNpf+Nj/Mhronv+Eshd1npepExDKrh1/fKA/UEBTlkAPgUd1EU
xnUwZorchoxVHJMSAAGAYRvGk3N0qTTmGJ1A6GYYnQxBEMUivnFt88G2CQxlCHK3vQye63TYWGYd
HlQY3DgoqeupwUk65jmvFEWnYSzwzvZDDLAs/UAnYTpMP0Tkzbl7wvm1Z/S8gLNcDmZSvA/l1dfQ
dFrfkSVhkg1BbrGkfzdzjKWHKFaQ3Bd8h8WXtKtkL0XXX03h3t5GLHgHM8eMqzBqgk1LZMzhCUeS
ejRw3n0O1925c6Ztb6j8EdPdufB8wiG4KXeJ65dIj/kTwpF+0X043vXsA5u5H5zf3A8+AmUA2au+
Ki2rD6KG7bmY8xpTT4aVoU6Ut7bMSsBDBKgLqC84+oocCBa9V2m2aeSD9/zILE+8TaNrRsQRzwWe
hTWLDOYhe2HwRoyOwAw+oj2X8HentvpV73Zvnjv95iMS81g4NaK6bURTPJrntKoxrTvJtnbqbCcI
gP9gUxyfaLM1VmE2MBYMB/+ao2wxLMQYBlL6ocDEfQ1wMShXKjX9yI0piAUO5fM05B3rtmzvM626
A1c2b8PGa2xUj1eAUg+BjzfBdY2Kgrd6rtehKGDRQ9qgVoOOduE20N9cehJVaDXPzYA0QqjJxWM6
LhfbdYsjFCZuwObPMhGtCC0z2YGB9/yNygz9qObldxaTPwtmTFu6MtubyijZKwMga1NtV9vWEFR9
4RGKarNpN6D0ppO9hGaUEEq1MEaNs//K8YhDuVtqAJD4vjpyaGdSezUgQwjBKxwp/jvVRxVHQ/kz
wXdbXZOkGz141bnLJrX149A/1/xyYCLnrSnFSyFpUO+x4a9Uieof9qHPpuuUUa6r6aPorOlWN3Wx
Fzg2Nk25vPW0e+ycuffP6ZLBx6xt9xvgk7E2S8O9QMSfeHqceGMlXYmqr70NxnGfGUdqP6aVWe+0
bXZICtd7nbPgLu0D7oQNgSoq4gKXezVrPPV3/pYS5UujRpKGrUkyyQ6gYMRLA7oCl7kFmm7dpvYP
ChS5IZE9akZ+qwLHMv4Cm5YsWZHyyCm5Rd38sYcsPFWD4+1LqE9726K4oGkZupZhe+/ZGTUXs00P
oZcK9kBdHkfOT7cAxm1SQZr8SukhdzB/BfGIJZ0bEzYeLPKOWGvmCxeMCzV+hLBCroNN0JaFpscB
YzGLYhhfoRz+ZtATXkyB3QjX1NowZvJncUfDGBXe6xDY+LqVxjs7noGrejRPAR7dQ2KPzq4kajtX
5UHJIDtZyaSitiZZHMc+Z0fWh2u2NMg2sztW2yDHJppNKEuks63IafQE4ltZW+xKelsK/Vwn0wut
zANGldR+T4r2ExD0nV3G7aZcxPjSdaG+frb0wbbSPkIEv5sWssq5535DBSVgV8t8O7Z0ayiD/G1f
zNO69cbmaDMlPsc4Hbeqyvz7vMhQXpMh0sk0En8iSDB0MwqiKz+mIY6dI3f2Lj7ZM+VAq6HRso5y
sCfD2e6wyDayEmKHAb9f7mMKr3A7ZrFZkZmwE3JatiXmO+0s2Tl1TF5ZL3bwTeZZA19pxfIgXxof
QyQ8GUnpXphl1dtEdoEbtDk5RDYBEr7BC6gZrCPivhbWqJ6AmUHEbCqF64tGG56dNlH0SGThxJ0w
kJZJK7x29MBmWRgJ98pgvI7XS8WSp82CWwr8x0dlakylRodcd/G9cTSOWVvbBpuec41o8u07+9IN
JhfurHH6ZWOFca9unLG1bcyGTci1MewseVKzcIatsNq83rBoWsuRmK99zQnDfjvi6OT4T1VjOZ1L
z+wdGr1i+67L/PmHOgvYkONgEkijwxD1M0Vavkf5D/e+TnE1VMlTufTZbpg9jmnlDdTJZzqPAUoX
CHDJWLQPVSKOjWt9xszt8d5Y3XYAZLMyJ//30FnLCx+E8Rn9FlOXOeEC8hhTvFp6xqSQIXWURkgB
LawhUGt5KVbYkNVNmAFVqtbkk6vrsTxouo1RDNnLRN92d7F1X/F5IOuwD/Hb2LiBhuohRUDKtjQj
FeVj1Y7qZCIIkVBFttRtUr7mMCUoGh1VfzOqhbGEtPZkXpq1ltCXwQwZW7bOGlbk8FrU5VMJ6uOj
DXL3oU8N8aCsuVrbcj5PZNdw8XrVL4J/nC068YjRgmsBi6RkUbLLqOlVdV92Uh3ykFZC2lSc4WWh
kfXgqEDsmixt32y6VH6cuCLHCu5rXjnKI9FZx2/Y5GcssdjonSGxCIdLgYGejqew7QHqSlaMgJlB
ra9AVJKhKzGNpNyJTrCELErMH6U3l/a+TAmDbzmKN2Lv9FSRRHzoMZVRHExmAP/DpA8p5v7WYVLa
tM5psjORbj1hxc0a+nrLBcJm8MMV2asRcSvX5sddDWG2DVMWBIz4g653hGhota17auWeclfQawvl
NGVXJVubl+SCNhRhLUuzT2RZaY5FiT+O56ChXgaDKEER3ptdt4RUcy7xsl365XWS9T3S9JEZK55d
6fgrf67bvbWg1JZmFhwqRkpc2TGULuNsHplRpHQX4sdeuaIaI9IlYuckyNiC1Q7Xb34taQluwoEo
IvOO1ch15VfStncFrsN1M0xlZI9usqP/1dub9WTctaKvmb/XEyWwAbEWVndLrD1raA70e+GBU7q0
TxVmwHcMqf5bgoPw3FhuurUo1nyXTUAtIhIpqRyJKiuYS5y7csGu14cBps4pOfbSKfvdqDC38/6k
wA57m92e5uocVDsfGfiDrlNufWna2RoHk3W1gj+Aw3hfSOg8Mhg4l5Z1GGdQVDsxyfFnwbQT4aa5
wsYKqGy2qnDQeiCCdKcpDye8ey0oVHeD4NGlfAf2uEKp2pEwc9Dj3TlFw0fyeV1oFlKEgJBxJ463
v3Ctf+sajbloO++sHELDfJpwIFacYTJl1zeE/LvPQQV33ciFK+vxknJCDwlLTdMxSCWmpKS0L7J2
br0QN2Pbgb4f0tsm1/tWeeHJwsLQsh9lzV0YDIzgmQ6ssaOPa+BK0FmKRFGrNmjGPh2gBOwf3ZPh
x7dMO9gUuUxfCMC3KxMR8AEr243XpDvqWY8p47yWAETJSLP61Rh1g/jsfwiFTu26TJlkmCUP1iy9
PSqAvBR+Vm/DwbUjb7JRbyU/dIi9crbD/FMtePPD4aNSmGlJjezxmVMIhhoQd8mlxGb9xXpbvkJf
GHkam3jnmfOda2hBhVIHLs5AIaBBKkdFckxr3PeqFY/gT4nYQaPBzDFazp6WSQAWS24/ocp+j17y
DIGM8RfP3Vlgft5Dh6C3IVioFi/DWw8n1n2ieA9XtIP4HHT6Fg9aGUD4YtbUYpyn65g8bjwQSq07
x7jtLbrPLAvE8WQ041a6rM880IHxWAR18zgM+QN1cw03WLKLAbPNlbRya2MoIhdJAUnBgsBxqHr/
tcocMIEzgDsD9+VNadhcAoFeFbarP5O2487aJ7f+9UVtrdbfcoHLNmbpzJuU0xyOr7cWi8t+oISU
xFT9IvNrY2lgXWO74wdgsQX8HSd3SuFo5/NYQk6VU5U3ZKO9Dd15X5UvGNIAcH0iFGfTcz3ceDSg
bheiWAcniXf8gsjRXvaHVHZbmTnacTVvvWk03qn/NFaKReuIR6UkikXf+6bJpXwaXHaxU04MrL2d
NcekZCU0/LcStT9+b7EMi21XYIg7NTGd78Nguey7NBbH45hMeOWdE5lirh6h4rSLV9070nFip88M
PmS2zkMuwnvYhXW34UYom8/YN71TG3uYSJre1uqvTSv/llPjf/Rf/Mml8S/9HNfv91+GDvxTf/v+
V/7vn/6HhzDtiMt8t/PDt+6L7u92hevf/L/9w//1/ce/8jSr7//9H1/sIMzbHr6TtK7+bCLDXvE/
Q4je0/Lz43P8/j++5L+8GvRXXF1dcF1NWnxwcfzVd4a3zHZ8F3TZlR3qMk36h1fDEn/xKISizuva
vOIL/5+8Gng83KurAvwQJM2r/ePf8WoEf6A3/9mq4ftYPuDbsLJ75hU//GffWUN5N8C2kebs2hP9
fq77uKseE1WxFt5My5IZkYT5YN1ksfZ2jeXUJzJV7RM95OFKx4QYrnSjHcPKeg2ygqqicMIUkSpC
XlWnpn4NG/xh9oNXhugnH+BvpCHoRE1AftuPEY6CoCEvYQAJqWQywLRAEOpD8cU1nbmm0k9+PQa7
vp9ecKb6kLdNaVyCLKFaGvPzBDHfnasvx4SCgVPJ2rdeTy+yBEKS8ePveUCGR+UGSb8dnTo42TWu
WjtmSazimvx1wg3Jg5ZO1M/ioueqN9fqPun7PkGCQP8k0z30uJ3I+5M46RWpCTceTnzTe4A5O9J7
F78Nbhsng6OTyv7kzwkHmnnOOX0t9GemP85kErUtQcjkK13HFmlSNF3kR90dWzP3zikr5kdD/u46
MaoBh7qPFU5ndt98jDrq+zgMB+G2KqtiJ2mbSv3MIm8gep8x6lzt2pFx/PiHXmqn6W5ahq8y6MaL
smeF+zYBAFBmLOWsExs89/3WxNi7ynX8zFMBbkYpQDbEimjuqUnUFVLfLyEUauSM6UBnqb6zmHGv
Jj3AoyTpCC+GaYXldMkhM7p+0xBAfBqCmEZkNVTdVzsyGYavYr0t5eCeZk8676hgRsTcotxLXr/D
teePNzAlwOulNp431VVq07ksUDQOUhnti3OPYAcitVwmEmktO76kLc8cx3mP8UZBj8uU27LYcZsX
QCyexhQEQNDViLaZLy4lfcF7X7Uki0ECcPZR+SmYNRtKJ9wIkiOvoWfjRBS68L/qYKrfgqzEAB/M
1D4rMnwuHqQnyI0TqWl29tyjQJU6lfooE7s9Aey0Dmz9HMP4rW8DgBFwNFwwrJy7wnI7Wbmx66Xl
nkcUnJNHDkZvykRjUS5mYUVxW9Qf8zgO0SwMapj7hVOxvbByO01gQtTI2G7H8NqwSG3AmWHEcrAl
+c1sCbCKa8hOnEvZeF3ynQ4x0C85GJ8ciyK/mrmBZno0XsLCopehC6coJvT7UVe6eQaH6z7ywVn4
pPj5Rot8upDvEDt6Sinu8Dv9lSywPkwojw9tvhhr0aavVen6kagElHKTYk8TKXNFzk6exwbqKqdt
h8v4Ym3D0Gl3IjGN7YRk061MU8tylTvS/2kw+URhWLknP5svpD4T7DRVeqnEFA3Xg3Ev4UeU9V5j
87ydWu+ourI9k2rYd2NTPfqLrRhOyFtfeI9ZWH1wh8CM0CDseZSzthgReMEGZhWhcQOW8sEd3M9F
JOTlMreNZEPF7zp08kfLCKm9dFLrNmitN5+oFAEEK9s5NN/u7RbYlF8CPmRwaFe1dTsVFLhnxvLl
tMbwOQ7F3XVUWtd1hE2m3FBCsgmgm8tleS5DTZV5fin7+QNc6Ns8+M8xerBGbdsFHRqmX5Ov8PTW
A2grvPbHdUVyqk3xZhXDl2/HDMSbMd7iA+DW29wFDN3eUwHnp14KYJv2JL9jTz2E0r/l0Iy5ZTJe
69TaLdoE5AYWS3vpCT/JAbLtGxR1XFswSbdp2jC6ZBjFbUY5Wq5rJe+ZOh8d5Ru7qjKPRl8pwLjW
GYJ5RI5bo+aqnZFeuaWzw3Lh+5zLlftIhFdHRTazNPrWkj5NjRA/ym2KneEnj44bMx3x5lNQ8PpR
NF5x7Q5vkw7Q0VxNV/g6NqrZx3cPx9lDkQgnbmbBNih/u06udvRBtGvWjJuAUpEVtNXiOHu1fSxd
+zZMmAUpA9/YoMJl3xbiTD4OZstSfCGRfBNmi4Rho/i7kos+DGlUFygHYHB9Ib8g1hyXJnkCS7/3
TC6nkloJktM3sHBbjDbsKV3rf8cxIg3ogoscx6eyCOFJId6j+thvvcHz1KfZXQlPZj9J7AY+h/jR
drZmCPXI8sKfPIFqLPLO28kupNkC6k2WsntmHskcn39gt9CHQdimjvw0NFfJ0iGOuYvihplSfTJU
JsQ6/8SoHiK1XJ7N0gfjm6EVkxwgf1d1+lE2hGxmQqO9toZtnAUFwBZdPISwYRl88LVrm3YZLpdd
F1l4L7+CNpxWaUuehvtb+3vRw7IhRtdFoW00UU3/rL9JhlFmp9FvuhBMi8cHfFk66nVhcI87GOnx
LWE51IP4yqpYN8wJPntcmY+q4b+b1qyKHupOP3D3mNHNG9+79DKut0YfcuPrJIB9JIMVJJOKuCoN
rqFuBlzn2RWTkOOSSVEjFwBbeeimeLBQknmzxW0WNJGNVSsyqmZZM5fPgRly4Le6afpooBek2NYd
E+dEi0Se6EZRp4y/bDrCvPONzZDqYXoqPbbBY1onebO1wYmD7/EmxhX3U5ZiPsiXLTKawk5tlTso
0v02jdN9gt887esPQWtJwzwKUwGhGmbNKv9lNjguJeD0NdOW1ynruwMvzL2pxdoHFxPWFGlL0WzH
P2KLsErcfBPCC2PdZgdYqwlnpJtaJ7OYP9Uwnz1Et008mReVMQKQyru3rHTENc7O2sXJlRvW8Ds2
mEbjvPwJTLBtfp3mK8+qJnpnDROe0hJS7jKP06Ypio/Mww3Q00THxB8HezNtUWZTxn/2E7wpnk3P
MVhV6mInRuNzrqfszqt1GwGhfKsxyKx6HSZrW5CNM0iIESTwntNmvsFi0+3DxkHH8f+Tu3NpThzZ
8vhXIWZz740YqpF4icXcCBvjNy63cbm6e+NIgwpkBAI9wDAxEbOZDzHrWfVidrOcXX2T+STzSwlV
k4ICG+W9VbfoiI7GdqdSJ0+e9/kfMJqAC6fSsjSaAFQGl1Yowj2eDxfLk8fqYnZBQLhMyKg0qzdL
9MqeDCv9eXtY7A+uDPAX6Sr2h2eUXvDbYPxrWSL2AYhZoxv10XMc6p7Cx2uP2qabiu+6J1a1+Pww
JxFwRWNi2JnVq7/VB9Pp6XRsFa8Xs/ATlVen0ylbKcGSxdF8doEZVvvtOTDon2DCL8hxPlg/3qBx
avi0KpJxMULrpFJ7+ThcPE5P3Tno1n4fyHlnEQLtU/ulSsKjVeovnu9HIy687wEXZw1Aj6FeEiVY
nTpP0fTRuVyMpgxar9WJkUypehVTyjRCCq4xbnBVUWwT6RqSWKNkbQYkR4PeJg61GC4ZnTzzZIXw
sM95tJ7jymFz/jKkjBh4iOL0Z4OpRhQYl+Nq40plsvSvvFBWIZfBM6Ak2VlMXYLPRC8oVmbk8ot1
On+hlObU7Ee/9BfOImoVB0WqnEcDqzhqW3H184zq7f4FuGuln0txfTQJzcA/ZdiG494W+4uy8VtA
aPtiWm0w/Zj6GSoIHxiz/EyvR0iB640xKTGTAwG7qNuTcX9OkTaFFI+TywZA8+EZ8Zd5zwv7dTCq
akzVaZAaAcTjY0kWfr8Y/TIVyrR1FBmkPpjR2wB0gOtc0ksSNE782E/FK8YkBPy9RkBMerKT0Irm
NP1Wy8b5MvZ2yUYvmY8kneBJLXppDovIM0LcYC+cP0qneVkKKpe+dKSj2KcOYv8axAd8bYCkalcO
tT+44G7sj89j3xyonMF94EyCExIETisgsRHREE11wWXkuAZlSGXLPzcHxSoZklFjxBtTlo7a98bA
hix5hLDAuZsSg15EFBAR0x3Or43lhNlME0CxzRsmOc3wTMyiP7soE565p66x+tR4BngZ7WdYIMUt
a89Rq0wNEUAkTCQfy5Tlkoq5WoVqNmam0ch3QVJfFgMxuBDdNRgHv40XxRrAVUAe0MEBAikZ/siZ
mL/M+0GRLJhfoz1nPqaa46RMRTPB9DktaZNzGiNfinfDgU+Gl9o9K7gbOxQ6fTTqdHzi5C0cII1d
cmNn3LESvXi1aB65RPy8EAgAVBvwLia1DSfjmT8tno2ZbTjGBAj7tXbdGFEO9GKYA7dFiQETX80i
ddPHLpLD75Vn4RztMygy6f3RfaleD8uP4Jb4j43+A+jJhggtxC8gRY/+B6a+LEbMrHJG8/NH//Gu
FBrAeCwXdeelTRVPcO68eEujZ5VnVnBGQqA0o6XXkOAsoORGi6vl7Nm7KYYoQcDzirX5pUfCkmyC
VXw+A7zMmj0Ug7AEFtzzy8v4tjSdU3vMTAfc4/Kzg0kQToh0EnCTKTnAW8m6/wJuVO3OKQ1HF1Rp
ymms6BzA6kd4szPmRM1ehhRjPINz9UxoLShL9840owtrWS7d1qel4S3F1GQI5g3O1Z88UpUWlswp
Q9MejdvGS6Xy6+Ng8AG/Cf40ohKlE4MxU6xMLl8zMhqjX+az2vN7gOKjQbMUFoG1p/F0dmIR8KRA
mQkRouHWKosTxv6SsZrUQ0orsMU/4vGFxRMflP7gckKOlsldywXhphfAk/pmMD2lSiE0m7Wp8Qgi
1KMfNi5noBu5JxMmd91THSXCoVlrO0DZn04fDeqFrcrN0pxFLZcDGPejNinN+fHz4PlnADaapA0n
z5ejOqCc+LKG+x6Yi0+L6XNA/5A3bJwuiEw358ygbU2nFTJxM/OZsfRlKxLFCojCb+8r+jGjVfTc
7IpWYd0V7sXccdfDVfH/swpXVWgEotuRmBXjbBgpTTPkqk2y/I6uV4qjG4ypLCcNlKs2yaTrqGQ0
SvUytepl849olWm8Y50SLUeWUWHajPk2uOwMWLZZrtJwWanSplmusmJ2VGvFogvDWuKKgIVKjza4
yDTdUJrZ8D89TsqDKeGTQcOnd994HoYUL1b7lRdcTC59jTp9EiZD0gkjv1q9ezs//a3immsh0I3A
5pcOUxn2vKXUM7z3Dvuj9fjp5kKvi5QyGzLDe/FKcZR21woujbth1CMIS7ttBVArA2mTfAi9AjPY
X/262HhH4t6qwgc0vsWf9XPaRYTd77cZQz6YBnIQshItfisNigZvWZI4VASH4w+3YI0I5cq7hlFh
3riM5PKkNf7Y3PRrXuw1f7Pr+Ow4in7R+5d/QljkfHXjncV45HqNDqEtr27U39G9DaAHXYrf5/Gb
pdw0MK13cvCAWapzm9bOnXxByWI8mNlI8hHf0bkzxijnydfl8LU6UxjotY8/TNBbe3c5rAHNU6mS
okg+Sffs90QDOWs9F/cb7yoVowHrq+dett5VyiSQa+SQUtJ8X9felEMrcr160SyTDGP4BT0dyUtC
zLXz5+KXzbJhlKpWcvyJovmOjt/Ke/p0YCPzTOYbrAiQUX0Gt5/fk6lLPzHNvyMS0FKekw0aZD0x
Fbnqq1vOgmtcgJDgo1oH39lNkOAh+W5C7R0Wbt1AkaxooPJBGRNJIpVUyQ/Hn+/OCMBwyUkDi1eE
1WuVlf0jc+ZrbMBNQEjUa9KtiD/YR69lg1dcly82dXPguL3YmnbsYK3UYO8fpLbm5gIrM0raSswi
AhVB+VNZiJAsnphU8vtfux7m1ZgfxIbe2i/klKG1r17XFuM9f6PUOAQbf7wiTrzt1V7Wf9SSdl5K
CmXj6W/SH547NlDz3cEi/sVi9dY3YoSJf/TJd7pi3f0E+T39mpZirF55jY92LjkOeVqYWZY8C5fx
DwrJEo83rhtkIDjA5cm3YivyPXVINSpNjoTKs80bzw8HhaORnSUsbpKVc+2jKAh9JkIoB4YSkuou
z547XrR9z7Glk2/t9/ImqDuulZmma5mIzQoDvYh3NLAv8+z/Fn+772WfUquAegLVGROMpV4vVTee
Ev1RYxS8krvhGZFhRGxEq8LAPsqATKb41cBzyb7OAQ86ppXC6RY6oQhtNpeQR4qqOjkAQLMaAGhV
ZclRQ063U6l3wOPaVHROvFCM1KOSYSdmZJsoOOI72AKbLHzIw0R/4NtP6bbjt2K2m/yH8e0MgJMa
d+OuHPCgpvCdpycYsHBjhwPbdxlPrxDTqpQbmPgg8TCQvoQjW0W77SHmNin8xfHf1DKqQ//2368d
fW0LS6dSfl1PqLpI0TM51cy2d19TxspmWusaah8V1t4yEcLKUl/RxWscsfFeO2jwrXSt+7QhCXcw
2ysF0tG45/m+ohEwQr/Kwq9dVWoaVRQYmL55lz223b4TjdKF5MU3d93zV+722ANcTxS43IVz26eJ
3ZsxiVJ5yi4Z+dqn2K7wI0V8bFogayz52mUjt4+YUrZb1rDdE3s8Ev5wnQo1DbS+8CHDuKcsq4Hh
WkGYVeASpiwvwzWXdneg0lb6xXmXPQXGIUMEmf3IvazwPbtwEWyqKQ0Hd+qLcddONymvnqXhRp85
T1ikWPzrCzc0nNwZ1eTjwF4o6264Jm+/bme2PxJjdVkddPBtW6VuQ8OtoHSFbIwiGig1T0mS+mdv
JwJN5sgchQiGjJXnZeCL7oZwIEyoYd1QuOpuZWF83t1e2n6GwQzK9/Mvi7nZFgtb6VswTA1i51pQ
tadyQ0UDda9BBYqypomx6Qi/nc86rjcTw+yWNdD42kGuh/Y4CJmFkx6ZlGlGPG1aWp6Lw6/HdfRi
j568yO+rS2sQ8W3P7UETZd2qBrHW9saiq8zdNiSkaN4r0payPV0mpm8MfJqTvl9xxow61RJ5d0z8
ZS5UWaFDNTNOPKPwjYaRf7e3RIuivlAKQJg9nn/hOw8tp148WmPyrytvtJ1dWA5rz3tunVhq+uB4
pGsl3oEG3dyZCFVI4OunDzlcSHRmAofOVyxh09RB4rndU5WHqcNJ6sydcJmEQNKXjymsQ+V9GPqQ
WDEuiYaljzmcxh/GTmj3ClfOuN/zVLdxM0z9dvX0gHHVhe+aaIt0szFNdkaBXunXIZFRUHbfVxla
h1fTsf0sHnVdA7VxPOyC9wnjRVWpVcPUI5gJMrdF1+5lPT3y7DrsOXqsgHhcP0iahCq1zej42znl
839I8b/NNQN0yLDIEltGmR5QMEf2P25bEO3vE0CUyZ0fMbDWJ9uimCkatMbRuI/OV7gp/XK4QKPh
nskYamxKluvk1Z7H6GTl0sqqz9yLRj545U66kJSMssot77LNgVCUpg5FcWdPoieXfAnii0B/AXyr
viIJKhpsqhN75HV9qTMK+5+ngQObpGh96vJTkssDqGhglqY38hjNsL5sVYPd0oQxiAUVkpzy+AuN
lOdo8IKbYmIXHmy/p9gbO7N7r1TZJ8DikQpVOJ5BMrk5vtVfTMJ0GXmKNQ32Z2saidBD7rmFswjj
SxFVNQ1s0vKd0FeX1WFltMKBw5wbZbt1Dbfznmt/tjGow9JguZyJJ/USWhqO72yQUQP77QZSWn3b
21V7sckIDBFJGe9wrdX8/D+hXej96WLmMXIxXU8yclxrmlchXNnjhcIOWyo7oj9S9a+8zNfOU9Yq
iEvi8+72mkx5OFCUC0ZmSpTDicx+M1SoaFC2bdETfRF01QC9oUONEOP0wlBlBy2Ok3DpiUkJGnOZ
nPSV99wIZWUW1XCL2yjSbjbupkH2tkWE9HXUbKMRD1DLGXtLVs7Ghgwdaq7tLaX8nUYqT8gejLyH
d+Ng4qfLxCyhQ2XEq6qaKC6bzbvbRAwXQfsPRKTsuqGBke8+/x6NM7BIho5s0x2eSU8RxGZJgxnb
sRfdge26tmJxmjryWKvCtY0ixrjxI+8pdmT0Rg3NgtKfHufhgr5DPaYvCte2l4mYGRqsoA5x32yB
oKGB6TpRT40KUSuVnxT3nuqlxdXKuc/t8395hXtv9Pn3uCLk1v/83+OuoxZ60t6gYfdcw0wtIPEf
DeuK8TIroE1Zy56XMh/6GxdcR/4QNOgh9TaFUxEoZhG9ofn3TJ2ykw12yg6XvLT4+oTSnAr2a8MC
8y77VWS7nAsnMnTzfutIxu1ocM6566Onha2Yc3UTtDxQ/cAAJ5qMoN7vT327OKwpPZwfMBD7qY9X
6wShqio0iNojMldPwnlWF9YgXo78EaFTxejR4BYcC4a1iZ4dDFJBJW1WHZm29kLIsj5lWR0bHkTZ
Q9MgYxnpOFZvaVnDXgmLPnk99cx0qLGO7xSuxXioMIOONCOl2WrEX4dePCfCXbiS/+oc3a2zg6HD
Zr+gqnhsZ4wbwzDSBx1u/bKyenSGDrP3UkxU0WCYGuK2Vwu/vwD1M7N0WYMTkLQJXXmZAKtR1kDi
RKNvWVvDlb4SS8Go0A2SaLjX10LNSZBQzc9u5JuFt3FFqhqoTH6fBGGGl3VYpgSqes5M9ZYZlaOD
Fq5YZO+0jlTEjT1R/WTgi/Nv91b4FAu425LuhqVl/eGGqQJqjoaN06rqTCbkZDIRDw1cx0Scvpgg
NtJtxoaFoYE77gfCyda4mSAE5fa07sWzs0lpzHUdSzvErNJ1EhtLx45xaKVZmBVzpg6J9GH5ZG8h
R0XDvh8cOxwLtU5Kh6h7TzOQNytchBQETAo/FVrkHb0wWt3MdfIzSrek4UVWD7yKxiIYAJL1UyH9
T2fbQ+sVHVWpnQm5fXexTd7QcanD9mk7vR4lVi0RhOtEq4DIvks0IEW+oBjsyv6tqNYZOEM6OcdQ
7ct/Jj0l6w+lH5uGTg1BJdSVWAgOyHfc//v3/wyG8tuZvyDxxA7OyZ2ORHpqijykb7lW1pE5u3eo
ZyiSl1OTUXXQa8oSrSBvqIhA8FAMU3YPfjpxhLfAX3IKP1MfI5SYVwO8JFNHbuLEG/Y8CHgvhriR
zkik7yGlHHgLNP9qOLwrETm+ozSJGSUwGkH3SZ93uKl/K5hXWOzSf1UMgihdT+5/9QwdcWk87S0r
a5BB12ISDjJmTUKavYrr2wWWYpiFHzCwtBVTolray0Df7iQSuIcf7yialK2oSUIdSuSM9rmNlkod
fRBt+8XJ5Odre7lmf6FNh3L3sHArM3l2nGVqy7Q3sDjrssjcz5/7n/QhKYHvbOBAMEM0fdjhIvpL
zd4WvBL0864Yymutki8YDOluEwVQAnjB2uVsJet/uwucWGV5L/D6/uUxgSi0/qOWTIPkRvE5FgPZ
f6EQWIMGbC4mmX53HSbHGREkYE18Z6Lst7SL115pAF/Q4qwsqiPzfRH4wlYbtHS0D7HXqbJXHT0+
l57fy5BAR+vGVTQXjuKyGBLYOK9dfW0DiKGKTJAV86/7nta3dJVY2NQ0SMqfwRjylVU3UYuiNxcp
dkTUcwpHvsimuHdiCL3yOnQWma4IU0dQfKWQ5J4LrZGDz5wJc5kaqP0RZ65AFk3xTMAiSg/gcI33
q01kJ11GcoepAxXjxivAdH8KCtkIGi1B6cMO3/OZbD4tdKKnHiEpcMWUq8gIeh1i+T4aP20LfeAM
GkZdR6/r0VNUaEeB4siuVtdAo3+9a3Vadw+tk38rSOYBPKKwwf8S/LwC3phhMn++YVXAbd53ONuU
9Q4Vvg/maN/vVzI15svY/vrHsD9s11mqEWkNMqDpEX8t3GWABHVkWFpuoSPcmQA5KT1/SXEJ8ZxX
p53RlGFTgqdw+Sb04ds1BfnensSeS7cYKzYdDsYNBPZFP1J2bOw0/V+pf25xFdW4ldHYS+Jvd+Fo
lUh8kn+IO3fkR0/qkaWccbieOcIbgRFih/ZY+E/UfKaLxhIp/ZLnCX3G8ai3Q0fySu6W66zejr1x
uv3et2wqwruCjZWlddhRTbHAZNimcnWkgpoZ7tDRQXHijZxxRhzrSLyk625vGdSR+Sa8lI1a6bBo
EPY9gj6RWluso8b/HH/LSa9bIurL6dfDb98lfJw5P8Y35F+3LXxQkTcaP3Q0lUoUhUDWyys2r6HD
E7gFYSz0pIGhZHBMHRZ7Eh+8csIwiKXpjc1Ew5TQsSzVkSZNnnIdddUqFFMHmMI9UCxOT/Ti7d97
TwDsKvvXgWd1T549oU8TvvSCbcLQ1IGxmBDqwQEAj7CtRHKQTeKJVNgo09DRdncsu7eCQeHB8fvO
ViGPK5LS8/AL/aGz8wl7ja39CpA5biLT82nqsJOb2LJUZqUkiK+EjrRpR6hWEWN70mccTmaKbsJC
K8IdybbkmTrQJBPuxIQJB59/d+3RIt2xpEpVT8sRL9AWPEGNfVAvr6P+K3mBRAsU/pwATf5l/SXK
gCvvDRh+O8s/gVDPa/Zzmf7wHpkUsObjfSvEYVh2Ay9eB1gX1aufPHe4ktfrJ10DLIjEToMJbkbF
ssC835uI+HbnnsDb/4Dn7vclJ6pF5ztLjF7p0R9T8JpBoNSRXzj2BQNs19morEF1NSnDVIJSOmqN
mp7r0eOs+MU6SuxaXXwJNRylI099iuPTHUiAkAzahI7urlPhDmW8e5vZVt8bWd1ve5xFNLsolKZu
KOWSHNqcSjUCUwprGDvnGrzydsiCZcInivo2LA05i1vbj9L3jp3B/UJ1P3U/+FF2s6aOG/JA2/SS
Wgjl4JiwkL7A1w7u26mBbfNIfkClkJR4kBYRI085HB0W5jGw2tlwoQYHpyPFrbfVgdLRhdP0pNf5
5yubBMa4/5dtgkyHNxg3+8iMFCayFMTbnqMDBLjpealNpgQbdCABnzrPTnqFpQzS0eFxCtCpzB/3
VmNuYvBJp+tvtp7trBR6pXhe6UKQfBcbrW060h2r9ePuK3nYUjMSUU+GYcnOwszoGQ2KgQCkUu2v
oyTh3AbUdsWh8Tu0uycEAdz0ZwpnMaslZYqvyfX9muiKEuQnXOt0pVjF6QBoaA58EubE7levoz5A
w85v7HmhKdwtiKY6YF5vnAySjg74tQcxJkWpmhM6YiQ3IBapq+q4s5LAv9mkU9WJIyCupmd5ONvd
OmGX2NZW5cIYLw0PEBOSafIVtuCy6Smwd7P4QhqYGiUVUPi+vfFORyo7CRed2y5JmX8uHAUEZQPw
jJJIs7yxpMVoHmlG44FipzBdLf+h3HtDbFOFU00dpsQ97aDqbnW08t5HoIxnNquBMz9yvE4SeT+N
QrqsUrpK0cuwt/Tr4Zdrw8g0dRQpNWVfpczapJc23ajcd5UgY73OODfG0VNXVKnqwP1Xyq8LbeDp
/cL7iDYx7MWtZlxdtuaUKDOyiIIx4HA/Euc3dHy2TC7M6/isv41kn79JwfOZ7ZFXUbhWR0fwXRRk
2qNNHf1j95//F4Ckhb3OrLSHpF+/dsnWKdla1Yn/fUrPto2Y/PvyxbZ31z1ncNtsyx/wLbcM1vzx
3nLbHM/v7C33sPRKTnZd3K+//j8AAAD//w==</cx:binary>
              </cx:geoCache>
            </cx:geography>
          </cx:layoutPr>
        </cx:series>
      </cx:plotAreaRegion>
    </cx:plotArea>
    <cx:legend pos="b" align="ctr" overlay="1">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2.xml"/><Relationship Id="rId21" Type="http://schemas.openxmlformats.org/officeDocument/2006/relationships/image" Target="../media/image14.svg"/><Relationship Id="rId7" Type="http://schemas.openxmlformats.org/officeDocument/2006/relationships/chart" Target="../charts/chart6.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1.xml"/><Relationship Id="rId16" Type="http://schemas.openxmlformats.org/officeDocument/2006/relationships/image" Target="../media/image9.png"/><Relationship Id="rId20" Type="http://schemas.openxmlformats.org/officeDocument/2006/relationships/image" Target="../media/image13.png"/><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image" Target="../media/image4.svg"/><Relationship Id="rId5" Type="http://schemas.openxmlformats.org/officeDocument/2006/relationships/chart" Target="../charts/chart4.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3.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xdr:col>
      <xdr:colOff>12699</xdr:colOff>
      <xdr:row>0</xdr:row>
      <xdr:rowOff>50799</xdr:rowOff>
    </xdr:from>
    <xdr:to>
      <xdr:col>20</xdr:col>
      <xdr:colOff>569310</xdr:colOff>
      <xdr:row>43</xdr:row>
      <xdr:rowOff>106307</xdr:rowOff>
    </xdr:to>
    <xdr:sp macro="" textlink="">
      <xdr:nvSpPr>
        <xdr:cNvPr id="2" name="Rectangle: Rounded Corners 1">
          <a:extLst>
            <a:ext uri="{FF2B5EF4-FFF2-40B4-BE49-F238E27FC236}">
              <a16:creationId xmlns:a16="http://schemas.microsoft.com/office/drawing/2014/main" id="{BD943D4D-8C3A-5AF3-072D-6AB2DFDE31F8}"/>
            </a:ext>
          </a:extLst>
        </xdr:cNvPr>
        <xdr:cNvSpPr/>
      </xdr:nvSpPr>
      <xdr:spPr>
        <a:xfrm>
          <a:off x="625802" y="50799"/>
          <a:ext cx="12205577" cy="8058698"/>
        </a:xfrm>
        <a:prstGeom prst="roundRect">
          <a:avLst>
            <a:gd name="adj" fmla="val 1930"/>
          </a:avLst>
        </a:prstGeom>
        <a:solidFill>
          <a:schemeClr val="bg2"/>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160832</xdr:colOff>
      <xdr:row>9</xdr:row>
      <xdr:rowOff>153502</xdr:rowOff>
    </xdr:from>
    <xdr:to>
      <xdr:col>6</xdr:col>
      <xdr:colOff>560661</xdr:colOff>
      <xdr:row>19</xdr:row>
      <xdr:rowOff>172000</xdr:rowOff>
    </xdr:to>
    <xdr:sp macro="" textlink="">
      <xdr:nvSpPr>
        <xdr:cNvPr id="4" name="Rectangle: Rounded Corners 3">
          <a:extLst>
            <a:ext uri="{FF2B5EF4-FFF2-40B4-BE49-F238E27FC236}">
              <a16:creationId xmlns:a16="http://schemas.microsoft.com/office/drawing/2014/main" id="{80C4E7B0-13F1-5067-442B-032EFA938F77}"/>
            </a:ext>
          </a:extLst>
        </xdr:cNvPr>
        <xdr:cNvSpPr/>
      </xdr:nvSpPr>
      <xdr:spPr>
        <a:xfrm>
          <a:off x="773935" y="1828588"/>
          <a:ext cx="3465347" cy="1879705"/>
        </a:xfrm>
        <a:prstGeom prst="roundRect">
          <a:avLst>
            <a:gd name="adj" fmla="val 160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85291</xdr:colOff>
      <xdr:row>9</xdr:row>
      <xdr:rowOff>153502</xdr:rowOff>
    </xdr:from>
    <xdr:to>
      <xdr:col>12</xdr:col>
      <xdr:colOff>314327</xdr:colOff>
      <xdr:row>19</xdr:row>
      <xdr:rowOff>172552</xdr:rowOff>
    </xdr:to>
    <xdr:sp macro="" textlink="">
      <xdr:nvSpPr>
        <xdr:cNvPr id="5" name="Rectangle: Rounded Corners 4">
          <a:extLst>
            <a:ext uri="{FF2B5EF4-FFF2-40B4-BE49-F238E27FC236}">
              <a16:creationId xmlns:a16="http://schemas.microsoft.com/office/drawing/2014/main" id="{1C3859B4-63DC-919A-66BD-AF54E63BAA24}"/>
            </a:ext>
          </a:extLst>
        </xdr:cNvPr>
        <xdr:cNvSpPr/>
      </xdr:nvSpPr>
      <xdr:spPr>
        <a:xfrm>
          <a:off x="4377015" y="1828588"/>
          <a:ext cx="3294553" cy="1880257"/>
        </a:xfrm>
        <a:prstGeom prst="roundRect">
          <a:avLst>
            <a:gd name="adj" fmla="val 160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8648</xdr:colOff>
      <xdr:row>0</xdr:row>
      <xdr:rowOff>35801</xdr:rowOff>
    </xdr:from>
    <xdr:to>
      <xdr:col>20</xdr:col>
      <xdr:colOff>555186</xdr:colOff>
      <xdr:row>4</xdr:row>
      <xdr:rowOff>181522</xdr:rowOff>
    </xdr:to>
    <xdr:sp macro="" textlink="">
      <xdr:nvSpPr>
        <xdr:cNvPr id="7" name="Rectangle: Top Corners Rounded 6">
          <a:extLst>
            <a:ext uri="{FF2B5EF4-FFF2-40B4-BE49-F238E27FC236}">
              <a16:creationId xmlns:a16="http://schemas.microsoft.com/office/drawing/2014/main" id="{F2D5B954-2538-4E5C-0AD0-8E88E2266E6A}"/>
            </a:ext>
          </a:extLst>
        </xdr:cNvPr>
        <xdr:cNvSpPr/>
      </xdr:nvSpPr>
      <xdr:spPr>
        <a:xfrm>
          <a:off x="621751" y="35801"/>
          <a:ext cx="12195504" cy="890204"/>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182946</xdr:colOff>
      <xdr:row>0</xdr:row>
      <xdr:rowOff>101600</xdr:rowOff>
    </xdr:from>
    <xdr:to>
      <xdr:col>18</xdr:col>
      <xdr:colOff>126781</xdr:colOff>
      <xdr:row>3</xdr:row>
      <xdr:rowOff>114301</xdr:rowOff>
    </xdr:to>
    <xdr:sp macro="" textlink="">
      <xdr:nvSpPr>
        <xdr:cNvPr id="3" name="Rectangle: Rounded Corners 2">
          <a:extLst>
            <a:ext uri="{FF2B5EF4-FFF2-40B4-BE49-F238E27FC236}">
              <a16:creationId xmlns:a16="http://schemas.microsoft.com/office/drawing/2014/main" id="{FE868A41-2AE6-211E-EE0E-7800006EA162}"/>
            </a:ext>
          </a:extLst>
        </xdr:cNvPr>
        <xdr:cNvSpPr/>
      </xdr:nvSpPr>
      <xdr:spPr>
        <a:xfrm>
          <a:off x="796049" y="101600"/>
          <a:ext cx="10366594" cy="571063"/>
        </a:xfrm>
        <a:prstGeom prst="roundRect">
          <a:avLst>
            <a:gd name="adj" fmla="val 29593"/>
          </a:avLst>
        </a:prstGeom>
        <a:solidFill>
          <a:schemeClr val="accent6">
            <a:lumMod val="60000"/>
            <a:lumOff val="4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NG" sz="1900" b="1">
              <a:solidFill>
                <a:sysClr val="windowText" lastClr="000000"/>
              </a:solidFill>
            </a:rPr>
            <a:t>COMPREHENSIVE HUMAN RESOURCE ANALYTICS DASHBOARD</a:t>
          </a:r>
          <a:r>
            <a:rPr lang="en-US" sz="1900" b="1">
              <a:solidFill>
                <a:sysClr val="windowText" lastClr="000000"/>
              </a:solidFill>
            </a:rPr>
            <a:t> FOR </a:t>
          </a:r>
          <a:r>
            <a:rPr lang="en-NG" sz="1900" b="1">
              <a:solidFill>
                <a:sysClr val="windowText" lastClr="000000"/>
              </a:solidFill>
            </a:rPr>
            <a:t>ORGANIZATIONAL INSIGHTS</a:t>
          </a:r>
        </a:p>
      </xdr:txBody>
    </xdr:sp>
    <xdr:clientData/>
  </xdr:twoCellAnchor>
  <xdr:twoCellAnchor>
    <xdr:from>
      <xdr:col>1</xdr:col>
      <xdr:colOff>160832</xdr:colOff>
      <xdr:row>3</xdr:row>
      <xdr:rowOff>154044</xdr:rowOff>
    </xdr:from>
    <xdr:to>
      <xdr:col>4</xdr:col>
      <xdr:colOff>208017</xdr:colOff>
      <xdr:row>9</xdr:row>
      <xdr:rowOff>101711</xdr:rowOff>
    </xdr:to>
    <xdr:sp macro="" textlink="">
      <xdr:nvSpPr>
        <xdr:cNvPr id="6" name="Rectangle: Rounded Corners 5">
          <a:extLst>
            <a:ext uri="{FF2B5EF4-FFF2-40B4-BE49-F238E27FC236}">
              <a16:creationId xmlns:a16="http://schemas.microsoft.com/office/drawing/2014/main" id="{8B01DE3E-C48B-1233-7C98-ED0A1612E9ED}"/>
            </a:ext>
          </a:extLst>
        </xdr:cNvPr>
        <xdr:cNvSpPr/>
      </xdr:nvSpPr>
      <xdr:spPr>
        <a:xfrm>
          <a:off x="773935" y="712406"/>
          <a:ext cx="1886496" cy="1064391"/>
        </a:xfrm>
        <a:prstGeom prst="roundRect">
          <a:avLst>
            <a:gd name="adj" fmla="val 1609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a:t>
          </a:r>
          <a:r>
            <a:rPr lang="en-US" sz="1400" b="1" baseline="0">
              <a:solidFill>
                <a:sysClr val="windowText" lastClr="000000"/>
              </a:solidFill>
            </a:rPr>
            <a:t> STAFFS</a:t>
          </a:r>
          <a:endParaRPr lang="en-US" sz="1400" b="1" baseline="0"/>
        </a:p>
        <a:p>
          <a:pPr algn="ctr"/>
          <a:endParaRPr lang="en-NG" sz="1400" b="1"/>
        </a:p>
      </xdr:txBody>
    </xdr:sp>
    <xdr:clientData/>
  </xdr:twoCellAnchor>
  <xdr:twoCellAnchor>
    <xdr:from>
      <xdr:col>4</xdr:col>
      <xdr:colOff>447787</xdr:colOff>
      <xdr:row>3</xdr:row>
      <xdr:rowOff>154044</xdr:rowOff>
    </xdr:from>
    <xdr:to>
      <xdr:col>7</xdr:col>
      <xdr:colOff>488623</xdr:colOff>
      <xdr:row>9</xdr:row>
      <xdr:rowOff>101711</xdr:rowOff>
    </xdr:to>
    <xdr:sp macro="" textlink="">
      <xdr:nvSpPr>
        <xdr:cNvPr id="8" name="Rectangle: Rounded Corners 7">
          <a:extLst>
            <a:ext uri="{FF2B5EF4-FFF2-40B4-BE49-F238E27FC236}">
              <a16:creationId xmlns:a16="http://schemas.microsoft.com/office/drawing/2014/main" id="{D4CE5A45-AEE7-1E13-496F-C0E82DD4A675}"/>
            </a:ext>
          </a:extLst>
        </xdr:cNvPr>
        <xdr:cNvSpPr/>
      </xdr:nvSpPr>
      <xdr:spPr>
        <a:xfrm>
          <a:off x="2900201" y="712406"/>
          <a:ext cx="1880146" cy="1064391"/>
        </a:xfrm>
        <a:prstGeom prst="roundRect">
          <a:avLst>
            <a:gd name="adj" fmla="val 1609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 ACTIVE STAFF</a:t>
          </a:r>
          <a:endParaRPr lang="en-NG" sz="1400" b="1">
            <a:solidFill>
              <a:sysClr val="windowText" lastClr="000000"/>
            </a:solidFill>
          </a:endParaRPr>
        </a:p>
      </xdr:txBody>
    </xdr:sp>
    <xdr:clientData/>
  </xdr:twoCellAnchor>
  <xdr:twoCellAnchor>
    <xdr:from>
      <xdr:col>8</xdr:col>
      <xdr:colOff>107515</xdr:colOff>
      <xdr:row>3</xdr:row>
      <xdr:rowOff>154044</xdr:rowOff>
    </xdr:from>
    <xdr:to>
      <xdr:col>11</xdr:col>
      <xdr:colOff>154701</xdr:colOff>
      <xdr:row>9</xdr:row>
      <xdr:rowOff>104886</xdr:rowOff>
    </xdr:to>
    <xdr:sp macro="" textlink="">
      <xdr:nvSpPr>
        <xdr:cNvPr id="9" name="Rectangle: Rounded Corners 8">
          <a:extLst>
            <a:ext uri="{FF2B5EF4-FFF2-40B4-BE49-F238E27FC236}">
              <a16:creationId xmlns:a16="http://schemas.microsoft.com/office/drawing/2014/main" id="{47042DAE-B332-AFDE-4479-52B4130B82B5}"/>
            </a:ext>
          </a:extLst>
        </xdr:cNvPr>
        <xdr:cNvSpPr/>
      </xdr:nvSpPr>
      <xdr:spPr>
        <a:xfrm>
          <a:off x="5012343" y="712406"/>
          <a:ext cx="1886496" cy="1067566"/>
        </a:xfrm>
        <a:prstGeom prst="roundRect">
          <a:avLst>
            <a:gd name="adj" fmla="val 1609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mn-lt"/>
              <a:ea typeface="+mn-ea"/>
              <a:cs typeface="+mn-cs"/>
            </a:rPr>
            <a:t>TOTAL EXITED STAFF</a:t>
          </a:r>
          <a:endParaRPr lang="en-NG" sz="1400" b="1">
            <a:solidFill>
              <a:sysClr val="windowText" lastClr="000000"/>
            </a:solidFill>
            <a:effectLst/>
          </a:endParaRPr>
        </a:p>
        <a:p>
          <a:pPr algn="ctr"/>
          <a:endParaRPr lang="en-NG" sz="1400" b="1"/>
        </a:p>
      </xdr:txBody>
    </xdr:sp>
    <xdr:clientData/>
  </xdr:twoCellAnchor>
  <xdr:twoCellAnchor>
    <xdr:from>
      <xdr:col>11</xdr:col>
      <xdr:colOff>372902</xdr:colOff>
      <xdr:row>3</xdr:row>
      <xdr:rowOff>154044</xdr:rowOff>
    </xdr:from>
    <xdr:to>
      <xdr:col>14</xdr:col>
      <xdr:colOff>401038</xdr:colOff>
      <xdr:row>9</xdr:row>
      <xdr:rowOff>101711</xdr:rowOff>
    </xdr:to>
    <xdr:sp macro="" textlink="">
      <xdr:nvSpPr>
        <xdr:cNvPr id="10" name="Rectangle: Rounded Corners 9">
          <a:extLst>
            <a:ext uri="{FF2B5EF4-FFF2-40B4-BE49-F238E27FC236}">
              <a16:creationId xmlns:a16="http://schemas.microsoft.com/office/drawing/2014/main" id="{43143C33-1297-1272-8E46-93EA9B957C38}"/>
            </a:ext>
          </a:extLst>
        </xdr:cNvPr>
        <xdr:cNvSpPr/>
      </xdr:nvSpPr>
      <xdr:spPr>
        <a:xfrm>
          <a:off x="7117040" y="712406"/>
          <a:ext cx="1867446" cy="1064391"/>
        </a:xfrm>
        <a:prstGeom prst="roundRect">
          <a:avLst>
            <a:gd name="adj" fmla="val 1609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ATTRITION RATE</a:t>
          </a:r>
          <a:endParaRPr lang="en-NG" sz="1400" b="1">
            <a:solidFill>
              <a:sysClr val="windowText" lastClr="000000"/>
            </a:solidFill>
          </a:endParaRPr>
        </a:p>
      </xdr:txBody>
    </xdr:sp>
    <xdr:clientData/>
  </xdr:twoCellAnchor>
  <xdr:twoCellAnchor>
    <xdr:from>
      <xdr:col>15</xdr:col>
      <xdr:colOff>45002</xdr:colOff>
      <xdr:row>3</xdr:row>
      <xdr:rowOff>150869</xdr:rowOff>
    </xdr:from>
    <xdr:to>
      <xdr:col>18</xdr:col>
      <xdr:colOff>92188</xdr:colOff>
      <xdr:row>9</xdr:row>
      <xdr:rowOff>101711</xdr:rowOff>
    </xdr:to>
    <xdr:sp macro="" textlink="">
      <xdr:nvSpPr>
        <xdr:cNvPr id="11" name="Rectangle: Rounded Corners 10">
          <a:extLst>
            <a:ext uri="{FF2B5EF4-FFF2-40B4-BE49-F238E27FC236}">
              <a16:creationId xmlns:a16="http://schemas.microsoft.com/office/drawing/2014/main" id="{5DCA8A7E-4652-0D8E-CA59-7BC816F0330E}"/>
            </a:ext>
          </a:extLst>
        </xdr:cNvPr>
        <xdr:cNvSpPr/>
      </xdr:nvSpPr>
      <xdr:spPr>
        <a:xfrm>
          <a:off x="9241554" y="709231"/>
          <a:ext cx="1886496" cy="1067566"/>
        </a:xfrm>
        <a:prstGeom prst="roundRect">
          <a:avLst>
            <a:gd name="adj" fmla="val 16098"/>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GENDER</a:t>
          </a:r>
          <a:endParaRPr lang="en-NG" sz="1400" b="1">
            <a:solidFill>
              <a:sysClr val="windowText" lastClr="000000"/>
            </a:solidFill>
          </a:endParaRPr>
        </a:p>
      </xdr:txBody>
    </xdr:sp>
    <xdr:clientData/>
  </xdr:twoCellAnchor>
  <xdr:twoCellAnchor>
    <xdr:from>
      <xdr:col>12</xdr:col>
      <xdr:colOff>486650</xdr:colOff>
      <xdr:row>9</xdr:row>
      <xdr:rowOff>153502</xdr:rowOff>
    </xdr:from>
    <xdr:to>
      <xdr:col>18</xdr:col>
      <xdr:colOff>86707</xdr:colOff>
      <xdr:row>31</xdr:row>
      <xdr:rowOff>86716</xdr:rowOff>
    </xdr:to>
    <xdr:sp macro="" textlink="">
      <xdr:nvSpPr>
        <xdr:cNvPr id="12" name="Rectangle: Rounded Corners 11">
          <a:extLst>
            <a:ext uri="{FF2B5EF4-FFF2-40B4-BE49-F238E27FC236}">
              <a16:creationId xmlns:a16="http://schemas.microsoft.com/office/drawing/2014/main" id="{6184C9E6-A9CD-C6A0-22D1-9B65F7504B90}"/>
            </a:ext>
          </a:extLst>
        </xdr:cNvPr>
        <xdr:cNvSpPr/>
      </xdr:nvSpPr>
      <xdr:spPr>
        <a:xfrm>
          <a:off x="7843891" y="1828588"/>
          <a:ext cx="3278678" cy="4027869"/>
        </a:xfrm>
        <a:prstGeom prst="roundRect">
          <a:avLst>
            <a:gd name="adj" fmla="val 914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160832</xdr:colOff>
      <xdr:row>20</xdr:row>
      <xdr:rowOff>54741</xdr:rowOff>
    </xdr:from>
    <xdr:to>
      <xdr:col>12</xdr:col>
      <xdr:colOff>276662</xdr:colOff>
      <xdr:row>31</xdr:row>
      <xdr:rowOff>161049</xdr:rowOff>
    </xdr:to>
    <xdr:sp macro="" textlink="">
      <xdr:nvSpPr>
        <xdr:cNvPr id="13" name="Rectangle: Rounded Corners 12">
          <a:extLst>
            <a:ext uri="{FF2B5EF4-FFF2-40B4-BE49-F238E27FC236}">
              <a16:creationId xmlns:a16="http://schemas.microsoft.com/office/drawing/2014/main" id="{4BD78B80-C176-FC7A-50DD-05DDD5D745F7}"/>
            </a:ext>
          </a:extLst>
        </xdr:cNvPr>
        <xdr:cNvSpPr/>
      </xdr:nvSpPr>
      <xdr:spPr>
        <a:xfrm>
          <a:off x="773935" y="3777155"/>
          <a:ext cx="6859968" cy="2153635"/>
        </a:xfrm>
        <a:prstGeom prst="roundRect">
          <a:avLst>
            <a:gd name="adj" fmla="val 160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164007</xdr:colOff>
      <xdr:row>32</xdr:row>
      <xdr:rowOff>48615</xdr:rowOff>
    </xdr:from>
    <xdr:to>
      <xdr:col>18</xdr:col>
      <xdr:colOff>98317</xdr:colOff>
      <xdr:row>43</xdr:row>
      <xdr:rowOff>43793</xdr:rowOff>
    </xdr:to>
    <xdr:sp macro="" textlink="">
      <xdr:nvSpPr>
        <xdr:cNvPr id="14" name="Rectangle: Rounded Corners 13">
          <a:extLst>
            <a:ext uri="{FF2B5EF4-FFF2-40B4-BE49-F238E27FC236}">
              <a16:creationId xmlns:a16="http://schemas.microsoft.com/office/drawing/2014/main" id="{5B3D008E-612A-B706-4A68-E2F01AE39E42}"/>
            </a:ext>
          </a:extLst>
        </xdr:cNvPr>
        <xdr:cNvSpPr/>
      </xdr:nvSpPr>
      <xdr:spPr>
        <a:xfrm>
          <a:off x="777110" y="6004477"/>
          <a:ext cx="10357069" cy="2042506"/>
        </a:xfrm>
        <a:prstGeom prst="roundRect">
          <a:avLst>
            <a:gd name="adj" fmla="val 160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257066</xdr:colOff>
      <xdr:row>6</xdr:row>
      <xdr:rowOff>126672</xdr:rowOff>
    </xdr:from>
    <xdr:to>
      <xdr:col>4</xdr:col>
      <xdr:colOff>132802</xdr:colOff>
      <xdr:row>9</xdr:row>
      <xdr:rowOff>56164</xdr:rowOff>
    </xdr:to>
    <xdr:sp macro="" textlink="'Pivot table'!B30">
      <xdr:nvSpPr>
        <xdr:cNvPr id="16" name="Rectangle: Rounded Corners 15">
          <a:extLst>
            <a:ext uri="{FF2B5EF4-FFF2-40B4-BE49-F238E27FC236}">
              <a16:creationId xmlns:a16="http://schemas.microsoft.com/office/drawing/2014/main" id="{C157F057-98D7-D667-006F-B2E8C8A429DA}"/>
            </a:ext>
          </a:extLst>
        </xdr:cNvPr>
        <xdr:cNvSpPr/>
      </xdr:nvSpPr>
      <xdr:spPr>
        <a:xfrm>
          <a:off x="870169" y="1243396"/>
          <a:ext cx="1715047" cy="487854"/>
        </a:xfrm>
        <a:prstGeom prst="roundRect">
          <a:avLst>
            <a:gd name="adj" fmla="val 1609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6993AA-DB37-46E4-AA36-4F9ADED46D59}" type="TxLink">
            <a:rPr lang="en-US" sz="2000" b="1" i="0" u="none" strike="noStrike" baseline="0">
              <a:solidFill>
                <a:srgbClr val="000000"/>
              </a:solidFill>
              <a:latin typeface="Aptos Narrow"/>
            </a:rPr>
            <a:pPr algn="ctr"/>
            <a:t>2400</a:t>
          </a:fld>
          <a:endParaRPr lang="en-NG" sz="2000" b="1"/>
        </a:p>
      </xdr:txBody>
    </xdr:sp>
    <xdr:clientData/>
  </xdr:twoCellAnchor>
  <xdr:twoCellAnchor>
    <xdr:from>
      <xdr:col>4</xdr:col>
      <xdr:colOff>533071</xdr:colOff>
      <xdr:row>6</xdr:row>
      <xdr:rowOff>130395</xdr:rowOff>
    </xdr:from>
    <xdr:to>
      <xdr:col>7</xdr:col>
      <xdr:colOff>402458</xdr:colOff>
      <xdr:row>9</xdr:row>
      <xdr:rowOff>66237</xdr:rowOff>
    </xdr:to>
    <xdr:sp macro="" textlink="'Pivot table'!$G$9">
      <xdr:nvSpPr>
        <xdr:cNvPr id="17" name="Rectangle: Rounded Corners 16">
          <a:extLst>
            <a:ext uri="{FF2B5EF4-FFF2-40B4-BE49-F238E27FC236}">
              <a16:creationId xmlns:a16="http://schemas.microsoft.com/office/drawing/2014/main" id="{FC66D317-03D3-2390-7318-859E52559F23}"/>
            </a:ext>
          </a:extLst>
        </xdr:cNvPr>
        <xdr:cNvSpPr/>
      </xdr:nvSpPr>
      <xdr:spPr>
        <a:xfrm>
          <a:off x="2985485" y="1247119"/>
          <a:ext cx="1708697" cy="494204"/>
        </a:xfrm>
        <a:prstGeom prst="roundRect">
          <a:avLst>
            <a:gd name="adj" fmla="val 1609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36DB4F-ECC0-4B38-8069-8A46E2AAA439}" type="TxLink">
            <a:rPr lang="en-US" sz="2000" b="1" i="0" u="none" strike="noStrike" baseline="0">
              <a:solidFill>
                <a:srgbClr val="000000"/>
              </a:solidFill>
              <a:latin typeface="Aptos Narrow"/>
            </a:rPr>
            <a:pPr algn="ctr"/>
            <a:t>1488</a:t>
          </a:fld>
          <a:endParaRPr lang="en-NG" sz="2000" b="1"/>
        </a:p>
      </xdr:txBody>
    </xdr:sp>
    <xdr:clientData/>
  </xdr:twoCellAnchor>
  <xdr:twoCellAnchor>
    <xdr:from>
      <xdr:col>8</xdr:col>
      <xdr:colOff>192798</xdr:colOff>
      <xdr:row>6</xdr:row>
      <xdr:rowOff>112222</xdr:rowOff>
    </xdr:from>
    <xdr:to>
      <xdr:col>11</xdr:col>
      <xdr:colOff>65360</xdr:colOff>
      <xdr:row>9</xdr:row>
      <xdr:rowOff>54414</xdr:rowOff>
    </xdr:to>
    <xdr:sp macro="" textlink="'Pivot table'!$G$10">
      <xdr:nvSpPr>
        <xdr:cNvPr id="18" name="Rectangle: Rounded Corners 17">
          <a:extLst>
            <a:ext uri="{FF2B5EF4-FFF2-40B4-BE49-F238E27FC236}">
              <a16:creationId xmlns:a16="http://schemas.microsoft.com/office/drawing/2014/main" id="{1F1B5575-47B3-A601-CAE2-DE056D7149F2}"/>
            </a:ext>
          </a:extLst>
        </xdr:cNvPr>
        <xdr:cNvSpPr/>
      </xdr:nvSpPr>
      <xdr:spPr>
        <a:xfrm>
          <a:off x="5097626" y="1228946"/>
          <a:ext cx="1711872" cy="500554"/>
        </a:xfrm>
        <a:prstGeom prst="roundRect">
          <a:avLst>
            <a:gd name="adj" fmla="val 1609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55CCE5-49F3-4F8E-A418-B0A6459B836F}" type="TxLink">
            <a:rPr lang="en-US" sz="2000" b="1" i="0" u="none" strike="noStrike" baseline="0">
              <a:solidFill>
                <a:srgbClr val="000000"/>
              </a:solidFill>
              <a:latin typeface="Aptos Narrow"/>
            </a:rPr>
            <a:pPr algn="ctr"/>
            <a:t>912</a:t>
          </a:fld>
          <a:endParaRPr lang="en-NG" sz="2000" b="1"/>
        </a:p>
      </xdr:txBody>
    </xdr:sp>
    <xdr:clientData/>
  </xdr:twoCellAnchor>
  <xdr:twoCellAnchor>
    <xdr:from>
      <xdr:col>11</xdr:col>
      <xdr:colOff>465629</xdr:colOff>
      <xdr:row>6</xdr:row>
      <xdr:rowOff>131820</xdr:rowOff>
    </xdr:from>
    <xdr:to>
      <xdr:col>14</xdr:col>
      <xdr:colOff>331841</xdr:colOff>
      <xdr:row>9</xdr:row>
      <xdr:rowOff>58137</xdr:rowOff>
    </xdr:to>
    <xdr:sp macro="" textlink="'Pivot table'!J19">
      <xdr:nvSpPr>
        <xdr:cNvPr id="19" name="Rectangle: Rounded Corners 18">
          <a:extLst>
            <a:ext uri="{FF2B5EF4-FFF2-40B4-BE49-F238E27FC236}">
              <a16:creationId xmlns:a16="http://schemas.microsoft.com/office/drawing/2014/main" id="{F6CD1408-6031-A2D3-9717-4C6AD820FDE2}"/>
            </a:ext>
          </a:extLst>
        </xdr:cNvPr>
        <xdr:cNvSpPr/>
      </xdr:nvSpPr>
      <xdr:spPr>
        <a:xfrm>
          <a:off x="7209767" y="1248544"/>
          <a:ext cx="1705522" cy="484679"/>
        </a:xfrm>
        <a:prstGeom prst="roundRect">
          <a:avLst>
            <a:gd name="adj" fmla="val 1609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FCF2E8-A852-4545-8042-DFA30F993CA1}" type="TxLink">
            <a:rPr lang="en-US" sz="2000" b="1" i="0" u="none" strike="noStrike" baseline="0">
              <a:solidFill>
                <a:srgbClr val="000000"/>
              </a:solidFill>
              <a:latin typeface="Aptos Narrow"/>
            </a:rPr>
            <a:pPr algn="ctr"/>
            <a:t>38%</a:t>
          </a:fld>
          <a:endParaRPr lang="en-NG" sz="2000" b="1"/>
        </a:p>
      </xdr:txBody>
    </xdr:sp>
    <xdr:clientData/>
  </xdr:twoCellAnchor>
  <xdr:twoCellAnchor>
    <xdr:from>
      <xdr:col>10</xdr:col>
      <xdr:colOff>82660</xdr:colOff>
      <xdr:row>10</xdr:row>
      <xdr:rowOff>181191</xdr:rowOff>
    </xdr:from>
    <xdr:to>
      <xdr:col>20</xdr:col>
      <xdr:colOff>561536</xdr:colOff>
      <xdr:row>32</xdr:row>
      <xdr:rowOff>18719</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6A0BC8FA-38F7-4ACB-BE51-9F661EBCB6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81835" y="1987766"/>
              <a:ext cx="6574876" cy="382215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483147</xdr:colOff>
      <xdr:row>10</xdr:row>
      <xdr:rowOff>43793</xdr:rowOff>
    </xdr:from>
    <xdr:to>
      <xdr:col>12</xdr:col>
      <xdr:colOff>314324</xdr:colOff>
      <xdr:row>21</xdr:row>
      <xdr:rowOff>0</xdr:rowOff>
    </xdr:to>
    <xdr:graphicFrame macro="">
      <xdr:nvGraphicFramePr>
        <xdr:cNvPr id="25" name="Chart 24">
          <a:extLst>
            <a:ext uri="{FF2B5EF4-FFF2-40B4-BE49-F238E27FC236}">
              <a16:creationId xmlns:a16="http://schemas.microsoft.com/office/drawing/2014/main" id="{81D1CE3E-D0C3-4ACD-9454-25353BE36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218966</xdr:colOff>
      <xdr:row>32</xdr:row>
      <xdr:rowOff>82989</xdr:rowOff>
    </xdr:from>
    <xdr:to>
      <xdr:col>18</xdr:col>
      <xdr:colOff>7772</xdr:colOff>
      <xdr:row>43</xdr:row>
      <xdr:rowOff>95357</xdr:rowOff>
    </xdr:to>
    <xdr:graphicFrame macro="">
      <xdr:nvGraphicFramePr>
        <xdr:cNvPr id="26" name="Chart 25">
          <a:extLst>
            <a:ext uri="{FF2B5EF4-FFF2-40B4-BE49-F238E27FC236}">
              <a16:creationId xmlns:a16="http://schemas.microsoft.com/office/drawing/2014/main" id="{4A01C868-9283-4A7E-8E9D-FF36A8034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328447</xdr:colOff>
      <xdr:row>4</xdr:row>
      <xdr:rowOff>181522</xdr:rowOff>
    </xdr:from>
    <xdr:to>
      <xdr:col>17</xdr:col>
      <xdr:colOff>170572</xdr:colOff>
      <xdr:row>10</xdr:row>
      <xdr:rowOff>28027</xdr:rowOff>
    </xdr:to>
    <xdr:graphicFrame macro="">
      <xdr:nvGraphicFramePr>
        <xdr:cNvPr id="27" name="Chart 26">
          <a:extLst>
            <a:ext uri="{FF2B5EF4-FFF2-40B4-BE49-F238E27FC236}">
              <a16:creationId xmlns:a16="http://schemas.microsoft.com/office/drawing/2014/main" id="{818D9B98-FB21-408D-AE58-02F8E799B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562953</xdr:colOff>
      <xdr:row>4</xdr:row>
      <xdr:rowOff>159626</xdr:rowOff>
    </xdr:from>
    <xdr:to>
      <xdr:col>18</xdr:col>
      <xdr:colOff>398734</xdr:colOff>
      <xdr:row>10</xdr:row>
      <xdr:rowOff>50144</xdr:rowOff>
    </xdr:to>
    <xdr:graphicFrame macro="">
      <xdr:nvGraphicFramePr>
        <xdr:cNvPr id="28" name="Chart 27">
          <a:extLst>
            <a:ext uri="{FF2B5EF4-FFF2-40B4-BE49-F238E27FC236}">
              <a16:creationId xmlns:a16="http://schemas.microsoft.com/office/drawing/2014/main" id="{C59CD047-2A8B-41D9-A76A-038362C64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256409</xdr:colOff>
      <xdr:row>21</xdr:row>
      <xdr:rowOff>164225</xdr:rowOff>
    </xdr:from>
    <xdr:to>
      <xdr:col>12</xdr:col>
      <xdr:colOff>390963</xdr:colOff>
      <xdr:row>32</xdr:row>
      <xdr:rowOff>3173</xdr:rowOff>
    </xdr:to>
    <xdr:graphicFrame macro="">
      <xdr:nvGraphicFramePr>
        <xdr:cNvPr id="29" name="Chart 28">
          <a:extLst>
            <a:ext uri="{FF2B5EF4-FFF2-40B4-BE49-F238E27FC236}">
              <a16:creationId xmlns:a16="http://schemas.microsoft.com/office/drawing/2014/main" id="{BDFA8377-2C08-4FD5-8A7F-FF8188407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56165</xdr:colOff>
      <xdr:row>10</xdr:row>
      <xdr:rowOff>142326</xdr:rowOff>
    </xdr:from>
    <xdr:to>
      <xdr:col>7</xdr:col>
      <xdr:colOff>112658</xdr:colOff>
      <xdr:row>20</xdr:row>
      <xdr:rowOff>37769</xdr:rowOff>
    </xdr:to>
    <xdr:graphicFrame macro="">
      <xdr:nvGraphicFramePr>
        <xdr:cNvPr id="31" name="Chart 30">
          <a:extLst>
            <a:ext uri="{FF2B5EF4-FFF2-40B4-BE49-F238E27FC236}">
              <a16:creationId xmlns:a16="http://schemas.microsoft.com/office/drawing/2014/main" id="{F86186B4-BB28-4420-99C7-DC08381DB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317499</xdr:colOff>
      <xdr:row>4</xdr:row>
      <xdr:rowOff>120430</xdr:rowOff>
    </xdr:from>
    <xdr:to>
      <xdr:col>18</xdr:col>
      <xdr:colOff>144698</xdr:colOff>
      <xdr:row>6</xdr:row>
      <xdr:rowOff>87586</xdr:rowOff>
    </xdr:to>
    <xdr:pic>
      <xdr:nvPicPr>
        <xdr:cNvPr id="33" name="Graphic 32" descr="Woman with solid fill">
          <a:extLst>
            <a:ext uri="{FF2B5EF4-FFF2-40B4-BE49-F238E27FC236}">
              <a16:creationId xmlns:a16="http://schemas.microsoft.com/office/drawing/2014/main" id="{F28EDA76-325C-9336-5E54-B5099C0F15C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740258" y="864913"/>
          <a:ext cx="440302" cy="339397"/>
        </a:xfrm>
        <a:prstGeom prst="rect">
          <a:avLst/>
        </a:prstGeom>
      </xdr:spPr>
    </xdr:pic>
    <xdr:clientData/>
  </xdr:twoCellAnchor>
  <xdr:twoCellAnchor editAs="oneCell">
    <xdr:from>
      <xdr:col>14</xdr:col>
      <xdr:colOff>573809</xdr:colOff>
      <xdr:row>4</xdr:row>
      <xdr:rowOff>131378</xdr:rowOff>
    </xdr:from>
    <xdr:to>
      <xdr:col>15</xdr:col>
      <xdr:colOff>389915</xdr:colOff>
      <xdr:row>6</xdr:row>
      <xdr:rowOff>104882</xdr:rowOff>
    </xdr:to>
    <xdr:pic>
      <xdr:nvPicPr>
        <xdr:cNvPr id="35" name="Graphic 34" descr="Man with solid fill">
          <a:extLst>
            <a:ext uri="{FF2B5EF4-FFF2-40B4-BE49-F238E27FC236}">
              <a16:creationId xmlns:a16="http://schemas.microsoft.com/office/drawing/2014/main" id="{ECD8DA23-2AA0-E61C-696C-21CC223A709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57257" y="875861"/>
          <a:ext cx="429210" cy="345745"/>
        </a:xfrm>
        <a:prstGeom prst="rect">
          <a:avLst/>
        </a:prstGeom>
      </xdr:spPr>
    </xdr:pic>
    <xdr:clientData/>
  </xdr:twoCellAnchor>
  <xdr:twoCellAnchor editAs="oneCell">
    <xdr:from>
      <xdr:col>3</xdr:col>
      <xdr:colOff>247210</xdr:colOff>
      <xdr:row>3</xdr:row>
      <xdr:rowOff>145504</xdr:rowOff>
    </xdr:from>
    <xdr:to>
      <xdr:col>4</xdr:col>
      <xdr:colOff>64284</xdr:colOff>
      <xdr:row>6</xdr:row>
      <xdr:rowOff>57918</xdr:rowOff>
    </xdr:to>
    <xdr:pic>
      <xdr:nvPicPr>
        <xdr:cNvPr id="37" name="Graphic 36" descr="Users with solid fill">
          <a:extLst>
            <a:ext uri="{FF2B5EF4-FFF2-40B4-BE49-F238E27FC236}">
              <a16:creationId xmlns:a16="http://schemas.microsoft.com/office/drawing/2014/main" id="{AA5190BD-D771-7AFB-52CB-19D682C2C8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86520" y="703866"/>
          <a:ext cx="430178" cy="470776"/>
        </a:xfrm>
        <a:prstGeom prst="rect">
          <a:avLst/>
        </a:prstGeom>
      </xdr:spPr>
    </xdr:pic>
    <xdr:clientData/>
  </xdr:twoCellAnchor>
  <xdr:twoCellAnchor editAs="oneCell">
    <xdr:from>
      <xdr:col>7</xdr:col>
      <xdr:colOff>262757</xdr:colOff>
      <xdr:row>4</xdr:row>
      <xdr:rowOff>73462</xdr:rowOff>
    </xdr:from>
    <xdr:to>
      <xdr:col>7</xdr:col>
      <xdr:colOff>448457</xdr:colOff>
      <xdr:row>5</xdr:row>
      <xdr:rowOff>86642</xdr:rowOff>
    </xdr:to>
    <xdr:pic>
      <xdr:nvPicPr>
        <xdr:cNvPr id="39" name="Graphic 38" descr="Checkmark with solid fill">
          <a:extLst>
            <a:ext uri="{FF2B5EF4-FFF2-40B4-BE49-F238E27FC236}">
              <a16:creationId xmlns:a16="http://schemas.microsoft.com/office/drawing/2014/main" id="{C4331DAC-F14F-2106-D23C-49B0DE9FC9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554481" y="817945"/>
          <a:ext cx="185700" cy="199300"/>
        </a:xfrm>
        <a:prstGeom prst="rect">
          <a:avLst/>
        </a:prstGeom>
      </xdr:spPr>
    </xdr:pic>
    <xdr:clientData/>
  </xdr:twoCellAnchor>
  <xdr:twoCellAnchor editAs="oneCell">
    <xdr:from>
      <xdr:col>10</xdr:col>
      <xdr:colOff>551210</xdr:colOff>
      <xdr:row>4</xdr:row>
      <xdr:rowOff>58294</xdr:rowOff>
    </xdr:from>
    <xdr:to>
      <xdr:col>11</xdr:col>
      <xdr:colOff>123605</xdr:colOff>
      <xdr:row>5</xdr:row>
      <xdr:rowOff>75214</xdr:rowOff>
    </xdr:to>
    <xdr:pic>
      <xdr:nvPicPr>
        <xdr:cNvPr id="41" name="Graphic 40" descr="Close with solid fill">
          <a:extLst>
            <a:ext uri="{FF2B5EF4-FFF2-40B4-BE49-F238E27FC236}">
              <a16:creationId xmlns:a16="http://schemas.microsoft.com/office/drawing/2014/main" id="{7B46E898-47BC-605B-9AB8-62A199F0715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82244" y="802777"/>
          <a:ext cx="185499" cy="203040"/>
        </a:xfrm>
        <a:prstGeom prst="rect">
          <a:avLst/>
        </a:prstGeom>
      </xdr:spPr>
    </xdr:pic>
    <xdr:clientData/>
  </xdr:twoCellAnchor>
  <xdr:twoCellAnchor editAs="oneCell">
    <xdr:from>
      <xdr:col>13</xdr:col>
      <xdr:colOff>558362</xdr:colOff>
      <xdr:row>3</xdr:row>
      <xdr:rowOff>179034</xdr:rowOff>
    </xdr:from>
    <xdr:to>
      <xdr:col>14</xdr:col>
      <xdr:colOff>361294</xdr:colOff>
      <xdr:row>6</xdr:row>
      <xdr:rowOff>29528</xdr:rowOff>
    </xdr:to>
    <xdr:pic>
      <xdr:nvPicPr>
        <xdr:cNvPr id="43" name="Graphic 42" descr="Business Growth with solid fill">
          <a:extLst>
            <a:ext uri="{FF2B5EF4-FFF2-40B4-BE49-F238E27FC236}">
              <a16:creationId xmlns:a16="http://schemas.microsoft.com/office/drawing/2014/main" id="{1ABFAD5D-4497-6251-EE2C-64AA087A634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8528707" y="737396"/>
          <a:ext cx="416035" cy="408856"/>
        </a:xfrm>
        <a:prstGeom prst="rect">
          <a:avLst/>
        </a:prstGeom>
      </xdr:spPr>
    </xdr:pic>
    <xdr:clientData/>
  </xdr:twoCellAnchor>
  <xdr:twoCellAnchor>
    <xdr:from>
      <xdr:col>13</xdr:col>
      <xdr:colOff>294943</xdr:colOff>
      <xdr:row>9</xdr:row>
      <xdr:rowOff>151854</xdr:rowOff>
    </xdr:from>
    <xdr:to>
      <xdr:col>17</xdr:col>
      <xdr:colOff>331290</xdr:colOff>
      <xdr:row>11</xdr:row>
      <xdr:rowOff>57917</xdr:rowOff>
    </xdr:to>
    <xdr:sp macro="" textlink="">
      <xdr:nvSpPr>
        <xdr:cNvPr id="44" name="TextBox 43">
          <a:extLst>
            <a:ext uri="{FF2B5EF4-FFF2-40B4-BE49-F238E27FC236}">
              <a16:creationId xmlns:a16="http://schemas.microsoft.com/office/drawing/2014/main" id="{697093FE-A1FC-8FE3-B0E5-7832FE9DBA48}"/>
            </a:ext>
          </a:extLst>
        </xdr:cNvPr>
        <xdr:cNvSpPr txBox="1"/>
      </xdr:nvSpPr>
      <xdr:spPr>
        <a:xfrm>
          <a:off x="8265288" y="1826940"/>
          <a:ext cx="2488761" cy="278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EMPLOYEE DISTRIBUTION BY COUNTRY</a:t>
          </a:r>
          <a:endParaRPr lang="en-NG" sz="1100" b="1"/>
        </a:p>
      </xdr:txBody>
    </xdr:sp>
    <xdr:clientData/>
  </xdr:twoCellAnchor>
  <xdr:twoCellAnchor>
    <xdr:from>
      <xdr:col>5</xdr:col>
      <xdr:colOff>263305</xdr:colOff>
      <xdr:row>20</xdr:row>
      <xdr:rowOff>66566</xdr:rowOff>
    </xdr:from>
    <xdr:to>
      <xdr:col>8</xdr:col>
      <xdr:colOff>264180</xdr:colOff>
      <xdr:row>21</xdr:row>
      <xdr:rowOff>158751</xdr:rowOff>
    </xdr:to>
    <xdr:sp macro="" textlink="">
      <xdr:nvSpPr>
        <xdr:cNvPr id="45" name="TextBox 44">
          <a:extLst>
            <a:ext uri="{FF2B5EF4-FFF2-40B4-BE49-F238E27FC236}">
              <a16:creationId xmlns:a16="http://schemas.microsoft.com/office/drawing/2014/main" id="{28B24F85-2590-CB16-43DF-AEED895171A5}"/>
            </a:ext>
          </a:extLst>
        </xdr:cNvPr>
        <xdr:cNvSpPr txBox="1"/>
      </xdr:nvSpPr>
      <xdr:spPr>
        <a:xfrm>
          <a:off x="3328822" y="3788980"/>
          <a:ext cx="1840186" cy="278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EMPLOYEE EXITS BY REASON</a:t>
          </a:r>
          <a:endParaRPr lang="en-NG" sz="1100" b="1"/>
        </a:p>
      </xdr:txBody>
    </xdr:sp>
    <xdr:clientData/>
  </xdr:twoCellAnchor>
  <xdr:twoCellAnchor>
    <xdr:from>
      <xdr:col>18</xdr:col>
      <xdr:colOff>200791</xdr:colOff>
      <xdr:row>0</xdr:row>
      <xdr:rowOff>102147</xdr:rowOff>
    </xdr:from>
    <xdr:to>
      <xdr:col>20</xdr:col>
      <xdr:colOff>492673</xdr:colOff>
      <xdr:row>42</xdr:row>
      <xdr:rowOff>175172</xdr:rowOff>
    </xdr:to>
    <xdr:sp macro="" textlink="">
      <xdr:nvSpPr>
        <xdr:cNvPr id="46" name="Rectangle: Rounded Corners 45">
          <a:extLst>
            <a:ext uri="{FF2B5EF4-FFF2-40B4-BE49-F238E27FC236}">
              <a16:creationId xmlns:a16="http://schemas.microsoft.com/office/drawing/2014/main" id="{24E1D0F5-A3F2-71D6-05C0-9306187C1209}"/>
            </a:ext>
          </a:extLst>
        </xdr:cNvPr>
        <xdr:cNvSpPr/>
      </xdr:nvSpPr>
      <xdr:spPr>
        <a:xfrm>
          <a:off x="11236653" y="102147"/>
          <a:ext cx="1518089" cy="7890094"/>
        </a:xfrm>
        <a:prstGeom prst="roundRect">
          <a:avLst>
            <a:gd name="adj" fmla="val 295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586279</xdr:colOff>
      <xdr:row>9</xdr:row>
      <xdr:rowOff>171997</xdr:rowOff>
    </xdr:from>
    <xdr:to>
      <xdr:col>6</xdr:col>
      <xdr:colOff>197396</xdr:colOff>
      <xdr:row>11</xdr:row>
      <xdr:rowOff>74885</xdr:rowOff>
    </xdr:to>
    <xdr:sp macro="" textlink="">
      <xdr:nvSpPr>
        <xdr:cNvPr id="47" name="TextBox 46">
          <a:extLst>
            <a:ext uri="{FF2B5EF4-FFF2-40B4-BE49-F238E27FC236}">
              <a16:creationId xmlns:a16="http://schemas.microsoft.com/office/drawing/2014/main" id="{B38E8720-69FA-9F10-73D6-99C27ABD6BFC}"/>
            </a:ext>
          </a:extLst>
        </xdr:cNvPr>
        <xdr:cNvSpPr txBox="1"/>
      </xdr:nvSpPr>
      <xdr:spPr>
        <a:xfrm>
          <a:off x="1199382" y="1847083"/>
          <a:ext cx="2676635" cy="275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EMPLOYEE  BY GENDER AND DEPARTMENT</a:t>
          </a:r>
          <a:endParaRPr lang="en-NG" sz="1100" b="1"/>
        </a:p>
      </xdr:txBody>
    </xdr:sp>
    <xdr:clientData/>
  </xdr:twoCellAnchor>
  <xdr:twoCellAnchor>
    <xdr:from>
      <xdr:col>8</xdr:col>
      <xdr:colOff>20146</xdr:colOff>
      <xdr:row>9</xdr:row>
      <xdr:rowOff>164225</xdr:rowOff>
    </xdr:from>
    <xdr:to>
      <xdr:col>11</xdr:col>
      <xdr:colOff>520921</xdr:colOff>
      <xdr:row>11</xdr:row>
      <xdr:rowOff>54741</xdr:rowOff>
    </xdr:to>
    <xdr:sp macro="" textlink="">
      <xdr:nvSpPr>
        <xdr:cNvPr id="48" name="TextBox 47">
          <a:extLst>
            <a:ext uri="{FF2B5EF4-FFF2-40B4-BE49-F238E27FC236}">
              <a16:creationId xmlns:a16="http://schemas.microsoft.com/office/drawing/2014/main" id="{F7E8DC50-2179-A36B-99BE-D13A966786E0}"/>
            </a:ext>
          </a:extLst>
        </xdr:cNvPr>
        <xdr:cNvSpPr txBox="1"/>
      </xdr:nvSpPr>
      <xdr:spPr>
        <a:xfrm>
          <a:off x="4924974" y="1839311"/>
          <a:ext cx="2340085" cy="262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ACTIVE EMPLOYEE BY DEPARTMENT</a:t>
          </a:r>
          <a:endParaRPr lang="en-NG" sz="1100" b="1"/>
        </a:p>
      </xdr:txBody>
    </xdr:sp>
    <xdr:clientData/>
  </xdr:twoCellAnchor>
  <xdr:twoCellAnchor>
    <xdr:from>
      <xdr:col>7</xdr:col>
      <xdr:colOff>223234</xdr:colOff>
      <xdr:row>32</xdr:row>
      <xdr:rowOff>57918</xdr:rowOff>
    </xdr:from>
    <xdr:to>
      <xdr:col>10</xdr:col>
      <xdr:colOff>230460</xdr:colOff>
      <xdr:row>33</xdr:row>
      <xdr:rowOff>146927</xdr:rowOff>
    </xdr:to>
    <xdr:sp macro="" textlink="">
      <xdr:nvSpPr>
        <xdr:cNvPr id="49" name="TextBox 48">
          <a:extLst>
            <a:ext uri="{FF2B5EF4-FFF2-40B4-BE49-F238E27FC236}">
              <a16:creationId xmlns:a16="http://schemas.microsoft.com/office/drawing/2014/main" id="{2EEBA87C-D0D9-8C40-91D9-36365D4A6624}"/>
            </a:ext>
          </a:extLst>
        </xdr:cNvPr>
        <xdr:cNvSpPr txBox="1"/>
      </xdr:nvSpPr>
      <xdr:spPr>
        <a:xfrm>
          <a:off x="4514958" y="6013780"/>
          <a:ext cx="1846536" cy="275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EMPLOYEE GROWTH TREND</a:t>
          </a:r>
          <a:endParaRPr lang="en-NG" sz="1100" b="1"/>
        </a:p>
      </xdr:txBody>
    </xdr:sp>
    <xdr:clientData/>
  </xdr:twoCellAnchor>
  <xdr:twoCellAnchor editAs="oneCell">
    <xdr:from>
      <xdr:col>18</xdr:col>
      <xdr:colOff>256408</xdr:colOff>
      <xdr:row>5</xdr:row>
      <xdr:rowOff>18721</xdr:rowOff>
    </xdr:from>
    <xdr:to>
      <xdr:col>20</xdr:col>
      <xdr:colOff>437931</xdr:colOff>
      <xdr:row>22</xdr:row>
      <xdr:rowOff>145502</xdr:rowOff>
    </xdr:to>
    <mc:AlternateContent xmlns:mc="http://schemas.openxmlformats.org/markup-compatibility/2006" xmlns:a14="http://schemas.microsoft.com/office/drawing/2010/main">
      <mc:Choice Requires="a14">
        <xdr:graphicFrame macro="">
          <xdr:nvGraphicFramePr>
            <xdr:cNvPr id="50" name="Country">
              <a:extLst>
                <a:ext uri="{FF2B5EF4-FFF2-40B4-BE49-F238E27FC236}">
                  <a16:creationId xmlns:a16="http://schemas.microsoft.com/office/drawing/2014/main" id="{5671B51D-9680-486D-B71B-5CA12927BE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95445" y="949324"/>
              <a:ext cx="1404555" cy="32876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245460</xdr:colOff>
      <xdr:row>28</xdr:row>
      <xdr:rowOff>82989</xdr:rowOff>
    </xdr:from>
    <xdr:to>
      <xdr:col>20</xdr:col>
      <xdr:colOff>419209</xdr:colOff>
      <xdr:row>38</xdr:row>
      <xdr:rowOff>21898</xdr:rowOff>
    </xdr:to>
    <mc:AlternateContent xmlns:mc="http://schemas.openxmlformats.org/markup-compatibility/2006" xmlns:a14="http://schemas.microsoft.com/office/drawing/2010/main">
      <mc:Choice Requires="a14">
        <xdr:graphicFrame macro="">
          <xdr:nvGraphicFramePr>
            <xdr:cNvPr id="51" name="Age Range">
              <a:extLst>
                <a:ext uri="{FF2B5EF4-FFF2-40B4-BE49-F238E27FC236}">
                  <a16:creationId xmlns:a16="http://schemas.microsoft.com/office/drawing/2014/main" id="{94C7F64A-7E16-4987-9BCC-D63212FA9922}"/>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11281322" y="5297543"/>
              <a:ext cx="1399956" cy="179694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253233</xdr:colOff>
      <xdr:row>0</xdr:row>
      <xdr:rowOff>142328</xdr:rowOff>
    </xdr:from>
    <xdr:to>
      <xdr:col>20</xdr:col>
      <xdr:colOff>442528</xdr:colOff>
      <xdr:row>5</xdr:row>
      <xdr:rowOff>63610</xdr:rowOff>
    </xdr:to>
    <xdr:pic>
      <xdr:nvPicPr>
        <xdr:cNvPr id="53" name="Graphic 52" descr="Chevron arrows with solid fill">
          <a:extLst>
            <a:ext uri="{FF2B5EF4-FFF2-40B4-BE49-F238E27FC236}">
              <a16:creationId xmlns:a16="http://schemas.microsoft.com/office/drawing/2014/main" id="{645C4CCD-70D9-9A4E-2604-DC998C2A915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11289095" y="142328"/>
          <a:ext cx="1415502" cy="851885"/>
        </a:xfrm>
        <a:prstGeom prst="rect">
          <a:avLst/>
        </a:prstGeom>
      </xdr:spPr>
    </xdr:pic>
    <xdr:clientData/>
  </xdr:twoCellAnchor>
  <xdr:twoCellAnchor editAs="oneCell">
    <xdr:from>
      <xdr:col>18</xdr:col>
      <xdr:colOff>247759</xdr:colOff>
      <xdr:row>23</xdr:row>
      <xdr:rowOff>35144</xdr:rowOff>
    </xdr:from>
    <xdr:to>
      <xdr:col>20</xdr:col>
      <xdr:colOff>437054</xdr:colOff>
      <xdr:row>27</xdr:row>
      <xdr:rowOff>139371</xdr:rowOff>
    </xdr:to>
    <xdr:pic>
      <xdr:nvPicPr>
        <xdr:cNvPr id="54" name="Graphic 53" descr="Chevron arrows with solid fill">
          <a:extLst>
            <a:ext uri="{FF2B5EF4-FFF2-40B4-BE49-F238E27FC236}">
              <a16:creationId xmlns:a16="http://schemas.microsoft.com/office/drawing/2014/main" id="{764C6CDD-8503-58D0-9C59-D30874DFBFC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11283621" y="4315920"/>
          <a:ext cx="1415502" cy="848710"/>
        </a:xfrm>
        <a:prstGeom prst="rect">
          <a:avLst/>
        </a:prstGeom>
      </xdr:spPr>
    </xdr:pic>
    <xdr:clientData/>
  </xdr:twoCellAnchor>
  <xdr:twoCellAnchor editAs="oneCell">
    <xdr:from>
      <xdr:col>18</xdr:col>
      <xdr:colOff>224986</xdr:colOff>
      <xdr:row>37</xdr:row>
      <xdr:rowOff>85834</xdr:rowOff>
    </xdr:from>
    <xdr:to>
      <xdr:col>20</xdr:col>
      <xdr:colOff>414281</xdr:colOff>
      <xdr:row>42</xdr:row>
      <xdr:rowOff>10291</xdr:rowOff>
    </xdr:to>
    <xdr:pic>
      <xdr:nvPicPr>
        <xdr:cNvPr id="55" name="Graphic 54" descr="Chevron arrows with solid fill">
          <a:extLst>
            <a:ext uri="{FF2B5EF4-FFF2-40B4-BE49-F238E27FC236}">
              <a16:creationId xmlns:a16="http://schemas.microsoft.com/office/drawing/2014/main" id="{D5D85803-ED7D-2028-5617-1AA8D05943E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flipH="1">
          <a:off x="11260848" y="6972300"/>
          <a:ext cx="1415502" cy="855060"/>
        </a:xfrm>
        <a:prstGeom prst="rect">
          <a:avLst/>
        </a:prstGeom>
      </xdr:spPr>
    </xdr:pic>
    <xdr:clientData/>
  </xdr:twoCellAnchor>
  <xdr:twoCellAnchor editAs="oneCell">
    <xdr:from>
      <xdr:col>17</xdr:col>
      <xdr:colOff>87585</xdr:colOff>
      <xdr:row>28</xdr:row>
      <xdr:rowOff>72482</xdr:rowOff>
    </xdr:from>
    <xdr:to>
      <xdr:col>18</xdr:col>
      <xdr:colOff>189809</xdr:colOff>
      <xdr:row>32</xdr:row>
      <xdr:rowOff>26655</xdr:rowOff>
    </xdr:to>
    <xdr:pic>
      <xdr:nvPicPr>
        <xdr:cNvPr id="15" name="Picture 14">
          <a:extLst>
            <a:ext uri="{FF2B5EF4-FFF2-40B4-BE49-F238E27FC236}">
              <a16:creationId xmlns:a16="http://schemas.microsoft.com/office/drawing/2014/main" id="{D0CCB4BA-2EAE-4A6C-98F2-8316386F11B4}"/>
            </a:ext>
          </a:extLst>
        </xdr:cNvPr>
        <xdr:cNvPicPr>
          <a:picLocks noChangeAspect="1"/>
        </xdr:cNvPicPr>
      </xdr:nvPicPr>
      <xdr:blipFill>
        <a:blip xmlns:r="http://schemas.openxmlformats.org/officeDocument/2006/relationships" r:embed="rId22" cstate="print">
          <a:alphaModFix amt="50000"/>
          <a:extLst>
            <a:ext uri="{28A0092B-C50C-407E-A947-70E740481C1C}">
              <a14:useLocalDpi xmlns:a14="http://schemas.microsoft.com/office/drawing/2010/main" val="0"/>
            </a:ext>
          </a:extLst>
        </a:blip>
        <a:stretch>
          <a:fillRect/>
        </a:stretch>
      </xdr:blipFill>
      <xdr:spPr>
        <a:xfrm>
          <a:off x="10510344" y="5283861"/>
          <a:ext cx="715327" cy="69865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0.35534</cdr:x>
      <cdr:y>0.36202</cdr:y>
    </cdr:from>
    <cdr:to>
      <cdr:x>0.66802</cdr:x>
      <cdr:y>0.66358</cdr:y>
    </cdr:to>
    <cdr:sp macro="" textlink="'Pivot table'!$H$16">
      <cdr:nvSpPr>
        <cdr:cNvPr id="2" name="TextBox 1">
          <a:extLst xmlns:a="http://schemas.openxmlformats.org/drawingml/2006/main">
            <a:ext uri="{FF2B5EF4-FFF2-40B4-BE49-F238E27FC236}">
              <a16:creationId xmlns:a16="http://schemas.microsoft.com/office/drawing/2014/main" id="{EDA64E63-105F-E72C-E377-777A9735DB30}"/>
            </a:ext>
          </a:extLst>
        </cdr:cNvPr>
        <cdr:cNvSpPr txBox="1"/>
      </cdr:nvSpPr>
      <cdr:spPr>
        <a:xfrm xmlns:a="http://schemas.openxmlformats.org/drawingml/2006/main">
          <a:off x="595230" y="351003"/>
          <a:ext cx="523766" cy="2923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DD52305-2DDD-42A6-8F11-E6567ABB6DEB}" type="TxLink">
            <a:rPr lang="en-US" sz="1200" b="1" i="0" u="none" strike="noStrike" kern="1200">
              <a:solidFill>
                <a:srgbClr val="000000"/>
              </a:solidFill>
              <a:latin typeface="+mn-lt"/>
              <a:ea typeface="Tahoma" panose="020B0604030504040204" pitchFamily="34" charset="0"/>
              <a:cs typeface="Times New Roman" panose="02020603050405020304" pitchFamily="18" charset="0"/>
            </a:rPr>
            <a:pPr/>
            <a:t>1176</a:t>
          </a:fld>
          <a:endParaRPr lang="en-NG" sz="1200" b="1" kern="1200">
            <a:latin typeface="+mn-lt"/>
            <a:ea typeface="Tahoma" panose="020B0604030504040204" pitchFamily="34" charset="0"/>
            <a:cs typeface="Times New Roman" panose="02020603050405020304"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0.3432</cdr:x>
      <cdr:y>0.37508</cdr:y>
    </cdr:from>
    <cdr:to>
      <cdr:x>0.69413</cdr:x>
      <cdr:y>0.69258</cdr:y>
    </cdr:to>
    <cdr:sp macro="" textlink="'Pivot table'!$H$15">
      <cdr:nvSpPr>
        <cdr:cNvPr id="2" name="TextBox 1">
          <a:extLst xmlns:a="http://schemas.openxmlformats.org/drawingml/2006/main">
            <a:ext uri="{FF2B5EF4-FFF2-40B4-BE49-F238E27FC236}">
              <a16:creationId xmlns:a16="http://schemas.microsoft.com/office/drawing/2014/main" id="{B9C94AB5-83EF-91F0-D34A-8BB5DDC8001F}"/>
            </a:ext>
          </a:extLst>
        </cdr:cNvPr>
        <cdr:cNvSpPr txBox="1"/>
      </cdr:nvSpPr>
      <cdr:spPr>
        <a:xfrm xmlns:a="http://schemas.openxmlformats.org/drawingml/2006/main">
          <a:off x="573794" y="375412"/>
          <a:ext cx="586730" cy="3177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836BA12-2077-4454-8FBA-DE031254CBEA}" type="TxLink">
            <a:rPr lang="en-US" sz="1200" b="1" i="0" u="none" strike="noStrike" kern="1200">
              <a:solidFill>
                <a:srgbClr val="000000"/>
              </a:solidFill>
              <a:latin typeface="Aptos Narrow"/>
            </a:rPr>
            <a:pPr/>
            <a:t>1224</a:t>
          </a:fld>
          <a:endParaRPr lang="en-NG" sz="1200" b="1" kern="1200"/>
        </a:p>
      </cdr:txBody>
    </cdr:sp>
  </cdr:relSizeAnchor>
</c:userShape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bakar Toyeeb O" refreshedDate="46205.519912152777" backgroundQuery="1" createdVersion="8" refreshedVersion="8" minRefreshableVersion="3" recordCount="0" supportSubquery="1" supportAdvancedDrill="1" xr:uid="{B59983DB-1315-42B1-BB01-47740A27E2AE}">
  <cacheSource type="external" connectionId="1"/>
  <cacheFields count="1">
    <cacheField name="[Measures].[Count of Employee ID]" caption="Count of Employee ID" numFmtId="0" hierarchy="17" level="32767"/>
  </cacheFields>
  <cacheHierarchies count="18">
    <cacheHierarchy uniqueName="[Table1].[Employee ID]" caption="Employee ID" attribute="1" defaultMemberUniqueName="[Table1].[Employee ID].[All]" allUniqueName="[Table1].[Employee ID].[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in Date]" caption="Join Date" attribute="1" time="1" defaultMemberUniqueName="[Table1].[Join Date].[All]" allUniqueName="[Table1].[Join Date].[All]" dimensionUniqueName="[Table1]" displayFolder="" count="0" memberValueDatatype="7" unbalanced="0"/>
    <cacheHierarchy uniqueName="[Table1].[Join Year]" caption="Join Year" attribute="1" defaultMemberUniqueName="[Table1].[Join Year].[All]" allUniqueName="[Table1].[Join Year].[All]" dimensionUniqueName="[Table1]" displayFolder="" count="0" memberValueDatatype="20" unbalanced="0"/>
    <cacheHierarchy uniqueName="[Table1].[Exit Date]" caption="Exit Date" attribute="1" defaultMemberUniqueName="[Table1].[Exit Date].[All]" allUniqueName="[Table1].[Exit Date].[All]" dimensionUniqueName="[Table1]" displayFolder="" count="0" memberValueDatatype="130" unbalanced="0"/>
    <cacheHierarchy uniqueName="[Table1].[Exit Year]" caption="Exit Year" attribute="1" defaultMemberUniqueName="[Table1].[Exit Year].[All]" allUniqueName="[Table1].[Exit Year].[All]" dimensionUniqueName="[Table1]" displayFolder="" count="0" memberValueDatatype="130"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Seniority]" caption="Seniority" attribute="1" defaultMemberUniqueName="[Table1].[Seniority].[All]" allUniqueName="[Table1].[Seniorit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ubakar Toyeeb O" refreshedDate="46205.519913888886" backgroundQuery="1" createdVersion="8" refreshedVersion="8" minRefreshableVersion="3" recordCount="0" supportSubquery="1" supportAdvancedDrill="1" xr:uid="{D7D7128A-BB6D-4B15-8701-2E34C540DD92}">
  <cacheSource type="external" connectionId="1"/>
  <cacheFields count="2">
    <cacheField name="[Table1].[Department].[Department]" caption="Department" numFmtId="0" hierarchy="1" level="1">
      <sharedItems count="6">
        <s v="Customer Support"/>
        <s v="Finance"/>
        <s v="HR"/>
        <s v="IT"/>
        <s v="Marketing"/>
        <s v="Sales"/>
      </sharedItems>
    </cacheField>
    <cacheField name="[Measures].[Count of Employee ID]" caption="Count of Employee ID" numFmtId="0" hierarchy="17" level="32767"/>
  </cacheFields>
  <cacheHierarchies count="18">
    <cacheHierarchy uniqueName="[Table1].[Employee ID]" caption="Employee ID" attribute="1" defaultMemberUniqueName="[Table1].[Employee ID].[All]" allUniqueName="[Table1].[Employee ID].[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in Date]" caption="Join Date" attribute="1" time="1" defaultMemberUniqueName="[Table1].[Join Date].[All]" allUniqueName="[Table1].[Join Date].[All]" dimensionUniqueName="[Table1]" displayFolder="" count="0" memberValueDatatype="7" unbalanced="0"/>
    <cacheHierarchy uniqueName="[Table1].[Join Year]" caption="Join Year" attribute="1" defaultMemberUniqueName="[Table1].[Join Year].[All]" allUniqueName="[Table1].[Join Year].[All]" dimensionUniqueName="[Table1]" displayFolder="" count="0" memberValueDatatype="20" unbalanced="0"/>
    <cacheHierarchy uniqueName="[Table1].[Exit Date]" caption="Exit Date" attribute="1" defaultMemberUniqueName="[Table1].[Exit Date].[All]" allUniqueName="[Table1].[Exit Date].[All]" dimensionUniqueName="[Table1]" displayFolder="" count="0" memberValueDatatype="130" unbalanced="0"/>
    <cacheHierarchy uniqueName="[Table1].[Exit Year]" caption="Exit Year" attribute="1" defaultMemberUniqueName="[Table1].[Exit Year].[All]" allUniqueName="[Table1].[Exit Year].[All]" dimensionUniqueName="[Table1]" displayFolder="" count="0" memberValueDatatype="130" unbalanced="0"/>
    <cacheHierarchy uniqueName="[Table1].[Year of Service]" caption="Year of Service" attribute="1" defaultMemberUniqueName="[Table1].[Year of Service].[All]" allUniqueName="[Table1].[Year of Servic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Seniority]" caption="Seniority" attribute="1" defaultMemberUniqueName="[Table1].[Seniority].[All]" allUniqueName="[Table1].[Seniority].[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ar Toyeeb O" refreshedDate="46205.519914583332" createdVersion="8" refreshedVersion="8" minRefreshableVersion="3" recordCount="2400" xr:uid="{31FB5384-2C8E-4984-AC69-5ACC6FA2DECB}">
  <cacheSource type="worksheet">
    <worksheetSource name="Table1"/>
  </cacheSource>
  <cacheFields count="17">
    <cacheField name="Employee ID" numFmtId="0">
      <sharedItems containsSemiMixedTypes="0" containsString="0" containsNumber="1" containsInteger="1" minValue="101" maxValue="2500"/>
    </cacheField>
    <cacheField name="Department" numFmtId="0">
      <sharedItems count="6">
        <s v="IT"/>
        <s v="Customer Support"/>
        <s v="Marketing"/>
        <s v="Finance"/>
        <s v="Sales"/>
        <s v="HR"/>
      </sharedItems>
    </cacheField>
    <cacheField name="Join Date" numFmtId="14">
      <sharedItems containsSemiMixedTypes="0" containsNonDate="0" containsDate="1" containsString="0" minDate="2018-01-23T00:00:00" maxDate="2024-12-07T00:00:00" count="50">
        <d v="2018-11-03T00:00:00"/>
        <d v="2020-10-17T00:00:00"/>
        <d v="2021-08-15T00:00:00"/>
        <d v="2023-06-10T00:00:00"/>
        <d v="2019-01-14T00:00:00"/>
        <d v="2022-07-07T00:00:00"/>
        <d v="2024-06-14T00:00:00"/>
        <d v="2018-07-23T00:00:00"/>
        <d v="2023-03-02T00:00:00"/>
        <d v="2024-02-04T00:00:00"/>
        <d v="2024-07-01T00:00:00"/>
        <d v="2021-01-31T00:00:00"/>
        <d v="2018-12-12T00:00:00"/>
        <d v="2024-01-23T00:00:00"/>
        <d v="2018-01-23T00:00:00"/>
        <d v="2019-09-09T00:00:00"/>
        <d v="2019-03-10T00:00:00"/>
        <d v="2022-02-27T00:00:00"/>
        <d v="2024-07-12T00:00:00"/>
        <d v="2019-05-03T00:00:00"/>
        <d v="2021-02-23T00:00:00"/>
        <d v="2023-11-14T00:00:00"/>
        <d v="2023-11-26T00:00:00"/>
        <d v="2024-06-22T00:00:00"/>
        <d v="2019-05-12T00:00:00"/>
        <d v="2022-11-01T00:00:00"/>
        <d v="2020-06-24T00:00:00"/>
        <d v="2023-06-18T00:00:00"/>
        <d v="2021-06-13T00:00:00"/>
        <d v="2018-11-15T00:00:00"/>
        <d v="2021-02-22T00:00:00"/>
        <d v="2024-08-29T00:00:00"/>
        <d v="2021-06-30T00:00:00"/>
        <d v="2020-09-14T00:00:00"/>
        <d v="2018-09-30T00:00:00"/>
        <d v="2018-08-02T00:00:00"/>
        <d v="2021-08-10T00:00:00"/>
        <d v="2021-05-08T00:00:00"/>
        <d v="2019-02-17T00:00:00"/>
        <d v="2020-12-15T00:00:00"/>
        <d v="2020-09-25T00:00:00"/>
        <d v="2024-12-06T00:00:00"/>
        <d v="2024-01-03T00:00:00"/>
        <d v="2022-01-29T00:00:00"/>
        <d v="2023-10-16T00:00:00"/>
        <d v="2019-06-08T00:00:00"/>
        <d v="2021-11-14T00:00:00"/>
        <d v="2019-08-23T00:00:00"/>
        <d v="2024-09-05T00:00:00"/>
        <d v="2018-07-16T00:00:00"/>
      </sharedItems>
      <fieldGroup par="16"/>
    </cacheField>
    <cacheField name="Join Year" numFmtId="0">
      <sharedItems containsSemiMixedTypes="0" containsString="0" containsNumber="1" containsInteger="1" minValue="2018" maxValue="2024"/>
    </cacheField>
    <cacheField name="Exit Date" numFmtId="14">
      <sharedItems containsDate="1" containsMixedTypes="1" minDate="2020-04-15T00:00:00" maxDate="2024-12-03T00:00:00" count="20">
        <s v="Not Applicable"/>
        <d v="2021-09-10T00:00:00"/>
        <d v="2023-02-15T00:00:00"/>
        <d v="2024-01-31T00:00:00"/>
        <d v="2020-04-15T00:00:00"/>
        <d v="2022-04-26T00:00:00"/>
        <d v="2020-10-13T00:00:00"/>
        <d v="2022-12-01T00:00:00"/>
        <d v="2024-04-10T00:00:00"/>
        <d v="2024-06-03T00:00:00"/>
        <d v="2021-09-24T00:00:00"/>
        <d v="2022-07-13T00:00:00"/>
        <d v="2021-04-17T00:00:00"/>
        <d v="2022-09-21T00:00:00"/>
        <d v="2024-12-02T00:00:00"/>
        <d v="2023-05-30T00:00:00"/>
        <d v="2022-12-28T00:00:00"/>
        <d v="2021-02-01T00:00:00"/>
        <d v="2024-08-25T00:00:00"/>
        <d v="2022-05-01T00:00:00"/>
      </sharedItems>
    </cacheField>
    <cacheField name="Exit Year" numFmtId="0">
      <sharedItems containsMixedTypes="1" containsNumber="1" containsInteger="1" minValue="2020" maxValue="2024"/>
    </cacheField>
    <cacheField name="Year of Service" numFmtId="0">
      <sharedItems containsMixedTypes="1" containsNumber="1" containsInteger="1" minValue="2" maxValue="5"/>
    </cacheField>
    <cacheField name="Exit Reason" numFmtId="0">
      <sharedItems count="8">
        <s v="Not Applicable"/>
        <s v="Better Opportunity"/>
        <s v="Retirement"/>
        <s v="Termination"/>
        <s v="Health Issues"/>
        <s v="Relocation"/>
        <s v="Personal Reasons"/>
        <s v="Internal Rotation"/>
      </sharedItems>
    </cacheField>
    <cacheField name="Status" numFmtId="0">
      <sharedItems count="2">
        <s v="Active"/>
        <s v="Exited"/>
      </sharedItems>
    </cacheField>
    <cacheField name="Gender" numFmtId="0">
      <sharedItems count="2">
        <s v="Female"/>
        <s v="Male"/>
      </sharedItems>
    </cacheField>
    <cacheField name="Age" numFmtId="0">
      <sharedItems containsSemiMixedTypes="0" containsString="0" containsNumber="1" containsInteger="1" minValue="22" maxValue="66"/>
    </cacheField>
    <cacheField name="Age Range" numFmtId="0">
      <sharedItems count="5">
        <s v="20-29"/>
        <s v="50-59"/>
        <s v="60+"/>
        <s v="40-49"/>
        <s v="30-39"/>
      </sharedItems>
    </cacheField>
    <cacheField name="Seniority" numFmtId="0">
      <sharedItems count="8">
        <s v="Senior Manager"/>
        <s v="Mid-Level"/>
        <s v="Team Leader"/>
        <s v="Manager"/>
        <s v="Entry Level"/>
        <s v="Executive"/>
        <s v="Senior Level"/>
        <s v="Intern"/>
      </sharedItems>
    </cacheField>
    <cacheField name="Country" numFmtId="0">
      <sharedItems count="11">
        <s v="Ghana"/>
        <s v="Nigeria"/>
        <s v="Namibia"/>
        <s v="Kenya"/>
        <s v="Mozambique"/>
        <s v="Liberia"/>
        <s v="Angola"/>
        <s v="South Africa"/>
        <s v="Tanzania"/>
        <s v="Togo"/>
        <s v="Côte-d'Ivoire"/>
      </sharedItems>
    </cacheField>
    <cacheField name="Months (Join Date)" numFmtId="0" databaseField="0">
      <fieldGroup base="2">
        <rangePr groupBy="months" startDate="2018-01-23T00:00:00" endDate="2024-12-07T00:00:00"/>
        <groupItems count="14">
          <s v="&lt;23/01/2018"/>
          <s v="Jan"/>
          <s v="Feb"/>
          <s v="Mar"/>
          <s v="Apr"/>
          <s v="May"/>
          <s v="Jun"/>
          <s v="Jul"/>
          <s v="Aug"/>
          <s v="Sept"/>
          <s v="Oct"/>
          <s v="Nov"/>
          <s v="Dec"/>
          <s v="&gt;07/12/2024"/>
        </groupItems>
      </fieldGroup>
    </cacheField>
    <cacheField name="Quarters (Join Date)" numFmtId="0" databaseField="0">
      <fieldGroup base="2">
        <rangePr groupBy="quarters" startDate="2018-01-23T00:00:00" endDate="2024-12-07T00:00:00"/>
        <groupItems count="6">
          <s v="&lt;23/01/2018"/>
          <s v="Qtr1"/>
          <s v="Qtr2"/>
          <s v="Qtr3"/>
          <s v="Qtr4"/>
          <s v="&gt;07/12/2024"/>
        </groupItems>
      </fieldGroup>
    </cacheField>
    <cacheField name="Years (Join Date)" numFmtId="0" databaseField="0">
      <fieldGroup base="2">
        <rangePr groupBy="years" startDate="2018-01-23T00:00:00" endDate="2024-12-07T00:00:00"/>
        <groupItems count="9">
          <s v="&lt;23/01/2018"/>
          <s v="2018"/>
          <s v="2019"/>
          <s v="2020"/>
          <s v="2021"/>
          <s v="2022"/>
          <s v="2023"/>
          <s v="2024"/>
          <s v="&gt;07/12/2024"/>
        </groupItems>
      </fieldGroup>
    </cacheField>
  </cacheFields>
  <extLst>
    <ext xmlns:x14="http://schemas.microsoft.com/office/spreadsheetml/2009/9/main" uri="{725AE2AE-9491-48be-B2B4-4EB974FC3084}">
      <x14:pivotCacheDefinition pivotCacheId="543162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n v="101"/>
    <x v="0"/>
    <x v="0"/>
    <n v="2018"/>
    <x v="0"/>
    <s v=" "/>
    <s v=" "/>
    <x v="0"/>
    <x v="0"/>
    <x v="0"/>
    <n v="27"/>
    <x v="0"/>
    <x v="0"/>
    <x v="0"/>
  </r>
  <r>
    <n v="102"/>
    <x v="1"/>
    <x v="1"/>
    <n v="2020"/>
    <x v="0"/>
    <s v=" "/>
    <s v=" "/>
    <x v="0"/>
    <x v="0"/>
    <x v="0"/>
    <n v="22"/>
    <x v="0"/>
    <x v="1"/>
    <x v="1"/>
  </r>
  <r>
    <n v="103"/>
    <x v="1"/>
    <x v="2"/>
    <n v="2021"/>
    <x v="0"/>
    <s v=" "/>
    <s v=" "/>
    <x v="0"/>
    <x v="0"/>
    <x v="1"/>
    <n v="50"/>
    <x v="1"/>
    <x v="1"/>
    <x v="2"/>
  </r>
  <r>
    <n v="104"/>
    <x v="1"/>
    <x v="3"/>
    <n v="2023"/>
    <x v="0"/>
    <s v=" "/>
    <s v=" "/>
    <x v="0"/>
    <x v="0"/>
    <x v="1"/>
    <n v="24"/>
    <x v="0"/>
    <x v="2"/>
    <x v="3"/>
  </r>
  <r>
    <n v="105"/>
    <x v="1"/>
    <x v="4"/>
    <n v="2019"/>
    <x v="1"/>
    <n v="2021"/>
    <n v="3"/>
    <x v="1"/>
    <x v="1"/>
    <x v="0"/>
    <n v="50"/>
    <x v="1"/>
    <x v="3"/>
    <x v="4"/>
  </r>
  <r>
    <n v="106"/>
    <x v="2"/>
    <x v="5"/>
    <n v="2022"/>
    <x v="2"/>
    <n v="2023"/>
    <n v="2"/>
    <x v="2"/>
    <x v="1"/>
    <x v="0"/>
    <n v="60"/>
    <x v="2"/>
    <x v="0"/>
    <x v="5"/>
  </r>
  <r>
    <n v="107"/>
    <x v="3"/>
    <x v="6"/>
    <n v="2024"/>
    <x v="0"/>
    <s v=" "/>
    <s v=" "/>
    <x v="0"/>
    <x v="0"/>
    <x v="0"/>
    <n v="40"/>
    <x v="3"/>
    <x v="4"/>
    <x v="6"/>
  </r>
  <r>
    <n v="108"/>
    <x v="0"/>
    <x v="7"/>
    <n v="2018"/>
    <x v="0"/>
    <s v=" "/>
    <s v=" "/>
    <x v="0"/>
    <x v="0"/>
    <x v="1"/>
    <n v="32"/>
    <x v="4"/>
    <x v="0"/>
    <x v="7"/>
  </r>
  <r>
    <n v="109"/>
    <x v="1"/>
    <x v="8"/>
    <n v="2023"/>
    <x v="0"/>
    <s v=" "/>
    <s v=" "/>
    <x v="0"/>
    <x v="0"/>
    <x v="0"/>
    <n v="50"/>
    <x v="1"/>
    <x v="0"/>
    <x v="8"/>
  </r>
  <r>
    <n v="110"/>
    <x v="4"/>
    <x v="9"/>
    <n v="2024"/>
    <x v="0"/>
    <s v=" "/>
    <s v=" "/>
    <x v="0"/>
    <x v="0"/>
    <x v="0"/>
    <n v="24"/>
    <x v="0"/>
    <x v="1"/>
    <x v="9"/>
  </r>
  <r>
    <n v="111"/>
    <x v="5"/>
    <x v="10"/>
    <n v="2024"/>
    <x v="0"/>
    <s v=" "/>
    <s v=" "/>
    <x v="0"/>
    <x v="0"/>
    <x v="1"/>
    <n v="36"/>
    <x v="4"/>
    <x v="0"/>
    <x v="10"/>
  </r>
  <r>
    <n v="112"/>
    <x v="3"/>
    <x v="11"/>
    <n v="2021"/>
    <x v="3"/>
    <n v="2024"/>
    <n v="4"/>
    <x v="2"/>
    <x v="1"/>
    <x v="0"/>
    <n v="63"/>
    <x v="2"/>
    <x v="2"/>
    <x v="0"/>
  </r>
  <r>
    <n v="113"/>
    <x v="0"/>
    <x v="12"/>
    <n v="2018"/>
    <x v="4"/>
    <n v="2020"/>
    <n v="3"/>
    <x v="3"/>
    <x v="1"/>
    <x v="1"/>
    <n v="43"/>
    <x v="3"/>
    <x v="5"/>
    <x v="1"/>
  </r>
  <r>
    <n v="114"/>
    <x v="1"/>
    <x v="13"/>
    <n v="2024"/>
    <x v="0"/>
    <s v=" "/>
    <s v=" "/>
    <x v="0"/>
    <x v="0"/>
    <x v="1"/>
    <n v="40"/>
    <x v="3"/>
    <x v="0"/>
    <x v="2"/>
  </r>
  <r>
    <n v="115"/>
    <x v="1"/>
    <x v="14"/>
    <n v="2018"/>
    <x v="0"/>
    <s v=" "/>
    <s v=" "/>
    <x v="0"/>
    <x v="0"/>
    <x v="0"/>
    <n v="42"/>
    <x v="3"/>
    <x v="1"/>
    <x v="3"/>
  </r>
  <r>
    <n v="116"/>
    <x v="0"/>
    <x v="15"/>
    <n v="2019"/>
    <x v="5"/>
    <n v="2022"/>
    <n v="4"/>
    <x v="4"/>
    <x v="1"/>
    <x v="0"/>
    <n v="35"/>
    <x v="4"/>
    <x v="1"/>
    <x v="4"/>
  </r>
  <r>
    <n v="117"/>
    <x v="3"/>
    <x v="16"/>
    <n v="2019"/>
    <x v="6"/>
    <n v="2020"/>
    <n v="2"/>
    <x v="3"/>
    <x v="1"/>
    <x v="0"/>
    <n v="31"/>
    <x v="4"/>
    <x v="2"/>
    <x v="5"/>
  </r>
  <r>
    <n v="118"/>
    <x v="5"/>
    <x v="17"/>
    <n v="2022"/>
    <x v="0"/>
    <s v=" "/>
    <s v=" "/>
    <x v="0"/>
    <x v="0"/>
    <x v="1"/>
    <n v="51"/>
    <x v="1"/>
    <x v="3"/>
    <x v="6"/>
  </r>
  <r>
    <n v="119"/>
    <x v="0"/>
    <x v="18"/>
    <n v="2024"/>
    <x v="0"/>
    <s v=" "/>
    <s v=" "/>
    <x v="0"/>
    <x v="0"/>
    <x v="1"/>
    <n v="48"/>
    <x v="3"/>
    <x v="0"/>
    <x v="7"/>
  </r>
  <r>
    <n v="120"/>
    <x v="3"/>
    <x v="19"/>
    <n v="2019"/>
    <x v="7"/>
    <n v="2022"/>
    <n v="4"/>
    <x v="5"/>
    <x v="1"/>
    <x v="0"/>
    <n v="41"/>
    <x v="3"/>
    <x v="6"/>
    <x v="8"/>
  </r>
  <r>
    <n v="121"/>
    <x v="5"/>
    <x v="20"/>
    <n v="2021"/>
    <x v="8"/>
    <n v="2024"/>
    <n v="4"/>
    <x v="2"/>
    <x v="1"/>
    <x v="1"/>
    <n v="62"/>
    <x v="2"/>
    <x v="0"/>
    <x v="9"/>
  </r>
  <r>
    <n v="122"/>
    <x v="2"/>
    <x v="21"/>
    <n v="2023"/>
    <x v="9"/>
    <n v="2024"/>
    <n v="2"/>
    <x v="4"/>
    <x v="1"/>
    <x v="1"/>
    <n v="24"/>
    <x v="0"/>
    <x v="0"/>
    <x v="10"/>
  </r>
  <r>
    <n v="123"/>
    <x v="1"/>
    <x v="22"/>
    <n v="2023"/>
    <x v="0"/>
    <s v=" "/>
    <s v=" "/>
    <x v="0"/>
    <x v="0"/>
    <x v="0"/>
    <n v="41"/>
    <x v="3"/>
    <x v="1"/>
    <x v="0"/>
  </r>
  <r>
    <n v="124"/>
    <x v="2"/>
    <x v="23"/>
    <n v="2024"/>
    <x v="0"/>
    <s v=" "/>
    <s v=" "/>
    <x v="0"/>
    <x v="0"/>
    <x v="0"/>
    <n v="40"/>
    <x v="3"/>
    <x v="0"/>
    <x v="1"/>
  </r>
  <r>
    <n v="125"/>
    <x v="0"/>
    <x v="24"/>
    <n v="2019"/>
    <x v="0"/>
    <s v=" "/>
    <s v=" "/>
    <x v="0"/>
    <x v="0"/>
    <x v="0"/>
    <n v="48"/>
    <x v="3"/>
    <x v="2"/>
    <x v="2"/>
  </r>
  <r>
    <n v="126"/>
    <x v="1"/>
    <x v="25"/>
    <n v="2022"/>
    <x v="0"/>
    <s v=" "/>
    <s v=" "/>
    <x v="0"/>
    <x v="0"/>
    <x v="0"/>
    <n v="52"/>
    <x v="1"/>
    <x v="5"/>
    <x v="3"/>
  </r>
  <r>
    <n v="127"/>
    <x v="4"/>
    <x v="26"/>
    <n v="2020"/>
    <x v="10"/>
    <n v="2021"/>
    <n v="2"/>
    <x v="6"/>
    <x v="1"/>
    <x v="1"/>
    <n v="33"/>
    <x v="4"/>
    <x v="0"/>
    <x v="4"/>
  </r>
  <r>
    <n v="128"/>
    <x v="2"/>
    <x v="27"/>
    <n v="2023"/>
    <x v="0"/>
    <s v=" "/>
    <s v=" "/>
    <x v="0"/>
    <x v="0"/>
    <x v="1"/>
    <n v="51"/>
    <x v="1"/>
    <x v="1"/>
    <x v="5"/>
  </r>
  <r>
    <n v="129"/>
    <x v="0"/>
    <x v="28"/>
    <n v="2021"/>
    <x v="11"/>
    <n v="2022"/>
    <n v="2"/>
    <x v="3"/>
    <x v="1"/>
    <x v="1"/>
    <n v="46"/>
    <x v="3"/>
    <x v="1"/>
    <x v="6"/>
  </r>
  <r>
    <n v="130"/>
    <x v="2"/>
    <x v="29"/>
    <n v="2018"/>
    <x v="12"/>
    <n v="2021"/>
    <n v="4"/>
    <x v="1"/>
    <x v="1"/>
    <x v="0"/>
    <n v="53"/>
    <x v="1"/>
    <x v="2"/>
    <x v="7"/>
  </r>
  <r>
    <n v="131"/>
    <x v="5"/>
    <x v="30"/>
    <n v="2021"/>
    <x v="0"/>
    <s v=" "/>
    <s v=" "/>
    <x v="0"/>
    <x v="0"/>
    <x v="1"/>
    <n v="35"/>
    <x v="4"/>
    <x v="3"/>
    <x v="8"/>
  </r>
  <r>
    <n v="132"/>
    <x v="0"/>
    <x v="31"/>
    <n v="2024"/>
    <x v="0"/>
    <s v=" "/>
    <s v=" "/>
    <x v="0"/>
    <x v="0"/>
    <x v="1"/>
    <n v="32"/>
    <x v="4"/>
    <x v="0"/>
    <x v="9"/>
  </r>
  <r>
    <n v="133"/>
    <x v="5"/>
    <x v="32"/>
    <n v="2021"/>
    <x v="0"/>
    <s v=" "/>
    <s v=" "/>
    <x v="0"/>
    <x v="0"/>
    <x v="0"/>
    <n v="46"/>
    <x v="3"/>
    <x v="6"/>
    <x v="10"/>
  </r>
  <r>
    <n v="134"/>
    <x v="0"/>
    <x v="33"/>
    <n v="2020"/>
    <x v="0"/>
    <s v=" "/>
    <s v=" "/>
    <x v="0"/>
    <x v="0"/>
    <x v="1"/>
    <n v="50"/>
    <x v="1"/>
    <x v="0"/>
    <x v="2"/>
  </r>
  <r>
    <n v="135"/>
    <x v="2"/>
    <x v="34"/>
    <n v="2018"/>
    <x v="13"/>
    <n v="2022"/>
    <n v="5"/>
    <x v="2"/>
    <x v="1"/>
    <x v="1"/>
    <n v="61"/>
    <x v="2"/>
    <x v="0"/>
    <x v="4"/>
  </r>
  <r>
    <n v="136"/>
    <x v="2"/>
    <x v="35"/>
    <n v="2018"/>
    <x v="0"/>
    <s v=" "/>
    <s v=" "/>
    <x v="0"/>
    <x v="0"/>
    <x v="1"/>
    <n v="29"/>
    <x v="0"/>
    <x v="1"/>
    <x v="9"/>
  </r>
  <r>
    <n v="137"/>
    <x v="2"/>
    <x v="36"/>
    <n v="2021"/>
    <x v="14"/>
    <n v="2024"/>
    <n v="4"/>
    <x v="1"/>
    <x v="1"/>
    <x v="0"/>
    <n v="27"/>
    <x v="0"/>
    <x v="0"/>
    <x v="1"/>
  </r>
  <r>
    <n v="138"/>
    <x v="4"/>
    <x v="37"/>
    <n v="2021"/>
    <x v="15"/>
    <n v="2023"/>
    <n v="3"/>
    <x v="4"/>
    <x v="1"/>
    <x v="0"/>
    <n v="31"/>
    <x v="4"/>
    <x v="2"/>
    <x v="2"/>
  </r>
  <r>
    <n v="139"/>
    <x v="0"/>
    <x v="38"/>
    <n v="2019"/>
    <x v="16"/>
    <n v="2022"/>
    <n v="4"/>
    <x v="3"/>
    <x v="1"/>
    <x v="1"/>
    <n v="24"/>
    <x v="0"/>
    <x v="7"/>
    <x v="3"/>
  </r>
  <r>
    <n v="140"/>
    <x v="5"/>
    <x v="39"/>
    <n v="2020"/>
    <x v="0"/>
    <s v=" "/>
    <s v=" "/>
    <x v="0"/>
    <x v="0"/>
    <x v="1"/>
    <n v="37"/>
    <x v="4"/>
    <x v="0"/>
    <x v="4"/>
  </r>
  <r>
    <n v="141"/>
    <x v="4"/>
    <x v="40"/>
    <n v="2020"/>
    <x v="0"/>
    <s v=" "/>
    <s v=" "/>
    <x v="0"/>
    <x v="0"/>
    <x v="0"/>
    <n v="23"/>
    <x v="0"/>
    <x v="1"/>
    <x v="9"/>
  </r>
  <r>
    <n v="142"/>
    <x v="4"/>
    <x v="41"/>
    <n v="2024"/>
    <x v="0"/>
    <s v=" "/>
    <s v=" "/>
    <x v="0"/>
    <x v="0"/>
    <x v="1"/>
    <n v="31"/>
    <x v="4"/>
    <x v="1"/>
    <x v="0"/>
  </r>
  <r>
    <n v="143"/>
    <x v="5"/>
    <x v="42"/>
    <n v="2024"/>
    <x v="0"/>
    <s v=" "/>
    <s v=" "/>
    <x v="0"/>
    <x v="0"/>
    <x v="1"/>
    <n v="52"/>
    <x v="1"/>
    <x v="2"/>
    <x v="2"/>
  </r>
  <r>
    <n v="144"/>
    <x v="2"/>
    <x v="43"/>
    <n v="2022"/>
    <x v="0"/>
    <s v=" "/>
    <s v=" "/>
    <x v="0"/>
    <x v="0"/>
    <x v="1"/>
    <n v="25"/>
    <x v="0"/>
    <x v="3"/>
    <x v="3"/>
  </r>
  <r>
    <n v="145"/>
    <x v="1"/>
    <x v="44"/>
    <n v="2023"/>
    <x v="0"/>
    <s v=" "/>
    <s v=" "/>
    <x v="0"/>
    <x v="0"/>
    <x v="0"/>
    <n v="46"/>
    <x v="3"/>
    <x v="0"/>
    <x v="10"/>
  </r>
  <r>
    <n v="146"/>
    <x v="1"/>
    <x v="45"/>
    <n v="2019"/>
    <x v="17"/>
    <n v="2021"/>
    <n v="3"/>
    <x v="5"/>
    <x v="1"/>
    <x v="0"/>
    <n v="24"/>
    <x v="0"/>
    <x v="7"/>
    <x v="4"/>
  </r>
  <r>
    <n v="147"/>
    <x v="1"/>
    <x v="46"/>
    <n v="2021"/>
    <x v="18"/>
    <n v="2024"/>
    <n v="4"/>
    <x v="7"/>
    <x v="1"/>
    <x v="1"/>
    <n v="38"/>
    <x v="4"/>
    <x v="0"/>
    <x v="9"/>
  </r>
  <r>
    <n v="148"/>
    <x v="3"/>
    <x v="47"/>
    <n v="2019"/>
    <x v="0"/>
    <s v=" "/>
    <s v=" "/>
    <x v="0"/>
    <x v="0"/>
    <x v="1"/>
    <n v="49"/>
    <x v="3"/>
    <x v="0"/>
    <x v="0"/>
  </r>
  <r>
    <n v="149"/>
    <x v="4"/>
    <x v="48"/>
    <n v="2024"/>
    <x v="0"/>
    <s v=" "/>
    <s v=" "/>
    <x v="0"/>
    <x v="0"/>
    <x v="1"/>
    <n v="31"/>
    <x v="4"/>
    <x v="1"/>
    <x v="2"/>
  </r>
  <r>
    <n v="150"/>
    <x v="0"/>
    <x v="49"/>
    <n v="2018"/>
    <x v="19"/>
    <n v="2022"/>
    <n v="5"/>
    <x v="4"/>
    <x v="1"/>
    <x v="0"/>
    <n v="51"/>
    <x v="1"/>
    <x v="0"/>
    <x v="3"/>
  </r>
  <r>
    <n v="151"/>
    <x v="0"/>
    <x v="0"/>
    <n v="2018"/>
    <x v="0"/>
    <s v=" "/>
    <s v=" "/>
    <x v="0"/>
    <x v="0"/>
    <x v="0"/>
    <n v="27"/>
    <x v="0"/>
    <x v="2"/>
    <x v="10"/>
  </r>
  <r>
    <n v="152"/>
    <x v="1"/>
    <x v="1"/>
    <n v="2020"/>
    <x v="0"/>
    <s v=" "/>
    <s v=" "/>
    <x v="0"/>
    <x v="0"/>
    <x v="0"/>
    <n v="22"/>
    <x v="0"/>
    <x v="7"/>
    <x v="4"/>
  </r>
  <r>
    <n v="153"/>
    <x v="1"/>
    <x v="2"/>
    <n v="2021"/>
    <x v="0"/>
    <s v=" "/>
    <s v=" "/>
    <x v="0"/>
    <x v="0"/>
    <x v="1"/>
    <n v="50"/>
    <x v="1"/>
    <x v="0"/>
    <x v="9"/>
  </r>
  <r>
    <n v="154"/>
    <x v="1"/>
    <x v="3"/>
    <n v="2023"/>
    <x v="0"/>
    <s v=" "/>
    <s v=" "/>
    <x v="0"/>
    <x v="0"/>
    <x v="1"/>
    <n v="24"/>
    <x v="0"/>
    <x v="1"/>
    <x v="0"/>
  </r>
  <r>
    <n v="155"/>
    <x v="1"/>
    <x v="4"/>
    <n v="2019"/>
    <x v="1"/>
    <n v="2021"/>
    <n v="3"/>
    <x v="1"/>
    <x v="1"/>
    <x v="0"/>
    <n v="50"/>
    <x v="1"/>
    <x v="1"/>
    <x v="1"/>
  </r>
  <r>
    <n v="156"/>
    <x v="2"/>
    <x v="5"/>
    <n v="2022"/>
    <x v="2"/>
    <n v="2023"/>
    <n v="2"/>
    <x v="2"/>
    <x v="1"/>
    <x v="0"/>
    <n v="64"/>
    <x v="2"/>
    <x v="2"/>
    <x v="2"/>
  </r>
  <r>
    <n v="157"/>
    <x v="3"/>
    <x v="6"/>
    <n v="2024"/>
    <x v="0"/>
    <s v=" "/>
    <s v=" "/>
    <x v="0"/>
    <x v="0"/>
    <x v="0"/>
    <n v="40"/>
    <x v="3"/>
    <x v="3"/>
    <x v="3"/>
  </r>
  <r>
    <n v="158"/>
    <x v="0"/>
    <x v="7"/>
    <n v="2018"/>
    <x v="0"/>
    <s v=" "/>
    <s v=" "/>
    <x v="0"/>
    <x v="0"/>
    <x v="0"/>
    <n v="32"/>
    <x v="4"/>
    <x v="0"/>
    <x v="4"/>
  </r>
  <r>
    <n v="159"/>
    <x v="1"/>
    <x v="8"/>
    <n v="2023"/>
    <x v="0"/>
    <s v=" "/>
    <s v=" "/>
    <x v="0"/>
    <x v="0"/>
    <x v="0"/>
    <n v="50"/>
    <x v="1"/>
    <x v="6"/>
    <x v="5"/>
  </r>
  <r>
    <n v="160"/>
    <x v="4"/>
    <x v="9"/>
    <n v="2024"/>
    <x v="0"/>
    <s v=" "/>
    <s v=" "/>
    <x v="0"/>
    <x v="0"/>
    <x v="0"/>
    <n v="24"/>
    <x v="0"/>
    <x v="0"/>
    <x v="6"/>
  </r>
  <r>
    <n v="161"/>
    <x v="5"/>
    <x v="10"/>
    <n v="2024"/>
    <x v="0"/>
    <s v=" "/>
    <s v=" "/>
    <x v="0"/>
    <x v="0"/>
    <x v="1"/>
    <n v="36"/>
    <x v="4"/>
    <x v="0"/>
    <x v="7"/>
  </r>
  <r>
    <n v="162"/>
    <x v="3"/>
    <x v="11"/>
    <n v="2021"/>
    <x v="3"/>
    <n v="2024"/>
    <n v="4"/>
    <x v="2"/>
    <x v="1"/>
    <x v="0"/>
    <n v="65"/>
    <x v="2"/>
    <x v="1"/>
    <x v="8"/>
  </r>
  <r>
    <n v="163"/>
    <x v="0"/>
    <x v="12"/>
    <n v="2018"/>
    <x v="4"/>
    <n v="2020"/>
    <n v="3"/>
    <x v="7"/>
    <x v="1"/>
    <x v="1"/>
    <n v="43"/>
    <x v="3"/>
    <x v="0"/>
    <x v="9"/>
  </r>
  <r>
    <n v="164"/>
    <x v="1"/>
    <x v="13"/>
    <n v="2024"/>
    <x v="0"/>
    <s v=" "/>
    <s v=" "/>
    <x v="0"/>
    <x v="0"/>
    <x v="1"/>
    <n v="40"/>
    <x v="3"/>
    <x v="2"/>
    <x v="10"/>
  </r>
  <r>
    <n v="165"/>
    <x v="1"/>
    <x v="14"/>
    <n v="2018"/>
    <x v="0"/>
    <s v=" "/>
    <s v=" "/>
    <x v="0"/>
    <x v="0"/>
    <x v="0"/>
    <n v="42"/>
    <x v="3"/>
    <x v="5"/>
    <x v="2"/>
  </r>
  <r>
    <n v="166"/>
    <x v="0"/>
    <x v="15"/>
    <n v="2019"/>
    <x v="5"/>
    <n v="2022"/>
    <n v="4"/>
    <x v="4"/>
    <x v="1"/>
    <x v="1"/>
    <n v="35"/>
    <x v="4"/>
    <x v="0"/>
    <x v="4"/>
  </r>
  <r>
    <n v="167"/>
    <x v="3"/>
    <x v="16"/>
    <n v="2019"/>
    <x v="6"/>
    <n v="2020"/>
    <n v="2"/>
    <x v="3"/>
    <x v="1"/>
    <x v="0"/>
    <n v="31"/>
    <x v="4"/>
    <x v="1"/>
    <x v="9"/>
  </r>
  <r>
    <n v="168"/>
    <x v="5"/>
    <x v="17"/>
    <n v="2022"/>
    <x v="0"/>
    <s v=" "/>
    <s v=" "/>
    <x v="0"/>
    <x v="0"/>
    <x v="0"/>
    <n v="51"/>
    <x v="1"/>
    <x v="1"/>
    <x v="1"/>
  </r>
  <r>
    <n v="169"/>
    <x v="0"/>
    <x v="18"/>
    <n v="2024"/>
    <x v="0"/>
    <s v=" "/>
    <s v=" "/>
    <x v="0"/>
    <x v="0"/>
    <x v="1"/>
    <n v="48"/>
    <x v="3"/>
    <x v="2"/>
    <x v="2"/>
  </r>
  <r>
    <n v="170"/>
    <x v="3"/>
    <x v="19"/>
    <n v="2019"/>
    <x v="7"/>
    <n v="2022"/>
    <n v="4"/>
    <x v="5"/>
    <x v="1"/>
    <x v="0"/>
    <n v="41"/>
    <x v="3"/>
    <x v="3"/>
    <x v="3"/>
  </r>
  <r>
    <n v="171"/>
    <x v="5"/>
    <x v="20"/>
    <n v="2021"/>
    <x v="8"/>
    <n v="2024"/>
    <n v="4"/>
    <x v="2"/>
    <x v="1"/>
    <x v="1"/>
    <n v="63"/>
    <x v="2"/>
    <x v="0"/>
    <x v="4"/>
  </r>
  <r>
    <n v="172"/>
    <x v="2"/>
    <x v="21"/>
    <n v="2023"/>
    <x v="9"/>
    <n v="2024"/>
    <n v="2"/>
    <x v="4"/>
    <x v="1"/>
    <x v="1"/>
    <n v="24"/>
    <x v="0"/>
    <x v="7"/>
    <x v="9"/>
  </r>
  <r>
    <n v="173"/>
    <x v="1"/>
    <x v="22"/>
    <n v="2023"/>
    <x v="0"/>
    <s v=" "/>
    <s v=" "/>
    <x v="0"/>
    <x v="0"/>
    <x v="0"/>
    <n v="41"/>
    <x v="3"/>
    <x v="0"/>
    <x v="0"/>
  </r>
  <r>
    <n v="174"/>
    <x v="2"/>
    <x v="23"/>
    <n v="2024"/>
    <x v="0"/>
    <s v=" "/>
    <s v=" "/>
    <x v="0"/>
    <x v="0"/>
    <x v="0"/>
    <n v="40"/>
    <x v="3"/>
    <x v="0"/>
    <x v="2"/>
  </r>
  <r>
    <n v="175"/>
    <x v="0"/>
    <x v="24"/>
    <n v="2019"/>
    <x v="0"/>
    <s v=" "/>
    <s v=" "/>
    <x v="0"/>
    <x v="0"/>
    <x v="0"/>
    <n v="48"/>
    <x v="3"/>
    <x v="1"/>
    <x v="3"/>
  </r>
  <r>
    <n v="176"/>
    <x v="1"/>
    <x v="25"/>
    <n v="2022"/>
    <x v="0"/>
    <s v=" "/>
    <s v=" "/>
    <x v="0"/>
    <x v="0"/>
    <x v="0"/>
    <n v="52"/>
    <x v="1"/>
    <x v="0"/>
    <x v="10"/>
  </r>
  <r>
    <n v="177"/>
    <x v="4"/>
    <x v="26"/>
    <n v="2020"/>
    <x v="10"/>
    <n v="2021"/>
    <n v="2"/>
    <x v="6"/>
    <x v="1"/>
    <x v="0"/>
    <n v="33"/>
    <x v="4"/>
    <x v="2"/>
    <x v="4"/>
  </r>
  <r>
    <n v="178"/>
    <x v="2"/>
    <x v="27"/>
    <n v="2023"/>
    <x v="0"/>
    <s v=" "/>
    <s v=" "/>
    <x v="0"/>
    <x v="0"/>
    <x v="1"/>
    <n v="51"/>
    <x v="1"/>
    <x v="5"/>
    <x v="9"/>
  </r>
  <r>
    <n v="179"/>
    <x v="0"/>
    <x v="28"/>
    <n v="2021"/>
    <x v="11"/>
    <n v="2022"/>
    <n v="2"/>
    <x v="7"/>
    <x v="1"/>
    <x v="1"/>
    <n v="46"/>
    <x v="3"/>
    <x v="0"/>
    <x v="9"/>
  </r>
  <r>
    <n v="180"/>
    <x v="2"/>
    <x v="29"/>
    <n v="2018"/>
    <x v="12"/>
    <n v="2021"/>
    <n v="4"/>
    <x v="1"/>
    <x v="1"/>
    <x v="1"/>
    <n v="53"/>
    <x v="1"/>
    <x v="1"/>
    <x v="0"/>
  </r>
  <r>
    <n v="181"/>
    <x v="5"/>
    <x v="30"/>
    <n v="2021"/>
    <x v="0"/>
    <s v=" "/>
    <s v=" "/>
    <x v="0"/>
    <x v="0"/>
    <x v="1"/>
    <n v="35"/>
    <x v="4"/>
    <x v="1"/>
    <x v="1"/>
  </r>
  <r>
    <n v="182"/>
    <x v="0"/>
    <x v="31"/>
    <n v="2024"/>
    <x v="0"/>
    <s v=" "/>
    <s v=" "/>
    <x v="0"/>
    <x v="0"/>
    <x v="1"/>
    <n v="32"/>
    <x v="4"/>
    <x v="2"/>
    <x v="2"/>
  </r>
  <r>
    <n v="183"/>
    <x v="5"/>
    <x v="32"/>
    <n v="2021"/>
    <x v="0"/>
    <s v=" "/>
    <s v=" "/>
    <x v="0"/>
    <x v="0"/>
    <x v="0"/>
    <n v="46"/>
    <x v="3"/>
    <x v="3"/>
    <x v="3"/>
  </r>
  <r>
    <n v="184"/>
    <x v="0"/>
    <x v="33"/>
    <n v="2020"/>
    <x v="0"/>
    <s v=" "/>
    <s v=" "/>
    <x v="0"/>
    <x v="0"/>
    <x v="1"/>
    <n v="50"/>
    <x v="1"/>
    <x v="0"/>
    <x v="4"/>
  </r>
  <r>
    <n v="185"/>
    <x v="2"/>
    <x v="34"/>
    <n v="2018"/>
    <x v="13"/>
    <n v="2022"/>
    <n v="5"/>
    <x v="2"/>
    <x v="1"/>
    <x v="1"/>
    <n v="62"/>
    <x v="2"/>
    <x v="6"/>
    <x v="5"/>
  </r>
  <r>
    <n v="186"/>
    <x v="2"/>
    <x v="35"/>
    <n v="2018"/>
    <x v="0"/>
    <s v=" "/>
    <s v=" "/>
    <x v="0"/>
    <x v="0"/>
    <x v="1"/>
    <n v="29"/>
    <x v="0"/>
    <x v="0"/>
    <x v="6"/>
  </r>
  <r>
    <n v="187"/>
    <x v="2"/>
    <x v="36"/>
    <n v="2021"/>
    <x v="14"/>
    <n v="2024"/>
    <n v="4"/>
    <x v="1"/>
    <x v="1"/>
    <x v="0"/>
    <n v="27"/>
    <x v="0"/>
    <x v="0"/>
    <x v="7"/>
  </r>
  <r>
    <n v="188"/>
    <x v="4"/>
    <x v="37"/>
    <n v="2021"/>
    <x v="15"/>
    <n v="2023"/>
    <n v="3"/>
    <x v="4"/>
    <x v="1"/>
    <x v="0"/>
    <n v="31"/>
    <x v="4"/>
    <x v="1"/>
    <x v="8"/>
  </r>
  <r>
    <n v="189"/>
    <x v="0"/>
    <x v="38"/>
    <n v="2019"/>
    <x v="16"/>
    <n v="2022"/>
    <n v="4"/>
    <x v="7"/>
    <x v="1"/>
    <x v="1"/>
    <n v="24"/>
    <x v="0"/>
    <x v="0"/>
    <x v="9"/>
  </r>
  <r>
    <n v="190"/>
    <x v="5"/>
    <x v="39"/>
    <n v="2020"/>
    <x v="0"/>
    <s v=" "/>
    <s v=" "/>
    <x v="0"/>
    <x v="0"/>
    <x v="0"/>
    <n v="37"/>
    <x v="4"/>
    <x v="2"/>
    <x v="10"/>
  </r>
  <r>
    <n v="191"/>
    <x v="4"/>
    <x v="40"/>
    <n v="2020"/>
    <x v="0"/>
    <s v=" "/>
    <s v=" "/>
    <x v="0"/>
    <x v="0"/>
    <x v="0"/>
    <n v="23"/>
    <x v="0"/>
    <x v="7"/>
    <x v="2"/>
  </r>
  <r>
    <n v="192"/>
    <x v="4"/>
    <x v="41"/>
    <n v="2024"/>
    <x v="0"/>
    <s v=" "/>
    <s v=" "/>
    <x v="0"/>
    <x v="0"/>
    <x v="1"/>
    <n v="31"/>
    <x v="4"/>
    <x v="0"/>
    <x v="4"/>
  </r>
  <r>
    <n v="193"/>
    <x v="5"/>
    <x v="42"/>
    <n v="2024"/>
    <x v="0"/>
    <s v=" "/>
    <s v=" "/>
    <x v="0"/>
    <x v="0"/>
    <x v="0"/>
    <n v="52"/>
    <x v="1"/>
    <x v="1"/>
    <x v="9"/>
  </r>
  <r>
    <n v="194"/>
    <x v="2"/>
    <x v="43"/>
    <n v="2022"/>
    <x v="0"/>
    <s v=" "/>
    <s v=" "/>
    <x v="0"/>
    <x v="0"/>
    <x v="0"/>
    <n v="25"/>
    <x v="0"/>
    <x v="1"/>
    <x v="1"/>
  </r>
  <r>
    <n v="195"/>
    <x v="1"/>
    <x v="44"/>
    <n v="2023"/>
    <x v="0"/>
    <s v=" "/>
    <s v=" "/>
    <x v="0"/>
    <x v="0"/>
    <x v="0"/>
    <n v="46"/>
    <x v="3"/>
    <x v="2"/>
    <x v="2"/>
  </r>
  <r>
    <n v="196"/>
    <x v="1"/>
    <x v="45"/>
    <n v="2019"/>
    <x v="17"/>
    <n v="2021"/>
    <n v="3"/>
    <x v="5"/>
    <x v="1"/>
    <x v="1"/>
    <n v="24"/>
    <x v="0"/>
    <x v="3"/>
    <x v="3"/>
  </r>
  <r>
    <n v="197"/>
    <x v="1"/>
    <x v="46"/>
    <n v="2021"/>
    <x v="18"/>
    <n v="2024"/>
    <n v="4"/>
    <x v="5"/>
    <x v="1"/>
    <x v="0"/>
    <n v="38"/>
    <x v="4"/>
    <x v="0"/>
    <x v="4"/>
  </r>
  <r>
    <n v="198"/>
    <x v="3"/>
    <x v="47"/>
    <n v="2019"/>
    <x v="0"/>
    <s v=" "/>
    <s v=" "/>
    <x v="0"/>
    <x v="0"/>
    <x v="1"/>
    <n v="49"/>
    <x v="3"/>
    <x v="6"/>
    <x v="9"/>
  </r>
  <r>
    <n v="199"/>
    <x v="4"/>
    <x v="48"/>
    <n v="2024"/>
    <x v="0"/>
    <s v=" "/>
    <s v=" "/>
    <x v="0"/>
    <x v="0"/>
    <x v="1"/>
    <n v="31"/>
    <x v="4"/>
    <x v="0"/>
    <x v="0"/>
  </r>
  <r>
    <n v="200"/>
    <x v="0"/>
    <x v="49"/>
    <n v="2018"/>
    <x v="19"/>
    <n v="2022"/>
    <n v="5"/>
    <x v="4"/>
    <x v="1"/>
    <x v="1"/>
    <n v="51"/>
    <x v="1"/>
    <x v="0"/>
    <x v="2"/>
  </r>
  <r>
    <n v="201"/>
    <x v="0"/>
    <x v="0"/>
    <n v="2018"/>
    <x v="0"/>
    <s v=" "/>
    <s v=" "/>
    <x v="0"/>
    <x v="0"/>
    <x v="0"/>
    <n v="27"/>
    <x v="0"/>
    <x v="1"/>
    <x v="3"/>
  </r>
  <r>
    <n v="202"/>
    <x v="1"/>
    <x v="1"/>
    <n v="2020"/>
    <x v="0"/>
    <s v=" "/>
    <s v=" "/>
    <x v="0"/>
    <x v="0"/>
    <x v="0"/>
    <n v="22"/>
    <x v="0"/>
    <x v="0"/>
    <x v="10"/>
  </r>
  <r>
    <n v="203"/>
    <x v="1"/>
    <x v="2"/>
    <n v="2021"/>
    <x v="0"/>
    <s v=" "/>
    <s v=" "/>
    <x v="0"/>
    <x v="0"/>
    <x v="1"/>
    <n v="50"/>
    <x v="1"/>
    <x v="2"/>
    <x v="4"/>
  </r>
  <r>
    <n v="204"/>
    <x v="1"/>
    <x v="3"/>
    <n v="2023"/>
    <x v="0"/>
    <s v=" "/>
    <s v=" "/>
    <x v="0"/>
    <x v="0"/>
    <x v="1"/>
    <n v="24"/>
    <x v="0"/>
    <x v="7"/>
    <x v="9"/>
  </r>
  <r>
    <n v="205"/>
    <x v="1"/>
    <x v="4"/>
    <n v="2019"/>
    <x v="1"/>
    <n v="2021"/>
    <n v="3"/>
    <x v="7"/>
    <x v="1"/>
    <x v="0"/>
    <n v="50"/>
    <x v="1"/>
    <x v="0"/>
    <x v="3"/>
  </r>
  <r>
    <n v="206"/>
    <x v="2"/>
    <x v="5"/>
    <n v="2022"/>
    <x v="2"/>
    <n v="2023"/>
    <n v="2"/>
    <x v="2"/>
    <x v="1"/>
    <x v="0"/>
    <n v="60"/>
    <x v="2"/>
    <x v="1"/>
    <x v="10"/>
  </r>
  <r>
    <n v="207"/>
    <x v="3"/>
    <x v="6"/>
    <n v="2024"/>
    <x v="0"/>
    <s v=" "/>
    <s v=" "/>
    <x v="0"/>
    <x v="0"/>
    <x v="0"/>
    <n v="40"/>
    <x v="3"/>
    <x v="1"/>
    <x v="4"/>
  </r>
  <r>
    <n v="208"/>
    <x v="0"/>
    <x v="7"/>
    <n v="2018"/>
    <x v="0"/>
    <s v=" "/>
    <s v=" "/>
    <x v="0"/>
    <x v="0"/>
    <x v="0"/>
    <n v="32"/>
    <x v="4"/>
    <x v="2"/>
    <x v="9"/>
  </r>
  <r>
    <n v="209"/>
    <x v="1"/>
    <x v="8"/>
    <n v="2023"/>
    <x v="0"/>
    <s v=" "/>
    <s v=" "/>
    <x v="0"/>
    <x v="0"/>
    <x v="1"/>
    <n v="50"/>
    <x v="1"/>
    <x v="3"/>
    <x v="0"/>
  </r>
  <r>
    <n v="210"/>
    <x v="4"/>
    <x v="9"/>
    <n v="2024"/>
    <x v="0"/>
    <s v=" "/>
    <s v=" "/>
    <x v="0"/>
    <x v="0"/>
    <x v="0"/>
    <n v="24"/>
    <x v="0"/>
    <x v="0"/>
    <x v="1"/>
  </r>
  <r>
    <n v="211"/>
    <x v="5"/>
    <x v="10"/>
    <n v="2024"/>
    <x v="0"/>
    <s v=" "/>
    <s v=" "/>
    <x v="0"/>
    <x v="0"/>
    <x v="1"/>
    <n v="36"/>
    <x v="4"/>
    <x v="4"/>
    <x v="2"/>
  </r>
  <r>
    <n v="212"/>
    <x v="3"/>
    <x v="11"/>
    <n v="2021"/>
    <x v="3"/>
    <n v="2024"/>
    <n v="4"/>
    <x v="2"/>
    <x v="1"/>
    <x v="1"/>
    <n v="59"/>
    <x v="1"/>
    <x v="0"/>
    <x v="3"/>
  </r>
  <r>
    <n v="213"/>
    <x v="0"/>
    <x v="12"/>
    <n v="2018"/>
    <x v="4"/>
    <n v="2020"/>
    <n v="3"/>
    <x v="3"/>
    <x v="1"/>
    <x v="0"/>
    <n v="43"/>
    <x v="3"/>
    <x v="0"/>
    <x v="4"/>
  </r>
  <r>
    <n v="214"/>
    <x v="1"/>
    <x v="13"/>
    <n v="2024"/>
    <x v="0"/>
    <s v=" "/>
    <s v=" "/>
    <x v="0"/>
    <x v="0"/>
    <x v="0"/>
    <n v="40"/>
    <x v="3"/>
    <x v="1"/>
    <x v="5"/>
  </r>
  <r>
    <n v="215"/>
    <x v="1"/>
    <x v="14"/>
    <n v="2018"/>
    <x v="0"/>
    <s v=" "/>
    <s v=" "/>
    <x v="0"/>
    <x v="0"/>
    <x v="0"/>
    <n v="42"/>
    <x v="3"/>
    <x v="0"/>
    <x v="6"/>
  </r>
  <r>
    <n v="216"/>
    <x v="0"/>
    <x v="15"/>
    <n v="2019"/>
    <x v="5"/>
    <n v="2022"/>
    <n v="4"/>
    <x v="4"/>
    <x v="1"/>
    <x v="1"/>
    <n v="35"/>
    <x v="4"/>
    <x v="2"/>
    <x v="7"/>
  </r>
  <r>
    <n v="217"/>
    <x v="3"/>
    <x v="16"/>
    <n v="2019"/>
    <x v="6"/>
    <n v="2020"/>
    <n v="2"/>
    <x v="3"/>
    <x v="1"/>
    <x v="0"/>
    <n v="31"/>
    <x v="4"/>
    <x v="7"/>
    <x v="8"/>
  </r>
  <r>
    <n v="218"/>
    <x v="5"/>
    <x v="17"/>
    <n v="2022"/>
    <x v="0"/>
    <s v=" "/>
    <s v=" "/>
    <x v="0"/>
    <x v="0"/>
    <x v="1"/>
    <n v="51"/>
    <x v="1"/>
    <x v="0"/>
    <x v="9"/>
  </r>
  <r>
    <n v="219"/>
    <x v="0"/>
    <x v="18"/>
    <n v="2024"/>
    <x v="0"/>
    <s v=" "/>
    <s v=" "/>
    <x v="0"/>
    <x v="0"/>
    <x v="0"/>
    <n v="48"/>
    <x v="3"/>
    <x v="1"/>
    <x v="10"/>
  </r>
  <r>
    <n v="220"/>
    <x v="3"/>
    <x v="19"/>
    <n v="2019"/>
    <x v="7"/>
    <n v="2022"/>
    <n v="4"/>
    <x v="5"/>
    <x v="1"/>
    <x v="0"/>
    <n v="41"/>
    <x v="3"/>
    <x v="1"/>
    <x v="2"/>
  </r>
  <r>
    <n v="221"/>
    <x v="5"/>
    <x v="20"/>
    <n v="2021"/>
    <x v="8"/>
    <n v="2024"/>
    <n v="4"/>
    <x v="2"/>
    <x v="1"/>
    <x v="1"/>
    <n v="62"/>
    <x v="2"/>
    <x v="2"/>
    <x v="4"/>
  </r>
  <r>
    <n v="222"/>
    <x v="2"/>
    <x v="21"/>
    <n v="2023"/>
    <x v="9"/>
    <n v="2024"/>
    <n v="2"/>
    <x v="4"/>
    <x v="1"/>
    <x v="1"/>
    <n v="24"/>
    <x v="0"/>
    <x v="3"/>
    <x v="9"/>
  </r>
  <r>
    <n v="223"/>
    <x v="1"/>
    <x v="22"/>
    <n v="2023"/>
    <x v="0"/>
    <s v=" "/>
    <s v=" "/>
    <x v="0"/>
    <x v="0"/>
    <x v="0"/>
    <n v="41"/>
    <x v="3"/>
    <x v="0"/>
    <x v="1"/>
  </r>
  <r>
    <n v="224"/>
    <x v="2"/>
    <x v="23"/>
    <n v="2024"/>
    <x v="0"/>
    <s v=" "/>
    <s v=" "/>
    <x v="0"/>
    <x v="0"/>
    <x v="1"/>
    <n v="40"/>
    <x v="3"/>
    <x v="4"/>
    <x v="2"/>
  </r>
  <r>
    <n v="225"/>
    <x v="0"/>
    <x v="24"/>
    <n v="2019"/>
    <x v="0"/>
    <s v=" "/>
    <s v=" "/>
    <x v="0"/>
    <x v="0"/>
    <x v="0"/>
    <n v="48"/>
    <x v="3"/>
    <x v="0"/>
    <x v="3"/>
  </r>
  <r>
    <n v="226"/>
    <x v="1"/>
    <x v="25"/>
    <n v="2022"/>
    <x v="0"/>
    <s v=" "/>
    <s v=" "/>
    <x v="0"/>
    <x v="0"/>
    <x v="0"/>
    <n v="52"/>
    <x v="1"/>
    <x v="0"/>
    <x v="4"/>
  </r>
  <r>
    <n v="227"/>
    <x v="4"/>
    <x v="26"/>
    <n v="2020"/>
    <x v="10"/>
    <n v="2021"/>
    <n v="2"/>
    <x v="7"/>
    <x v="1"/>
    <x v="0"/>
    <n v="33"/>
    <x v="4"/>
    <x v="1"/>
    <x v="9"/>
  </r>
  <r>
    <n v="228"/>
    <x v="2"/>
    <x v="27"/>
    <n v="2023"/>
    <x v="0"/>
    <s v=" "/>
    <s v=" "/>
    <x v="0"/>
    <x v="0"/>
    <x v="1"/>
    <n v="51"/>
    <x v="1"/>
    <x v="0"/>
    <x v="0"/>
  </r>
  <r>
    <n v="229"/>
    <x v="0"/>
    <x v="28"/>
    <n v="2021"/>
    <x v="11"/>
    <n v="2022"/>
    <n v="2"/>
    <x v="3"/>
    <x v="1"/>
    <x v="0"/>
    <n v="46"/>
    <x v="3"/>
    <x v="2"/>
    <x v="2"/>
  </r>
  <r>
    <n v="230"/>
    <x v="2"/>
    <x v="29"/>
    <n v="2018"/>
    <x v="12"/>
    <n v="2021"/>
    <n v="4"/>
    <x v="1"/>
    <x v="1"/>
    <x v="1"/>
    <n v="53"/>
    <x v="1"/>
    <x v="5"/>
    <x v="3"/>
  </r>
  <r>
    <n v="231"/>
    <x v="5"/>
    <x v="30"/>
    <n v="2021"/>
    <x v="0"/>
    <s v=" "/>
    <s v=" "/>
    <x v="0"/>
    <x v="0"/>
    <x v="0"/>
    <n v="35"/>
    <x v="4"/>
    <x v="0"/>
    <x v="10"/>
  </r>
  <r>
    <n v="232"/>
    <x v="0"/>
    <x v="31"/>
    <n v="2024"/>
    <x v="0"/>
    <s v=" "/>
    <s v=" "/>
    <x v="0"/>
    <x v="0"/>
    <x v="1"/>
    <n v="32"/>
    <x v="4"/>
    <x v="1"/>
    <x v="4"/>
  </r>
  <r>
    <n v="233"/>
    <x v="5"/>
    <x v="32"/>
    <n v="2021"/>
    <x v="0"/>
    <s v=" "/>
    <s v=" "/>
    <x v="0"/>
    <x v="0"/>
    <x v="1"/>
    <n v="46"/>
    <x v="3"/>
    <x v="1"/>
    <x v="9"/>
  </r>
  <r>
    <n v="234"/>
    <x v="0"/>
    <x v="33"/>
    <n v="2020"/>
    <x v="0"/>
    <s v=" "/>
    <s v=" "/>
    <x v="0"/>
    <x v="0"/>
    <x v="0"/>
    <n v="50"/>
    <x v="1"/>
    <x v="2"/>
    <x v="4"/>
  </r>
  <r>
    <n v="235"/>
    <x v="2"/>
    <x v="34"/>
    <n v="2018"/>
    <x v="13"/>
    <n v="2022"/>
    <n v="5"/>
    <x v="2"/>
    <x v="1"/>
    <x v="1"/>
    <n v="63"/>
    <x v="2"/>
    <x v="3"/>
    <x v="9"/>
  </r>
  <r>
    <n v="236"/>
    <x v="2"/>
    <x v="35"/>
    <n v="2018"/>
    <x v="0"/>
    <s v=" "/>
    <s v=" "/>
    <x v="0"/>
    <x v="0"/>
    <x v="1"/>
    <n v="29"/>
    <x v="0"/>
    <x v="0"/>
    <x v="0"/>
  </r>
  <r>
    <n v="237"/>
    <x v="2"/>
    <x v="36"/>
    <n v="2021"/>
    <x v="14"/>
    <n v="2024"/>
    <n v="4"/>
    <x v="7"/>
    <x v="1"/>
    <x v="0"/>
    <n v="27"/>
    <x v="0"/>
    <x v="7"/>
    <x v="1"/>
  </r>
  <r>
    <n v="238"/>
    <x v="4"/>
    <x v="37"/>
    <n v="2021"/>
    <x v="15"/>
    <n v="2023"/>
    <n v="3"/>
    <x v="4"/>
    <x v="1"/>
    <x v="0"/>
    <n v="31"/>
    <x v="4"/>
    <x v="0"/>
    <x v="2"/>
  </r>
  <r>
    <n v="239"/>
    <x v="0"/>
    <x v="38"/>
    <n v="2019"/>
    <x v="16"/>
    <n v="2022"/>
    <n v="4"/>
    <x v="3"/>
    <x v="1"/>
    <x v="1"/>
    <n v="24"/>
    <x v="0"/>
    <x v="0"/>
    <x v="3"/>
  </r>
  <r>
    <n v="240"/>
    <x v="5"/>
    <x v="39"/>
    <n v="2020"/>
    <x v="0"/>
    <s v=" "/>
    <s v=" "/>
    <x v="0"/>
    <x v="0"/>
    <x v="1"/>
    <n v="37"/>
    <x v="4"/>
    <x v="1"/>
    <x v="4"/>
  </r>
  <r>
    <n v="241"/>
    <x v="4"/>
    <x v="40"/>
    <n v="2020"/>
    <x v="0"/>
    <s v=" "/>
    <s v=" "/>
    <x v="0"/>
    <x v="0"/>
    <x v="0"/>
    <n v="23"/>
    <x v="0"/>
    <x v="0"/>
    <x v="5"/>
  </r>
  <r>
    <n v="242"/>
    <x v="4"/>
    <x v="41"/>
    <n v="2024"/>
    <x v="0"/>
    <s v=" "/>
    <s v=" "/>
    <x v="0"/>
    <x v="0"/>
    <x v="1"/>
    <n v="31"/>
    <x v="4"/>
    <x v="2"/>
    <x v="6"/>
  </r>
  <r>
    <n v="243"/>
    <x v="5"/>
    <x v="42"/>
    <n v="2024"/>
    <x v="0"/>
    <s v=" "/>
    <s v=" "/>
    <x v="0"/>
    <x v="0"/>
    <x v="0"/>
    <n v="52"/>
    <x v="1"/>
    <x v="5"/>
    <x v="7"/>
  </r>
  <r>
    <n v="244"/>
    <x v="2"/>
    <x v="43"/>
    <n v="2022"/>
    <x v="0"/>
    <s v=" "/>
    <s v=" "/>
    <x v="0"/>
    <x v="0"/>
    <x v="0"/>
    <n v="25"/>
    <x v="0"/>
    <x v="0"/>
    <x v="8"/>
  </r>
  <r>
    <n v="245"/>
    <x v="1"/>
    <x v="44"/>
    <n v="2023"/>
    <x v="0"/>
    <s v=" "/>
    <s v=" "/>
    <x v="0"/>
    <x v="0"/>
    <x v="0"/>
    <n v="46"/>
    <x v="3"/>
    <x v="1"/>
    <x v="9"/>
  </r>
  <r>
    <n v="246"/>
    <x v="1"/>
    <x v="45"/>
    <n v="2019"/>
    <x v="17"/>
    <n v="2021"/>
    <n v="3"/>
    <x v="5"/>
    <x v="1"/>
    <x v="1"/>
    <n v="24"/>
    <x v="0"/>
    <x v="1"/>
    <x v="10"/>
  </r>
  <r>
    <n v="247"/>
    <x v="1"/>
    <x v="46"/>
    <n v="2021"/>
    <x v="18"/>
    <n v="2024"/>
    <n v="4"/>
    <x v="5"/>
    <x v="1"/>
    <x v="0"/>
    <n v="38"/>
    <x v="4"/>
    <x v="2"/>
    <x v="2"/>
  </r>
  <r>
    <n v="248"/>
    <x v="3"/>
    <x v="47"/>
    <n v="2019"/>
    <x v="0"/>
    <s v=" "/>
    <s v=" "/>
    <x v="0"/>
    <x v="0"/>
    <x v="1"/>
    <n v="49"/>
    <x v="3"/>
    <x v="3"/>
    <x v="4"/>
  </r>
  <r>
    <n v="249"/>
    <x v="4"/>
    <x v="48"/>
    <n v="2024"/>
    <x v="0"/>
    <s v=" "/>
    <s v=" "/>
    <x v="0"/>
    <x v="0"/>
    <x v="0"/>
    <n v="31"/>
    <x v="4"/>
    <x v="0"/>
    <x v="9"/>
  </r>
  <r>
    <n v="250"/>
    <x v="0"/>
    <x v="49"/>
    <n v="2018"/>
    <x v="19"/>
    <n v="2022"/>
    <n v="5"/>
    <x v="4"/>
    <x v="1"/>
    <x v="1"/>
    <n v="51"/>
    <x v="1"/>
    <x v="6"/>
    <x v="1"/>
  </r>
  <r>
    <n v="251"/>
    <x v="0"/>
    <x v="0"/>
    <n v="2018"/>
    <x v="0"/>
    <s v=" "/>
    <s v=" "/>
    <x v="0"/>
    <x v="0"/>
    <x v="1"/>
    <n v="27"/>
    <x v="0"/>
    <x v="0"/>
    <x v="2"/>
  </r>
  <r>
    <n v="252"/>
    <x v="1"/>
    <x v="1"/>
    <n v="2020"/>
    <x v="0"/>
    <s v=" "/>
    <s v=" "/>
    <x v="0"/>
    <x v="0"/>
    <x v="0"/>
    <n v="22"/>
    <x v="0"/>
    <x v="0"/>
    <x v="3"/>
  </r>
  <r>
    <n v="253"/>
    <x v="1"/>
    <x v="2"/>
    <n v="2021"/>
    <x v="0"/>
    <s v=" "/>
    <s v=" "/>
    <x v="0"/>
    <x v="0"/>
    <x v="1"/>
    <n v="50"/>
    <x v="1"/>
    <x v="1"/>
    <x v="4"/>
  </r>
  <r>
    <n v="254"/>
    <x v="1"/>
    <x v="3"/>
    <n v="2023"/>
    <x v="0"/>
    <s v=" "/>
    <s v=" "/>
    <x v="0"/>
    <x v="0"/>
    <x v="1"/>
    <n v="24"/>
    <x v="0"/>
    <x v="0"/>
    <x v="9"/>
  </r>
  <r>
    <n v="255"/>
    <x v="1"/>
    <x v="4"/>
    <n v="2019"/>
    <x v="1"/>
    <n v="2021"/>
    <n v="3"/>
    <x v="1"/>
    <x v="1"/>
    <x v="0"/>
    <n v="50"/>
    <x v="1"/>
    <x v="2"/>
    <x v="0"/>
  </r>
  <r>
    <n v="256"/>
    <x v="2"/>
    <x v="5"/>
    <n v="2022"/>
    <x v="2"/>
    <n v="2023"/>
    <n v="2"/>
    <x v="2"/>
    <x v="1"/>
    <x v="0"/>
    <n v="64"/>
    <x v="2"/>
    <x v="5"/>
    <x v="2"/>
  </r>
  <r>
    <n v="257"/>
    <x v="3"/>
    <x v="6"/>
    <n v="2024"/>
    <x v="0"/>
    <s v=" "/>
    <s v=" "/>
    <x v="0"/>
    <x v="0"/>
    <x v="0"/>
    <n v="40"/>
    <x v="3"/>
    <x v="0"/>
    <x v="3"/>
  </r>
  <r>
    <n v="258"/>
    <x v="0"/>
    <x v="7"/>
    <n v="2018"/>
    <x v="0"/>
    <s v=" "/>
    <s v=" "/>
    <x v="0"/>
    <x v="0"/>
    <x v="1"/>
    <n v="32"/>
    <x v="4"/>
    <x v="1"/>
    <x v="10"/>
  </r>
  <r>
    <n v="259"/>
    <x v="1"/>
    <x v="8"/>
    <n v="2023"/>
    <x v="0"/>
    <s v=" "/>
    <s v=" "/>
    <x v="0"/>
    <x v="0"/>
    <x v="1"/>
    <n v="50"/>
    <x v="1"/>
    <x v="1"/>
    <x v="4"/>
  </r>
  <r>
    <n v="260"/>
    <x v="4"/>
    <x v="9"/>
    <n v="2024"/>
    <x v="0"/>
    <s v=" "/>
    <s v=" "/>
    <x v="0"/>
    <x v="0"/>
    <x v="0"/>
    <n v="24"/>
    <x v="0"/>
    <x v="2"/>
    <x v="9"/>
  </r>
  <r>
    <n v="261"/>
    <x v="5"/>
    <x v="10"/>
    <n v="2024"/>
    <x v="0"/>
    <s v=" "/>
    <s v=" "/>
    <x v="0"/>
    <x v="0"/>
    <x v="1"/>
    <n v="36"/>
    <x v="4"/>
    <x v="3"/>
    <x v="10"/>
  </r>
  <r>
    <n v="262"/>
    <x v="3"/>
    <x v="11"/>
    <n v="2021"/>
    <x v="3"/>
    <n v="2024"/>
    <n v="4"/>
    <x v="2"/>
    <x v="1"/>
    <x v="0"/>
    <n v="58"/>
    <x v="1"/>
    <x v="0"/>
    <x v="4"/>
  </r>
  <r>
    <n v="263"/>
    <x v="0"/>
    <x v="12"/>
    <n v="2018"/>
    <x v="4"/>
    <n v="2020"/>
    <n v="3"/>
    <x v="3"/>
    <x v="1"/>
    <x v="0"/>
    <n v="43"/>
    <x v="3"/>
    <x v="6"/>
    <x v="9"/>
  </r>
  <r>
    <n v="264"/>
    <x v="1"/>
    <x v="13"/>
    <n v="2024"/>
    <x v="0"/>
    <s v=" "/>
    <s v=" "/>
    <x v="0"/>
    <x v="0"/>
    <x v="0"/>
    <n v="40"/>
    <x v="3"/>
    <x v="0"/>
    <x v="9"/>
  </r>
  <r>
    <n v="265"/>
    <x v="1"/>
    <x v="14"/>
    <n v="2018"/>
    <x v="0"/>
    <s v=" "/>
    <s v=" "/>
    <x v="0"/>
    <x v="0"/>
    <x v="1"/>
    <n v="42"/>
    <x v="3"/>
    <x v="0"/>
    <x v="0"/>
  </r>
  <r>
    <n v="266"/>
    <x v="0"/>
    <x v="15"/>
    <n v="2019"/>
    <x v="5"/>
    <n v="2022"/>
    <n v="4"/>
    <x v="4"/>
    <x v="1"/>
    <x v="0"/>
    <n v="35"/>
    <x v="4"/>
    <x v="1"/>
    <x v="1"/>
  </r>
  <r>
    <n v="267"/>
    <x v="3"/>
    <x v="16"/>
    <n v="2019"/>
    <x v="6"/>
    <n v="2020"/>
    <n v="2"/>
    <x v="3"/>
    <x v="1"/>
    <x v="1"/>
    <n v="31"/>
    <x v="4"/>
    <x v="0"/>
    <x v="2"/>
  </r>
  <r>
    <n v="268"/>
    <x v="5"/>
    <x v="17"/>
    <n v="2022"/>
    <x v="0"/>
    <s v=" "/>
    <s v=" "/>
    <x v="0"/>
    <x v="0"/>
    <x v="0"/>
    <n v="51"/>
    <x v="1"/>
    <x v="2"/>
    <x v="3"/>
  </r>
  <r>
    <n v="269"/>
    <x v="0"/>
    <x v="18"/>
    <n v="2024"/>
    <x v="0"/>
    <s v=" "/>
    <s v=" "/>
    <x v="0"/>
    <x v="0"/>
    <x v="1"/>
    <n v="48"/>
    <x v="3"/>
    <x v="5"/>
    <x v="4"/>
  </r>
  <r>
    <n v="270"/>
    <x v="3"/>
    <x v="19"/>
    <n v="2019"/>
    <x v="7"/>
    <n v="2022"/>
    <n v="4"/>
    <x v="5"/>
    <x v="1"/>
    <x v="1"/>
    <n v="41"/>
    <x v="3"/>
    <x v="0"/>
    <x v="5"/>
  </r>
  <r>
    <n v="271"/>
    <x v="5"/>
    <x v="20"/>
    <n v="2021"/>
    <x v="8"/>
    <n v="2024"/>
    <n v="4"/>
    <x v="2"/>
    <x v="1"/>
    <x v="0"/>
    <n v="63"/>
    <x v="2"/>
    <x v="1"/>
    <x v="6"/>
  </r>
  <r>
    <n v="272"/>
    <x v="2"/>
    <x v="21"/>
    <n v="2023"/>
    <x v="9"/>
    <n v="2024"/>
    <n v="2"/>
    <x v="4"/>
    <x v="1"/>
    <x v="1"/>
    <n v="24"/>
    <x v="0"/>
    <x v="1"/>
    <x v="7"/>
  </r>
  <r>
    <n v="273"/>
    <x v="1"/>
    <x v="22"/>
    <n v="2023"/>
    <x v="0"/>
    <s v=" "/>
    <s v=" "/>
    <x v="0"/>
    <x v="0"/>
    <x v="1"/>
    <n v="41"/>
    <x v="3"/>
    <x v="2"/>
    <x v="8"/>
  </r>
  <r>
    <n v="274"/>
    <x v="2"/>
    <x v="23"/>
    <n v="2024"/>
    <x v="0"/>
    <s v=" "/>
    <s v=" "/>
    <x v="0"/>
    <x v="0"/>
    <x v="0"/>
    <n v="40"/>
    <x v="3"/>
    <x v="3"/>
    <x v="9"/>
  </r>
  <r>
    <n v="275"/>
    <x v="0"/>
    <x v="24"/>
    <n v="2019"/>
    <x v="0"/>
    <s v=" "/>
    <s v=" "/>
    <x v="0"/>
    <x v="0"/>
    <x v="0"/>
    <n v="48"/>
    <x v="3"/>
    <x v="0"/>
    <x v="10"/>
  </r>
  <r>
    <n v="276"/>
    <x v="1"/>
    <x v="25"/>
    <n v="2022"/>
    <x v="0"/>
    <s v=" "/>
    <s v=" "/>
    <x v="0"/>
    <x v="0"/>
    <x v="0"/>
    <n v="52"/>
    <x v="1"/>
    <x v="6"/>
    <x v="2"/>
  </r>
  <r>
    <n v="277"/>
    <x v="4"/>
    <x v="26"/>
    <n v="2020"/>
    <x v="10"/>
    <n v="2021"/>
    <n v="2"/>
    <x v="6"/>
    <x v="1"/>
    <x v="1"/>
    <n v="33"/>
    <x v="4"/>
    <x v="0"/>
    <x v="4"/>
  </r>
  <r>
    <n v="278"/>
    <x v="2"/>
    <x v="27"/>
    <n v="2023"/>
    <x v="0"/>
    <s v=" "/>
    <s v=" "/>
    <x v="0"/>
    <x v="0"/>
    <x v="1"/>
    <n v="51"/>
    <x v="1"/>
    <x v="0"/>
    <x v="9"/>
  </r>
  <r>
    <n v="279"/>
    <x v="0"/>
    <x v="28"/>
    <n v="2021"/>
    <x v="11"/>
    <n v="2022"/>
    <n v="2"/>
    <x v="3"/>
    <x v="1"/>
    <x v="0"/>
    <n v="46"/>
    <x v="3"/>
    <x v="1"/>
    <x v="1"/>
  </r>
  <r>
    <n v="280"/>
    <x v="2"/>
    <x v="29"/>
    <n v="2018"/>
    <x v="12"/>
    <n v="2021"/>
    <n v="4"/>
    <x v="1"/>
    <x v="1"/>
    <x v="1"/>
    <n v="53"/>
    <x v="1"/>
    <x v="0"/>
    <x v="2"/>
  </r>
  <r>
    <n v="281"/>
    <x v="5"/>
    <x v="30"/>
    <n v="2021"/>
    <x v="0"/>
    <s v=" "/>
    <s v=" "/>
    <x v="0"/>
    <x v="0"/>
    <x v="0"/>
    <n v="35"/>
    <x v="4"/>
    <x v="2"/>
    <x v="3"/>
  </r>
  <r>
    <n v="282"/>
    <x v="0"/>
    <x v="31"/>
    <n v="2024"/>
    <x v="0"/>
    <s v=" "/>
    <s v=" "/>
    <x v="0"/>
    <x v="0"/>
    <x v="0"/>
    <n v="32"/>
    <x v="4"/>
    <x v="7"/>
    <x v="4"/>
  </r>
  <r>
    <n v="283"/>
    <x v="5"/>
    <x v="32"/>
    <n v="2021"/>
    <x v="0"/>
    <s v=" "/>
    <s v=" "/>
    <x v="0"/>
    <x v="0"/>
    <x v="0"/>
    <n v="46"/>
    <x v="3"/>
    <x v="0"/>
    <x v="9"/>
  </r>
  <r>
    <n v="284"/>
    <x v="0"/>
    <x v="33"/>
    <n v="2020"/>
    <x v="0"/>
    <s v=" "/>
    <s v=" "/>
    <x v="0"/>
    <x v="0"/>
    <x v="1"/>
    <n v="50"/>
    <x v="1"/>
    <x v="1"/>
    <x v="0"/>
  </r>
  <r>
    <n v="285"/>
    <x v="2"/>
    <x v="34"/>
    <n v="2018"/>
    <x v="13"/>
    <n v="2022"/>
    <n v="5"/>
    <x v="2"/>
    <x v="1"/>
    <x v="0"/>
    <n v="64"/>
    <x v="2"/>
    <x v="1"/>
    <x v="2"/>
  </r>
  <r>
    <n v="286"/>
    <x v="2"/>
    <x v="35"/>
    <n v="2018"/>
    <x v="0"/>
    <s v=" "/>
    <s v=" "/>
    <x v="0"/>
    <x v="0"/>
    <x v="1"/>
    <n v="29"/>
    <x v="0"/>
    <x v="2"/>
    <x v="3"/>
  </r>
  <r>
    <n v="287"/>
    <x v="2"/>
    <x v="36"/>
    <n v="2021"/>
    <x v="14"/>
    <n v="2024"/>
    <n v="4"/>
    <x v="1"/>
    <x v="1"/>
    <x v="0"/>
    <n v="27"/>
    <x v="0"/>
    <x v="3"/>
    <x v="10"/>
  </r>
  <r>
    <n v="288"/>
    <x v="4"/>
    <x v="37"/>
    <n v="2021"/>
    <x v="15"/>
    <n v="2023"/>
    <n v="3"/>
    <x v="4"/>
    <x v="1"/>
    <x v="1"/>
    <n v="31"/>
    <x v="4"/>
    <x v="0"/>
    <x v="4"/>
  </r>
  <r>
    <n v="289"/>
    <x v="0"/>
    <x v="38"/>
    <n v="2019"/>
    <x v="16"/>
    <n v="2022"/>
    <n v="4"/>
    <x v="3"/>
    <x v="1"/>
    <x v="1"/>
    <n v="24"/>
    <x v="0"/>
    <x v="7"/>
    <x v="9"/>
  </r>
  <r>
    <n v="290"/>
    <x v="5"/>
    <x v="39"/>
    <n v="2020"/>
    <x v="0"/>
    <s v=" "/>
    <s v=" "/>
    <x v="0"/>
    <x v="0"/>
    <x v="0"/>
    <n v="37"/>
    <x v="4"/>
    <x v="0"/>
    <x v="10"/>
  </r>
  <r>
    <n v="291"/>
    <x v="4"/>
    <x v="40"/>
    <n v="2020"/>
    <x v="0"/>
    <s v=" "/>
    <s v=" "/>
    <x v="0"/>
    <x v="0"/>
    <x v="1"/>
    <n v="23"/>
    <x v="0"/>
    <x v="0"/>
    <x v="4"/>
  </r>
  <r>
    <n v="292"/>
    <x v="4"/>
    <x v="41"/>
    <n v="2024"/>
    <x v="0"/>
    <s v=" "/>
    <s v=" "/>
    <x v="0"/>
    <x v="0"/>
    <x v="1"/>
    <n v="31"/>
    <x v="4"/>
    <x v="1"/>
    <x v="9"/>
  </r>
  <r>
    <n v="293"/>
    <x v="5"/>
    <x v="42"/>
    <n v="2024"/>
    <x v="0"/>
    <s v=" "/>
    <s v=" "/>
    <x v="0"/>
    <x v="0"/>
    <x v="0"/>
    <n v="52"/>
    <x v="1"/>
    <x v="0"/>
    <x v="9"/>
  </r>
  <r>
    <n v="294"/>
    <x v="2"/>
    <x v="43"/>
    <n v="2022"/>
    <x v="0"/>
    <s v=" "/>
    <s v=" "/>
    <x v="0"/>
    <x v="0"/>
    <x v="1"/>
    <n v="25"/>
    <x v="0"/>
    <x v="2"/>
    <x v="0"/>
  </r>
  <r>
    <n v="295"/>
    <x v="1"/>
    <x v="44"/>
    <n v="2023"/>
    <x v="0"/>
    <s v=" "/>
    <s v=" "/>
    <x v="0"/>
    <x v="0"/>
    <x v="1"/>
    <n v="46"/>
    <x v="3"/>
    <x v="5"/>
    <x v="2"/>
  </r>
  <r>
    <n v="296"/>
    <x v="1"/>
    <x v="45"/>
    <n v="2019"/>
    <x v="17"/>
    <n v="2021"/>
    <n v="3"/>
    <x v="5"/>
    <x v="1"/>
    <x v="0"/>
    <n v="24"/>
    <x v="0"/>
    <x v="0"/>
    <x v="3"/>
  </r>
  <r>
    <n v="297"/>
    <x v="1"/>
    <x v="46"/>
    <n v="2021"/>
    <x v="18"/>
    <n v="2024"/>
    <n v="4"/>
    <x v="5"/>
    <x v="1"/>
    <x v="1"/>
    <n v="38"/>
    <x v="4"/>
    <x v="1"/>
    <x v="10"/>
  </r>
  <r>
    <n v="298"/>
    <x v="3"/>
    <x v="47"/>
    <n v="2019"/>
    <x v="0"/>
    <s v=" "/>
    <s v=" "/>
    <x v="0"/>
    <x v="0"/>
    <x v="0"/>
    <n v="49"/>
    <x v="3"/>
    <x v="1"/>
    <x v="4"/>
  </r>
  <r>
    <n v="299"/>
    <x v="4"/>
    <x v="48"/>
    <n v="2024"/>
    <x v="0"/>
    <s v=" "/>
    <s v=" "/>
    <x v="0"/>
    <x v="0"/>
    <x v="0"/>
    <n v="31"/>
    <x v="4"/>
    <x v="2"/>
    <x v="9"/>
  </r>
  <r>
    <n v="300"/>
    <x v="0"/>
    <x v="49"/>
    <n v="2018"/>
    <x v="19"/>
    <n v="2022"/>
    <n v="5"/>
    <x v="4"/>
    <x v="1"/>
    <x v="0"/>
    <n v="51"/>
    <x v="1"/>
    <x v="3"/>
    <x v="0"/>
  </r>
  <r>
    <n v="301"/>
    <x v="0"/>
    <x v="0"/>
    <n v="2018"/>
    <x v="0"/>
    <s v=" "/>
    <s v=" "/>
    <x v="0"/>
    <x v="0"/>
    <x v="1"/>
    <n v="27"/>
    <x v="0"/>
    <x v="0"/>
    <x v="1"/>
  </r>
  <r>
    <n v="302"/>
    <x v="1"/>
    <x v="1"/>
    <n v="2020"/>
    <x v="0"/>
    <s v=" "/>
    <s v=" "/>
    <x v="0"/>
    <x v="0"/>
    <x v="0"/>
    <n v="22"/>
    <x v="0"/>
    <x v="4"/>
    <x v="2"/>
  </r>
  <r>
    <n v="303"/>
    <x v="1"/>
    <x v="2"/>
    <n v="2021"/>
    <x v="0"/>
    <s v=" "/>
    <s v=" "/>
    <x v="0"/>
    <x v="0"/>
    <x v="1"/>
    <n v="50"/>
    <x v="1"/>
    <x v="0"/>
    <x v="3"/>
  </r>
  <r>
    <n v="304"/>
    <x v="1"/>
    <x v="3"/>
    <n v="2023"/>
    <x v="0"/>
    <s v=" "/>
    <s v=" "/>
    <x v="0"/>
    <x v="0"/>
    <x v="0"/>
    <n v="24"/>
    <x v="0"/>
    <x v="0"/>
    <x v="4"/>
  </r>
  <r>
    <n v="305"/>
    <x v="1"/>
    <x v="4"/>
    <n v="2019"/>
    <x v="1"/>
    <n v="2021"/>
    <n v="3"/>
    <x v="1"/>
    <x v="1"/>
    <x v="1"/>
    <n v="50"/>
    <x v="1"/>
    <x v="1"/>
    <x v="5"/>
  </r>
  <r>
    <n v="306"/>
    <x v="2"/>
    <x v="5"/>
    <n v="2022"/>
    <x v="2"/>
    <n v="2023"/>
    <n v="2"/>
    <x v="2"/>
    <x v="1"/>
    <x v="1"/>
    <n v="63"/>
    <x v="2"/>
    <x v="0"/>
    <x v="6"/>
  </r>
  <r>
    <n v="307"/>
    <x v="3"/>
    <x v="6"/>
    <n v="2024"/>
    <x v="0"/>
    <s v=" "/>
    <s v=" "/>
    <x v="0"/>
    <x v="0"/>
    <x v="0"/>
    <n v="40"/>
    <x v="3"/>
    <x v="2"/>
    <x v="7"/>
  </r>
  <r>
    <n v="308"/>
    <x v="0"/>
    <x v="7"/>
    <n v="2018"/>
    <x v="0"/>
    <s v=" "/>
    <s v=" "/>
    <x v="0"/>
    <x v="0"/>
    <x v="1"/>
    <n v="32"/>
    <x v="4"/>
    <x v="7"/>
    <x v="8"/>
  </r>
  <r>
    <n v="309"/>
    <x v="1"/>
    <x v="8"/>
    <n v="2023"/>
    <x v="0"/>
    <s v=" "/>
    <s v=" "/>
    <x v="0"/>
    <x v="0"/>
    <x v="1"/>
    <n v="50"/>
    <x v="1"/>
    <x v="0"/>
    <x v="9"/>
  </r>
  <r>
    <n v="310"/>
    <x v="4"/>
    <x v="9"/>
    <n v="2024"/>
    <x v="0"/>
    <s v=" "/>
    <s v=" "/>
    <x v="0"/>
    <x v="0"/>
    <x v="0"/>
    <n v="24"/>
    <x v="0"/>
    <x v="1"/>
    <x v="10"/>
  </r>
  <r>
    <n v="311"/>
    <x v="5"/>
    <x v="10"/>
    <n v="2024"/>
    <x v="0"/>
    <s v=" "/>
    <s v=" "/>
    <x v="0"/>
    <x v="0"/>
    <x v="1"/>
    <n v="36"/>
    <x v="4"/>
    <x v="1"/>
    <x v="2"/>
  </r>
  <r>
    <n v="312"/>
    <x v="3"/>
    <x v="11"/>
    <n v="2021"/>
    <x v="3"/>
    <n v="2024"/>
    <n v="4"/>
    <x v="2"/>
    <x v="1"/>
    <x v="1"/>
    <n v="63"/>
    <x v="2"/>
    <x v="2"/>
    <x v="4"/>
  </r>
  <r>
    <n v="313"/>
    <x v="0"/>
    <x v="12"/>
    <n v="2018"/>
    <x v="4"/>
    <n v="2020"/>
    <n v="3"/>
    <x v="3"/>
    <x v="1"/>
    <x v="1"/>
    <n v="43"/>
    <x v="3"/>
    <x v="3"/>
    <x v="9"/>
  </r>
  <r>
    <n v="314"/>
    <x v="1"/>
    <x v="13"/>
    <n v="2024"/>
    <x v="0"/>
    <s v=" "/>
    <s v=" "/>
    <x v="0"/>
    <x v="0"/>
    <x v="0"/>
    <n v="40"/>
    <x v="3"/>
    <x v="0"/>
    <x v="1"/>
  </r>
  <r>
    <n v="315"/>
    <x v="1"/>
    <x v="14"/>
    <n v="2018"/>
    <x v="0"/>
    <s v=" "/>
    <s v=" "/>
    <x v="0"/>
    <x v="0"/>
    <x v="1"/>
    <n v="42"/>
    <x v="3"/>
    <x v="4"/>
    <x v="2"/>
  </r>
  <r>
    <n v="316"/>
    <x v="0"/>
    <x v="15"/>
    <n v="2019"/>
    <x v="5"/>
    <n v="2022"/>
    <n v="4"/>
    <x v="4"/>
    <x v="1"/>
    <x v="0"/>
    <n v="35"/>
    <x v="4"/>
    <x v="0"/>
    <x v="3"/>
  </r>
  <r>
    <n v="317"/>
    <x v="3"/>
    <x v="16"/>
    <n v="2019"/>
    <x v="6"/>
    <n v="2020"/>
    <n v="2"/>
    <x v="7"/>
    <x v="1"/>
    <x v="0"/>
    <n v="31"/>
    <x v="4"/>
    <x v="0"/>
    <x v="4"/>
  </r>
  <r>
    <n v="318"/>
    <x v="5"/>
    <x v="17"/>
    <n v="2022"/>
    <x v="0"/>
    <s v=" "/>
    <s v=" "/>
    <x v="0"/>
    <x v="0"/>
    <x v="0"/>
    <n v="51"/>
    <x v="1"/>
    <x v="1"/>
    <x v="9"/>
  </r>
  <r>
    <n v="319"/>
    <x v="0"/>
    <x v="18"/>
    <n v="2024"/>
    <x v="0"/>
    <s v=" "/>
    <s v=" "/>
    <x v="0"/>
    <x v="0"/>
    <x v="1"/>
    <n v="48"/>
    <x v="3"/>
    <x v="0"/>
    <x v="0"/>
  </r>
  <r>
    <n v="320"/>
    <x v="3"/>
    <x v="19"/>
    <n v="2019"/>
    <x v="7"/>
    <n v="2022"/>
    <n v="4"/>
    <x v="5"/>
    <x v="1"/>
    <x v="0"/>
    <n v="41"/>
    <x v="3"/>
    <x v="2"/>
    <x v="2"/>
  </r>
  <r>
    <n v="321"/>
    <x v="5"/>
    <x v="20"/>
    <n v="2021"/>
    <x v="8"/>
    <n v="2024"/>
    <n v="4"/>
    <x v="2"/>
    <x v="1"/>
    <x v="1"/>
    <n v="63"/>
    <x v="2"/>
    <x v="5"/>
    <x v="3"/>
  </r>
  <r>
    <n v="322"/>
    <x v="2"/>
    <x v="21"/>
    <n v="2023"/>
    <x v="9"/>
    <n v="2024"/>
    <n v="2"/>
    <x v="4"/>
    <x v="1"/>
    <x v="0"/>
    <n v="24"/>
    <x v="0"/>
    <x v="0"/>
    <x v="10"/>
  </r>
  <r>
    <n v="323"/>
    <x v="1"/>
    <x v="22"/>
    <n v="2023"/>
    <x v="0"/>
    <s v=" "/>
    <s v=" "/>
    <x v="0"/>
    <x v="0"/>
    <x v="1"/>
    <n v="41"/>
    <x v="3"/>
    <x v="1"/>
    <x v="4"/>
  </r>
  <r>
    <n v="324"/>
    <x v="2"/>
    <x v="23"/>
    <n v="2024"/>
    <x v="0"/>
    <s v=" "/>
    <s v=" "/>
    <x v="0"/>
    <x v="0"/>
    <x v="1"/>
    <n v="40"/>
    <x v="3"/>
    <x v="1"/>
    <x v="9"/>
  </r>
  <r>
    <n v="325"/>
    <x v="0"/>
    <x v="24"/>
    <n v="2019"/>
    <x v="0"/>
    <s v=" "/>
    <s v=" "/>
    <x v="0"/>
    <x v="0"/>
    <x v="0"/>
    <n v="48"/>
    <x v="3"/>
    <x v="2"/>
    <x v="9"/>
  </r>
  <r>
    <n v="326"/>
    <x v="1"/>
    <x v="25"/>
    <n v="2022"/>
    <x v="0"/>
    <s v=" "/>
    <s v=" "/>
    <x v="0"/>
    <x v="0"/>
    <x v="1"/>
    <n v="52"/>
    <x v="1"/>
    <x v="3"/>
    <x v="4"/>
  </r>
  <r>
    <n v="327"/>
    <x v="4"/>
    <x v="26"/>
    <n v="2020"/>
    <x v="10"/>
    <n v="2021"/>
    <n v="2"/>
    <x v="6"/>
    <x v="1"/>
    <x v="1"/>
    <n v="33"/>
    <x v="4"/>
    <x v="0"/>
    <x v="9"/>
  </r>
  <r>
    <n v="328"/>
    <x v="2"/>
    <x v="27"/>
    <n v="2023"/>
    <x v="0"/>
    <s v=" "/>
    <s v=" "/>
    <x v="0"/>
    <x v="0"/>
    <x v="0"/>
    <n v="51"/>
    <x v="1"/>
    <x v="6"/>
    <x v="1"/>
  </r>
  <r>
    <n v="329"/>
    <x v="0"/>
    <x v="28"/>
    <n v="2021"/>
    <x v="11"/>
    <n v="2022"/>
    <n v="2"/>
    <x v="3"/>
    <x v="1"/>
    <x v="1"/>
    <n v="46"/>
    <x v="3"/>
    <x v="0"/>
    <x v="2"/>
  </r>
  <r>
    <n v="330"/>
    <x v="2"/>
    <x v="29"/>
    <n v="2018"/>
    <x v="12"/>
    <n v="2021"/>
    <n v="4"/>
    <x v="1"/>
    <x v="1"/>
    <x v="1"/>
    <n v="53"/>
    <x v="1"/>
    <x v="0"/>
    <x v="3"/>
  </r>
  <r>
    <n v="331"/>
    <x v="5"/>
    <x v="30"/>
    <n v="2021"/>
    <x v="0"/>
    <s v=" "/>
    <s v=" "/>
    <x v="0"/>
    <x v="0"/>
    <x v="1"/>
    <n v="35"/>
    <x v="4"/>
    <x v="1"/>
    <x v="4"/>
  </r>
  <r>
    <n v="332"/>
    <x v="0"/>
    <x v="31"/>
    <n v="2024"/>
    <x v="0"/>
    <s v=" "/>
    <s v=" "/>
    <x v="0"/>
    <x v="0"/>
    <x v="0"/>
    <n v="32"/>
    <x v="4"/>
    <x v="0"/>
    <x v="3"/>
  </r>
  <r>
    <n v="333"/>
    <x v="5"/>
    <x v="32"/>
    <n v="2021"/>
    <x v="0"/>
    <s v=" "/>
    <s v=" "/>
    <x v="0"/>
    <x v="0"/>
    <x v="1"/>
    <n v="46"/>
    <x v="3"/>
    <x v="2"/>
    <x v="4"/>
  </r>
  <r>
    <n v="334"/>
    <x v="0"/>
    <x v="33"/>
    <n v="2020"/>
    <x v="0"/>
    <s v=" "/>
    <s v=" "/>
    <x v="0"/>
    <x v="0"/>
    <x v="0"/>
    <n v="50"/>
    <x v="1"/>
    <x v="5"/>
    <x v="9"/>
  </r>
  <r>
    <n v="335"/>
    <x v="2"/>
    <x v="34"/>
    <n v="2018"/>
    <x v="13"/>
    <n v="2022"/>
    <n v="5"/>
    <x v="2"/>
    <x v="1"/>
    <x v="0"/>
    <n v="64"/>
    <x v="2"/>
    <x v="0"/>
    <x v="0"/>
  </r>
  <r>
    <n v="336"/>
    <x v="2"/>
    <x v="35"/>
    <n v="2018"/>
    <x v="0"/>
    <s v=" "/>
    <s v=" "/>
    <x v="0"/>
    <x v="0"/>
    <x v="0"/>
    <n v="29"/>
    <x v="0"/>
    <x v="1"/>
    <x v="2"/>
  </r>
  <r>
    <n v="337"/>
    <x v="2"/>
    <x v="36"/>
    <n v="2021"/>
    <x v="14"/>
    <n v="2024"/>
    <n v="4"/>
    <x v="1"/>
    <x v="1"/>
    <x v="0"/>
    <n v="27"/>
    <x v="0"/>
    <x v="1"/>
    <x v="3"/>
  </r>
  <r>
    <n v="338"/>
    <x v="4"/>
    <x v="37"/>
    <n v="2021"/>
    <x v="15"/>
    <n v="2023"/>
    <n v="3"/>
    <x v="4"/>
    <x v="1"/>
    <x v="1"/>
    <n v="31"/>
    <x v="4"/>
    <x v="2"/>
    <x v="10"/>
  </r>
  <r>
    <n v="339"/>
    <x v="0"/>
    <x v="38"/>
    <n v="2019"/>
    <x v="16"/>
    <n v="2022"/>
    <n v="4"/>
    <x v="7"/>
    <x v="1"/>
    <x v="1"/>
    <n v="24"/>
    <x v="0"/>
    <x v="3"/>
    <x v="4"/>
  </r>
  <r>
    <n v="340"/>
    <x v="5"/>
    <x v="39"/>
    <n v="2020"/>
    <x v="0"/>
    <s v=" "/>
    <s v=" "/>
    <x v="0"/>
    <x v="0"/>
    <x v="0"/>
    <n v="37"/>
    <x v="4"/>
    <x v="0"/>
    <x v="9"/>
  </r>
  <r>
    <n v="341"/>
    <x v="4"/>
    <x v="40"/>
    <n v="2020"/>
    <x v="0"/>
    <s v=" "/>
    <s v=" "/>
    <x v="0"/>
    <x v="0"/>
    <x v="0"/>
    <n v="23"/>
    <x v="0"/>
    <x v="4"/>
    <x v="0"/>
  </r>
  <r>
    <n v="342"/>
    <x v="4"/>
    <x v="41"/>
    <n v="2024"/>
    <x v="0"/>
    <s v=" "/>
    <s v=" "/>
    <x v="0"/>
    <x v="0"/>
    <x v="0"/>
    <n v="31"/>
    <x v="4"/>
    <x v="0"/>
    <x v="1"/>
  </r>
  <r>
    <n v="343"/>
    <x v="5"/>
    <x v="42"/>
    <n v="2024"/>
    <x v="0"/>
    <s v=" "/>
    <s v=" "/>
    <x v="0"/>
    <x v="0"/>
    <x v="1"/>
    <n v="52"/>
    <x v="1"/>
    <x v="0"/>
    <x v="2"/>
  </r>
  <r>
    <n v="344"/>
    <x v="2"/>
    <x v="43"/>
    <n v="2022"/>
    <x v="0"/>
    <s v=" "/>
    <s v=" "/>
    <x v="0"/>
    <x v="0"/>
    <x v="0"/>
    <n v="25"/>
    <x v="0"/>
    <x v="1"/>
    <x v="3"/>
  </r>
  <r>
    <n v="345"/>
    <x v="1"/>
    <x v="44"/>
    <n v="2023"/>
    <x v="0"/>
    <s v=" "/>
    <s v=" "/>
    <x v="0"/>
    <x v="0"/>
    <x v="0"/>
    <n v="46"/>
    <x v="3"/>
    <x v="0"/>
    <x v="4"/>
  </r>
  <r>
    <n v="346"/>
    <x v="1"/>
    <x v="45"/>
    <n v="2019"/>
    <x v="17"/>
    <n v="2021"/>
    <n v="3"/>
    <x v="5"/>
    <x v="1"/>
    <x v="1"/>
    <n v="24"/>
    <x v="0"/>
    <x v="2"/>
    <x v="5"/>
  </r>
  <r>
    <n v="347"/>
    <x v="1"/>
    <x v="46"/>
    <n v="2021"/>
    <x v="18"/>
    <n v="2024"/>
    <n v="4"/>
    <x v="5"/>
    <x v="1"/>
    <x v="0"/>
    <n v="38"/>
    <x v="4"/>
    <x v="5"/>
    <x v="6"/>
  </r>
  <r>
    <n v="348"/>
    <x v="3"/>
    <x v="47"/>
    <n v="2019"/>
    <x v="0"/>
    <s v=" "/>
    <s v=" "/>
    <x v="0"/>
    <x v="0"/>
    <x v="1"/>
    <n v="49"/>
    <x v="3"/>
    <x v="0"/>
    <x v="7"/>
  </r>
  <r>
    <n v="349"/>
    <x v="4"/>
    <x v="48"/>
    <n v="2024"/>
    <x v="0"/>
    <s v=" "/>
    <s v=" "/>
    <x v="0"/>
    <x v="0"/>
    <x v="1"/>
    <n v="31"/>
    <x v="4"/>
    <x v="1"/>
    <x v="8"/>
  </r>
  <r>
    <n v="350"/>
    <x v="0"/>
    <x v="49"/>
    <n v="2018"/>
    <x v="19"/>
    <n v="2022"/>
    <n v="5"/>
    <x v="4"/>
    <x v="1"/>
    <x v="0"/>
    <n v="51"/>
    <x v="1"/>
    <x v="1"/>
    <x v="9"/>
  </r>
  <r>
    <n v="351"/>
    <x v="0"/>
    <x v="0"/>
    <n v="2018"/>
    <x v="0"/>
    <s v=" "/>
    <s v=" "/>
    <x v="0"/>
    <x v="0"/>
    <x v="0"/>
    <n v="27"/>
    <x v="0"/>
    <x v="2"/>
    <x v="10"/>
  </r>
  <r>
    <n v="352"/>
    <x v="1"/>
    <x v="1"/>
    <n v="2020"/>
    <x v="0"/>
    <s v=" "/>
    <s v=" "/>
    <x v="0"/>
    <x v="0"/>
    <x v="0"/>
    <n v="22"/>
    <x v="0"/>
    <x v="3"/>
    <x v="2"/>
  </r>
  <r>
    <n v="353"/>
    <x v="1"/>
    <x v="2"/>
    <n v="2021"/>
    <x v="0"/>
    <s v=" "/>
    <s v=" "/>
    <x v="0"/>
    <x v="0"/>
    <x v="1"/>
    <n v="50"/>
    <x v="1"/>
    <x v="0"/>
    <x v="4"/>
  </r>
  <r>
    <n v="354"/>
    <x v="1"/>
    <x v="3"/>
    <n v="2023"/>
    <x v="0"/>
    <s v=" "/>
    <s v=" "/>
    <x v="0"/>
    <x v="0"/>
    <x v="1"/>
    <n v="24"/>
    <x v="0"/>
    <x v="4"/>
    <x v="9"/>
  </r>
  <r>
    <n v="355"/>
    <x v="1"/>
    <x v="4"/>
    <n v="2019"/>
    <x v="1"/>
    <n v="2021"/>
    <n v="3"/>
    <x v="7"/>
    <x v="1"/>
    <x v="0"/>
    <n v="50"/>
    <x v="1"/>
    <x v="0"/>
    <x v="1"/>
  </r>
  <r>
    <n v="356"/>
    <x v="2"/>
    <x v="5"/>
    <n v="2022"/>
    <x v="2"/>
    <n v="2023"/>
    <n v="2"/>
    <x v="7"/>
    <x v="1"/>
    <x v="1"/>
    <n v="28"/>
    <x v="0"/>
    <x v="0"/>
    <x v="2"/>
  </r>
  <r>
    <n v="357"/>
    <x v="3"/>
    <x v="6"/>
    <n v="2024"/>
    <x v="0"/>
    <s v=" "/>
    <s v=" "/>
    <x v="0"/>
    <x v="0"/>
    <x v="1"/>
    <n v="40"/>
    <x v="3"/>
    <x v="1"/>
    <x v="3"/>
  </r>
  <r>
    <n v="358"/>
    <x v="0"/>
    <x v="7"/>
    <n v="2018"/>
    <x v="0"/>
    <s v=" "/>
    <s v=" "/>
    <x v="0"/>
    <x v="0"/>
    <x v="0"/>
    <n v="32"/>
    <x v="4"/>
    <x v="0"/>
    <x v="4"/>
  </r>
  <r>
    <n v="359"/>
    <x v="1"/>
    <x v="8"/>
    <n v="2023"/>
    <x v="0"/>
    <s v=" "/>
    <s v=" "/>
    <x v="0"/>
    <x v="0"/>
    <x v="0"/>
    <n v="50"/>
    <x v="1"/>
    <x v="2"/>
    <x v="9"/>
  </r>
  <r>
    <n v="360"/>
    <x v="4"/>
    <x v="9"/>
    <n v="2024"/>
    <x v="0"/>
    <s v=" "/>
    <s v=" "/>
    <x v="0"/>
    <x v="0"/>
    <x v="0"/>
    <n v="24"/>
    <x v="0"/>
    <x v="7"/>
    <x v="0"/>
  </r>
  <r>
    <n v="361"/>
    <x v="5"/>
    <x v="10"/>
    <n v="2024"/>
    <x v="0"/>
    <s v=" "/>
    <s v=" "/>
    <x v="0"/>
    <x v="0"/>
    <x v="0"/>
    <n v="36"/>
    <x v="4"/>
    <x v="0"/>
    <x v="2"/>
  </r>
  <r>
    <n v="362"/>
    <x v="3"/>
    <x v="11"/>
    <n v="2021"/>
    <x v="3"/>
    <n v="2024"/>
    <n v="4"/>
    <x v="7"/>
    <x v="1"/>
    <x v="1"/>
    <n v="49"/>
    <x v="3"/>
    <x v="1"/>
    <x v="3"/>
  </r>
  <r>
    <n v="363"/>
    <x v="0"/>
    <x v="12"/>
    <n v="2018"/>
    <x v="4"/>
    <n v="2020"/>
    <n v="3"/>
    <x v="3"/>
    <x v="1"/>
    <x v="1"/>
    <n v="43"/>
    <x v="3"/>
    <x v="1"/>
    <x v="10"/>
  </r>
  <r>
    <n v="364"/>
    <x v="1"/>
    <x v="13"/>
    <n v="2024"/>
    <x v="0"/>
    <s v=" "/>
    <s v=" "/>
    <x v="0"/>
    <x v="0"/>
    <x v="1"/>
    <n v="40"/>
    <x v="3"/>
    <x v="2"/>
    <x v="4"/>
  </r>
  <r>
    <n v="365"/>
    <x v="1"/>
    <x v="14"/>
    <n v="2018"/>
    <x v="0"/>
    <s v=" "/>
    <s v=" "/>
    <x v="0"/>
    <x v="0"/>
    <x v="0"/>
    <n v="42"/>
    <x v="3"/>
    <x v="3"/>
    <x v="9"/>
  </r>
  <r>
    <n v="366"/>
    <x v="0"/>
    <x v="15"/>
    <n v="2019"/>
    <x v="5"/>
    <n v="2022"/>
    <n v="4"/>
    <x v="4"/>
    <x v="1"/>
    <x v="1"/>
    <n v="35"/>
    <x v="4"/>
    <x v="0"/>
    <x v="10"/>
  </r>
  <r>
    <n v="367"/>
    <x v="3"/>
    <x v="16"/>
    <n v="2019"/>
    <x v="6"/>
    <n v="2020"/>
    <n v="2"/>
    <x v="3"/>
    <x v="1"/>
    <x v="1"/>
    <n v="31"/>
    <x v="4"/>
    <x v="7"/>
    <x v="4"/>
  </r>
  <r>
    <n v="368"/>
    <x v="5"/>
    <x v="17"/>
    <n v="2022"/>
    <x v="0"/>
    <s v=" "/>
    <s v=" "/>
    <x v="0"/>
    <x v="0"/>
    <x v="0"/>
    <n v="51"/>
    <x v="1"/>
    <x v="0"/>
    <x v="9"/>
  </r>
  <r>
    <n v="369"/>
    <x v="0"/>
    <x v="18"/>
    <n v="2024"/>
    <x v="0"/>
    <s v=" "/>
    <s v=" "/>
    <x v="0"/>
    <x v="0"/>
    <x v="1"/>
    <n v="48"/>
    <x v="3"/>
    <x v="0"/>
    <x v="0"/>
  </r>
  <r>
    <n v="370"/>
    <x v="3"/>
    <x v="19"/>
    <n v="2019"/>
    <x v="7"/>
    <n v="2022"/>
    <n v="4"/>
    <x v="5"/>
    <x v="1"/>
    <x v="1"/>
    <n v="41"/>
    <x v="3"/>
    <x v="1"/>
    <x v="1"/>
  </r>
  <r>
    <n v="371"/>
    <x v="5"/>
    <x v="20"/>
    <n v="2021"/>
    <x v="8"/>
    <n v="2024"/>
    <n v="4"/>
    <x v="7"/>
    <x v="1"/>
    <x v="1"/>
    <n v="35"/>
    <x v="4"/>
    <x v="0"/>
    <x v="2"/>
  </r>
  <r>
    <n v="372"/>
    <x v="2"/>
    <x v="21"/>
    <n v="2023"/>
    <x v="9"/>
    <n v="2024"/>
    <n v="2"/>
    <x v="4"/>
    <x v="1"/>
    <x v="0"/>
    <n v="24"/>
    <x v="0"/>
    <x v="2"/>
    <x v="3"/>
  </r>
  <r>
    <n v="373"/>
    <x v="1"/>
    <x v="22"/>
    <n v="2023"/>
    <x v="0"/>
    <s v=" "/>
    <s v=" "/>
    <x v="0"/>
    <x v="0"/>
    <x v="0"/>
    <n v="41"/>
    <x v="3"/>
    <x v="5"/>
    <x v="4"/>
  </r>
  <r>
    <n v="374"/>
    <x v="2"/>
    <x v="23"/>
    <n v="2024"/>
    <x v="0"/>
    <s v=" "/>
    <s v=" "/>
    <x v="0"/>
    <x v="0"/>
    <x v="1"/>
    <n v="40"/>
    <x v="3"/>
    <x v="0"/>
    <x v="5"/>
  </r>
  <r>
    <n v="375"/>
    <x v="0"/>
    <x v="24"/>
    <n v="2019"/>
    <x v="0"/>
    <s v=" "/>
    <s v=" "/>
    <x v="0"/>
    <x v="0"/>
    <x v="1"/>
    <n v="48"/>
    <x v="3"/>
    <x v="1"/>
    <x v="6"/>
  </r>
  <r>
    <n v="376"/>
    <x v="1"/>
    <x v="25"/>
    <n v="2022"/>
    <x v="0"/>
    <s v=" "/>
    <s v=" "/>
    <x v="0"/>
    <x v="0"/>
    <x v="0"/>
    <n v="52"/>
    <x v="1"/>
    <x v="1"/>
    <x v="7"/>
  </r>
  <r>
    <n v="377"/>
    <x v="4"/>
    <x v="26"/>
    <n v="2020"/>
    <x v="10"/>
    <n v="2021"/>
    <n v="2"/>
    <x v="6"/>
    <x v="1"/>
    <x v="1"/>
    <n v="33"/>
    <x v="4"/>
    <x v="2"/>
    <x v="8"/>
  </r>
  <r>
    <n v="378"/>
    <x v="2"/>
    <x v="27"/>
    <n v="2023"/>
    <x v="0"/>
    <s v=" "/>
    <s v=" "/>
    <x v="0"/>
    <x v="0"/>
    <x v="1"/>
    <n v="51"/>
    <x v="1"/>
    <x v="3"/>
    <x v="9"/>
  </r>
  <r>
    <n v="379"/>
    <x v="0"/>
    <x v="28"/>
    <n v="2021"/>
    <x v="11"/>
    <n v="2022"/>
    <n v="2"/>
    <x v="3"/>
    <x v="1"/>
    <x v="1"/>
    <n v="46"/>
    <x v="3"/>
    <x v="0"/>
    <x v="10"/>
  </r>
  <r>
    <n v="380"/>
    <x v="2"/>
    <x v="29"/>
    <n v="2018"/>
    <x v="12"/>
    <n v="2021"/>
    <n v="4"/>
    <x v="1"/>
    <x v="1"/>
    <x v="0"/>
    <n v="53"/>
    <x v="1"/>
    <x v="6"/>
    <x v="2"/>
  </r>
  <r>
    <n v="381"/>
    <x v="5"/>
    <x v="30"/>
    <n v="2021"/>
    <x v="0"/>
    <s v=" "/>
    <s v=" "/>
    <x v="0"/>
    <x v="0"/>
    <x v="0"/>
    <n v="35"/>
    <x v="4"/>
    <x v="0"/>
    <x v="4"/>
  </r>
  <r>
    <n v="382"/>
    <x v="0"/>
    <x v="31"/>
    <n v="2024"/>
    <x v="0"/>
    <s v=" "/>
    <s v=" "/>
    <x v="0"/>
    <x v="0"/>
    <x v="1"/>
    <n v="32"/>
    <x v="4"/>
    <x v="0"/>
    <x v="9"/>
  </r>
  <r>
    <n v="383"/>
    <x v="5"/>
    <x v="32"/>
    <n v="2021"/>
    <x v="0"/>
    <s v=" "/>
    <s v=" "/>
    <x v="0"/>
    <x v="0"/>
    <x v="1"/>
    <n v="46"/>
    <x v="3"/>
    <x v="1"/>
    <x v="1"/>
  </r>
  <r>
    <n v="384"/>
    <x v="0"/>
    <x v="33"/>
    <n v="2020"/>
    <x v="0"/>
    <s v=" "/>
    <s v=" "/>
    <x v="0"/>
    <x v="0"/>
    <x v="1"/>
    <n v="50"/>
    <x v="1"/>
    <x v="0"/>
    <x v="2"/>
  </r>
  <r>
    <n v="385"/>
    <x v="2"/>
    <x v="34"/>
    <n v="2018"/>
    <x v="13"/>
    <n v="2022"/>
    <n v="5"/>
    <x v="2"/>
    <x v="1"/>
    <x v="0"/>
    <n v="60"/>
    <x v="2"/>
    <x v="2"/>
    <x v="3"/>
  </r>
  <r>
    <n v="386"/>
    <x v="2"/>
    <x v="35"/>
    <n v="2018"/>
    <x v="0"/>
    <s v=" "/>
    <s v=" "/>
    <x v="0"/>
    <x v="0"/>
    <x v="0"/>
    <n v="29"/>
    <x v="0"/>
    <x v="7"/>
    <x v="4"/>
  </r>
  <r>
    <n v="387"/>
    <x v="2"/>
    <x v="36"/>
    <n v="2021"/>
    <x v="14"/>
    <n v="2024"/>
    <n v="4"/>
    <x v="7"/>
    <x v="1"/>
    <x v="0"/>
    <n v="27"/>
    <x v="0"/>
    <x v="0"/>
    <x v="9"/>
  </r>
  <r>
    <n v="388"/>
    <x v="4"/>
    <x v="37"/>
    <n v="2021"/>
    <x v="15"/>
    <n v="2023"/>
    <n v="3"/>
    <x v="4"/>
    <x v="1"/>
    <x v="1"/>
    <n v="31"/>
    <x v="4"/>
    <x v="1"/>
    <x v="0"/>
  </r>
  <r>
    <n v="389"/>
    <x v="0"/>
    <x v="38"/>
    <n v="2019"/>
    <x v="16"/>
    <n v="2022"/>
    <n v="4"/>
    <x v="3"/>
    <x v="1"/>
    <x v="1"/>
    <n v="24"/>
    <x v="0"/>
    <x v="1"/>
    <x v="2"/>
  </r>
  <r>
    <n v="390"/>
    <x v="5"/>
    <x v="39"/>
    <n v="2020"/>
    <x v="0"/>
    <s v=" "/>
    <s v=" "/>
    <x v="0"/>
    <x v="0"/>
    <x v="0"/>
    <n v="37"/>
    <x v="4"/>
    <x v="2"/>
    <x v="3"/>
  </r>
  <r>
    <n v="391"/>
    <x v="4"/>
    <x v="40"/>
    <n v="2020"/>
    <x v="0"/>
    <s v=" "/>
    <s v=" "/>
    <x v="0"/>
    <x v="0"/>
    <x v="0"/>
    <n v="23"/>
    <x v="0"/>
    <x v="3"/>
    <x v="10"/>
  </r>
  <r>
    <n v="392"/>
    <x v="4"/>
    <x v="41"/>
    <n v="2024"/>
    <x v="0"/>
    <s v=" "/>
    <s v=" "/>
    <x v="0"/>
    <x v="0"/>
    <x v="0"/>
    <n v="31"/>
    <x v="4"/>
    <x v="0"/>
    <x v="4"/>
  </r>
  <r>
    <n v="393"/>
    <x v="5"/>
    <x v="42"/>
    <n v="2024"/>
    <x v="0"/>
    <s v=" "/>
    <s v=" "/>
    <x v="0"/>
    <x v="0"/>
    <x v="0"/>
    <n v="52"/>
    <x v="1"/>
    <x v="6"/>
    <x v="9"/>
  </r>
  <r>
    <n v="394"/>
    <x v="2"/>
    <x v="43"/>
    <n v="2022"/>
    <x v="0"/>
    <s v=" "/>
    <s v=" "/>
    <x v="0"/>
    <x v="0"/>
    <x v="0"/>
    <n v="25"/>
    <x v="0"/>
    <x v="0"/>
    <x v="2"/>
  </r>
  <r>
    <n v="395"/>
    <x v="1"/>
    <x v="44"/>
    <n v="2023"/>
    <x v="0"/>
    <s v=" "/>
    <s v=" "/>
    <x v="0"/>
    <x v="0"/>
    <x v="0"/>
    <n v="46"/>
    <x v="3"/>
    <x v="0"/>
    <x v="3"/>
  </r>
  <r>
    <n v="396"/>
    <x v="1"/>
    <x v="45"/>
    <n v="2019"/>
    <x v="17"/>
    <n v="2021"/>
    <n v="3"/>
    <x v="5"/>
    <x v="1"/>
    <x v="1"/>
    <n v="24"/>
    <x v="0"/>
    <x v="1"/>
    <x v="10"/>
  </r>
  <r>
    <n v="397"/>
    <x v="1"/>
    <x v="46"/>
    <n v="2021"/>
    <x v="18"/>
    <n v="2024"/>
    <n v="4"/>
    <x v="7"/>
    <x v="1"/>
    <x v="0"/>
    <n v="38"/>
    <x v="4"/>
    <x v="0"/>
    <x v="4"/>
  </r>
  <r>
    <n v="398"/>
    <x v="3"/>
    <x v="47"/>
    <n v="2019"/>
    <x v="0"/>
    <s v=" "/>
    <s v=" "/>
    <x v="0"/>
    <x v="0"/>
    <x v="1"/>
    <n v="49"/>
    <x v="3"/>
    <x v="2"/>
    <x v="9"/>
  </r>
  <r>
    <n v="399"/>
    <x v="4"/>
    <x v="48"/>
    <n v="2024"/>
    <x v="0"/>
    <s v=" "/>
    <s v=" "/>
    <x v="0"/>
    <x v="0"/>
    <x v="1"/>
    <n v="31"/>
    <x v="4"/>
    <x v="7"/>
    <x v="0"/>
  </r>
  <r>
    <n v="400"/>
    <x v="0"/>
    <x v="49"/>
    <n v="2018"/>
    <x v="19"/>
    <n v="2022"/>
    <n v="5"/>
    <x v="4"/>
    <x v="1"/>
    <x v="0"/>
    <n v="51"/>
    <x v="1"/>
    <x v="0"/>
    <x v="1"/>
  </r>
  <r>
    <n v="401"/>
    <x v="0"/>
    <x v="0"/>
    <n v="2018"/>
    <x v="0"/>
    <s v=" "/>
    <s v=" "/>
    <x v="0"/>
    <x v="0"/>
    <x v="1"/>
    <n v="27"/>
    <x v="0"/>
    <x v="1"/>
    <x v="2"/>
  </r>
  <r>
    <n v="402"/>
    <x v="1"/>
    <x v="1"/>
    <n v="2020"/>
    <x v="0"/>
    <s v=" "/>
    <s v=" "/>
    <x v="0"/>
    <x v="0"/>
    <x v="0"/>
    <n v="22"/>
    <x v="0"/>
    <x v="1"/>
    <x v="3"/>
  </r>
  <r>
    <n v="403"/>
    <x v="1"/>
    <x v="2"/>
    <n v="2021"/>
    <x v="0"/>
    <s v=" "/>
    <s v=" "/>
    <x v="0"/>
    <x v="0"/>
    <x v="0"/>
    <n v="50"/>
    <x v="1"/>
    <x v="2"/>
    <x v="4"/>
  </r>
  <r>
    <n v="404"/>
    <x v="1"/>
    <x v="3"/>
    <n v="2023"/>
    <x v="0"/>
    <s v=" "/>
    <s v=" "/>
    <x v="0"/>
    <x v="0"/>
    <x v="1"/>
    <n v="24"/>
    <x v="0"/>
    <x v="3"/>
    <x v="5"/>
  </r>
  <r>
    <n v="405"/>
    <x v="1"/>
    <x v="4"/>
    <n v="2019"/>
    <x v="1"/>
    <n v="2021"/>
    <n v="3"/>
    <x v="1"/>
    <x v="1"/>
    <x v="0"/>
    <n v="50"/>
    <x v="1"/>
    <x v="0"/>
    <x v="6"/>
  </r>
  <r>
    <n v="406"/>
    <x v="2"/>
    <x v="5"/>
    <n v="2022"/>
    <x v="2"/>
    <n v="2023"/>
    <n v="2"/>
    <x v="7"/>
    <x v="1"/>
    <x v="1"/>
    <n v="28"/>
    <x v="0"/>
    <x v="6"/>
    <x v="7"/>
  </r>
  <r>
    <n v="407"/>
    <x v="3"/>
    <x v="6"/>
    <n v="2024"/>
    <x v="0"/>
    <s v=" "/>
    <s v=" "/>
    <x v="0"/>
    <x v="0"/>
    <x v="1"/>
    <n v="40"/>
    <x v="3"/>
    <x v="0"/>
    <x v="8"/>
  </r>
  <r>
    <n v="408"/>
    <x v="0"/>
    <x v="7"/>
    <n v="2018"/>
    <x v="0"/>
    <s v=" "/>
    <s v=" "/>
    <x v="0"/>
    <x v="0"/>
    <x v="0"/>
    <n v="32"/>
    <x v="4"/>
    <x v="0"/>
    <x v="9"/>
  </r>
  <r>
    <n v="409"/>
    <x v="1"/>
    <x v="8"/>
    <n v="2023"/>
    <x v="0"/>
    <s v=" "/>
    <s v=" "/>
    <x v="0"/>
    <x v="0"/>
    <x v="0"/>
    <n v="50"/>
    <x v="1"/>
    <x v="1"/>
    <x v="10"/>
  </r>
  <r>
    <n v="410"/>
    <x v="4"/>
    <x v="9"/>
    <n v="2024"/>
    <x v="0"/>
    <s v=" "/>
    <s v=" "/>
    <x v="0"/>
    <x v="0"/>
    <x v="0"/>
    <n v="24"/>
    <x v="0"/>
    <x v="0"/>
    <x v="2"/>
  </r>
  <r>
    <n v="411"/>
    <x v="5"/>
    <x v="10"/>
    <n v="2024"/>
    <x v="0"/>
    <s v=" "/>
    <s v=" "/>
    <x v="0"/>
    <x v="0"/>
    <x v="0"/>
    <n v="36"/>
    <x v="4"/>
    <x v="2"/>
    <x v="4"/>
  </r>
  <r>
    <n v="412"/>
    <x v="3"/>
    <x v="11"/>
    <n v="2021"/>
    <x v="3"/>
    <n v="2024"/>
    <n v="4"/>
    <x v="7"/>
    <x v="1"/>
    <x v="0"/>
    <n v="49"/>
    <x v="3"/>
    <x v="5"/>
    <x v="9"/>
  </r>
  <r>
    <n v="413"/>
    <x v="0"/>
    <x v="12"/>
    <n v="2018"/>
    <x v="4"/>
    <n v="2020"/>
    <n v="3"/>
    <x v="7"/>
    <x v="1"/>
    <x v="1"/>
    <n v="43"/>
    <x v="3"/>
    <x v="0"/>
    <x v="1"/>
  </r>
  <r>
    <n v="414"/>
    <x v="1"/>
    <x v="13"/>
    <n v="2024"/>
    <x v="0"/>
    <s v=" "/>
    <s v=" "/>
    <x v="0"/>
    <x v="0"/>
    <x v="1"/>
    <n v="40"/>
    <x v="3"/>
    <x v="1"/>
    <x v="2"/>
  </r>
  <r>
    <n v="415"/>
    <x v="1"/>
    <x v="14"/>
    <n v="2018"/>
    <x v="0"/>
    <s v=" "/>
    <s v=" "/>
    <x v="0"/>
    <x v="0"/>
    <x v="1"/>
    <n v="42"/>
    <x v="3"/>
    <x v="1"/>
    <x v="3"/>
  </r>
  <r>
    <n v="416"/>
    <x v="0"/>
    <x v="15"/>
    <n v="2019"/>
    <x v="5"/>
    <n v="2022"/>
    <n v="4"/>
    <x v="4"/>
    <x v="1"/>
    <x v="1"/>
    <n v="35"/>
    <x v="4"/>
    <x v="2"/>
    <x v="4"/>
  </r>
  <r>
    <n v="417"/>
    <x v="3"/>
    <x v="16"/>
    <n v="2019"/>
    <x v="6"/>
    <n v="2020"/>
    <n v="2"/>
    <x v="3"/>
    <x v="1"/>
    <x v="1"/>
    <n v="31"/>
    <x v="4"/>
    <x v="3"/>
    <x v="9"/>
  </r>
  <r>
    <n v="418"/>
    <x v="5"/>
    <x v="17"/>
    <n v="2022"/>
    <x v="0"/>
    <s v=" "/>
    <s v=" "/>
    <x v="0"/>
    <x v="0"/>
    <x v="0"/>
    <n v="51"/>
    <x v="1"/>
    <x v="0"/>
    <x v="0"/>
  </r>
  <r>
    <n v="419"/>
    <x v="0"/>
    <x v="18"/>
    <n v="2024"/>
    <x v="0"/>
    <s v=" "/>
    <s v=" "/>
    <x v="0"/>
    <x v="0"/>
    <x v="1"/>
    <n v="48"/>
    <x v="3"/>
    <x v="6"/>
    <x v="2"/>
  </r>
  <r>
    <n v="420"/>
    <x v="3"/>
    <x v="19"/>
    <n v="2019"/>
    <x v="7"/>
    <n v="2022"/>
    <n v="4"/>
    <x v="5"/>
    <x v="1"/>
    <x v="1"/>
    <n v="41"/>
    <x v="3"/>
    <x v="0"/>
    <x v="3"/>
  </r>
  <r>
    <n v="421"/>
    <x v="5"/>
    <x v="20"/>
    <n v="2021"/>
    <x v="8"/>
    <n v="2024"/>
    <n v="4"/>
    <x v="7"/>
    <x v="1"/>
    <x v="1"/>
    <n v="35"/>
    <x v="4"/>
    <x v="0"/>
    <x v="10"/>
  </r>
  <r>
    <n v="422"/>
    <x v="2"/>
    <x v="21"/>
    <n v="2023"/>
    <x v="9"/>
    <n v="2024"/>
    <n v="2"/>
    <x v="4"/>
    <x v="1"/>
    <x v="0"/>
    <n v="24"/>
    <x v="0"/>
    <x v="1"/>
    <x v="4"/>
  </r>
  <r>
    <n v="423"/>
    <x v="1"/>
    <x v="22"/>
    <n v="2023"/>
    <x v="0"/>
    <s v=" "/>
    <s v=" "/>
    <x v="0"/>
    <x v="0"/>
    <x v="0"/>
    <n v="41"/>
    <x v="3"/>
    <x v="0"/>
    <x v="9"/>
  </r>
  <r>
    <n v="424"/>
    <x v="2"/>
    <x v="23"/>
    <n v="2024"/>
    <x v="0"/>
    <s v=" "/>
    <s v=" "/>
    <x v="0"/>
    <x v="0"/>
    <x v="1"/>
    <n v="40"/>
    <x v="3"/>
    <x v="2"/>
    <x v="9"/>
  </r>
  <r>
    <n v="425"/>
    <x v="0"/>
    <x v="24"/>
    <n v="2019"/>
    <x v="0"/>
    <s v=" "/>
    <s v=" "/>
    <x v="0"/>
    <x v="0"/>
    <x v="0"/>
    <n v="48"/>
    <x v="3"/>
    <x v="5"/>
    <x v="0"/>
  </r>
  <r>
    <n v="426"/>
    <x v="1"/>
    <x v="25"/>
    <n v="2022"/>
    <x v="0"/>
    <s v=" "/>
    <s v=" "/>
    <x v="0"/>
    <x v="0"/>
    <x v="0"/>
    <n v="52"/>
    <x v="1"/>
    <x v="0"/>
    <x v="2"/>
  </r>
  <r>
    <n v="427"/>
    <x v="4"/>
    <x v="26"/>
    <n v="2020"/>
    <x v="10"/>
    <n v="2021"/>
    <n v="2"/>
    <x v="6"/>
    <x v="1"/>
    <x v="1"/>
    <n v="33"/>
    <x v="4"/>
    <x v="1"/>
    <x v="3"/>
  </r>
  <r>
    <n v="428"/>
    <x v="2"/>
    <x v="27"/>
    <n v="2023"/>
    <x v="0"/>
    <s v=" "/>
    <s v=" "/>
    <x v="0"/>
    <x v="0"/>
    <x v="0"/>
    <n v="51"/>
    <x v="1"/>
    <x v="1"/>
    <x v="10"/>
  </r>
  <r>
    <n v="429"/>
    <x v="0"/>
    <x v="28"/>
    <n v="2021"/>
    <x v="11"/>
    <n v="2022"/>
    <n v="2"/>
    <x v="7"/>
    <x v="1"/>
    <x v="0"/>
    <n v="46"/>
    <x v="3"/>
    <x v="2"/>
    <x v="4"/>
  </r>
  <r>
    <n v="430"/>
    <x v="2"/>
    <x v="29"/>
    <n v="2018"/>
    <x v="12"/>
    <n v="2021"/>
    <n v="4"/>
    <x v="1"/>
    <x v="1"/>
    <x v="0"/>
    <n v="53"/>
    <x v="1"/>
    <x v="3"/>
    <x v="9"/>
  </r>
  <r>
    <n v="431"/>
    <x v="5"/>
    <x v="30"/>
    <n v="2021"/>
    <x v="0"/>
    <s v=" "/>
    <s v=" "/>
    <x v="0"/>
    <x v="0"/>
    <x v="1"/>
    <n v="35"/>
    <x v="4"/>
    <x v="0"/>
    <x v="0"/>
  </r>
  <r>
    <n v="432"/>
    <x v="0"/>
    <x v="31"/>
    <n v="2024"/>
    <x v="0"/>
    <s v=" "/>
    <s v=" "/>
    <x v="0"/>
    <x v="0"/>
    <x v="0"/>
    <n v="32"/>
    <x v="4"/>
    <x v="4"/>
    <x v="1"/>
  </r>
  <r>
    <n v="433"/>
    <x v="5"/>
    <x v="32"/>
    <n v="2021"/>
    <x v="0"/>
    <s v=" "/>
    <s v=" "/>
    <x v="0"/>
    <x v="0"/>
    <x v="1"/>
    <n v="46"/>
    <x v="3"/>
    <x v="0"/>
    <x v="2"/>
  </r>
  <r>
    <n v="434"/>
    <x v="0"/>
    <x v="33"/>
    <n v="2020"/>
    <x v="0"/>
    <s v=" "/>
    <s v=" "/>
    <x v="0"/>
    <x v="0"/>
    <x v="1"/>
    <n v="50"/>
    <x v="1"/>
    <x v="0"/>
    <x v="3"/>
  </r>
  <r>
    <n v="435"/>
    <x v="2"/>
    <x v="34"/>
    <n v="2018"/>
    <x v="13"/>
    <n v="2022"/>
    <n v="5"/>
    <x v="2"/>
    <x v="1"/>
    <x v="1"/>
    <n v="62"/>
    <x v="2"/>
    <x v="1"/>
    <x v="4"/>
  </r>
  <r>
    <n v="436"/>
    <x v="2"/>
    <x v="35"/>
    <n v="2018"/>
    <x v="0"/>
    <s v=" "/>
    <s v=" "/>
    <x v="0"/>
    <x v="0"/>
    <x v="0"/>
    <n v="29"/>
    <x v="0"/>
    <x v="0"/>
    <x v="5"/>
  </r>
  <r>
    <n v="437"/>
    <x v="2"/>
    <x v="36"/>
    <n v="2021"/>
    <x v="14"/>
    <n v="2024"/>
    <n v="4"/>
    <x v="1"/>
    <x v="1"/>
    <x v="0"/>
    <n v="27"/>
    <x v="0"/>
    <x v="2"/>
    <x v="6"/>
  </r>
  <r>
    <n v="438"/>
    <x v="4"/>
    <x v="37"/>
    <n v="2021"/>
    <x v="15"/>
    <n v="2023"/>
    <n v="3"/>
    <x v="4"/>
    <x v="1"/>
    <x v="1"/>
    <n v="31"/>
    <x v="4"/>
    <x v="7"/>
    <x v="7"/>
  </r>
  <r>
    <n v="439"/>
    <x v="0"/>
    <x v="38"/>
    <n v="2019"/>
    <x v="16"/>
    <n v="2022"/>
    <n v="4"/>
    <x v="3"/>
    <x v="1"/>
    <x v="1"/>
    <n v="24"/>
    <x v="0"/>
    <x v="0"/>
    <x v="8"/>
  </r>
  <r>
    <n v="440"/>
    <x v="5"/>
    <x v="39"/>
    <n v="2020"/>
    <x v="0"/>
    <s v=" "/>
    <s v=" "/>
    <x v="0"/>
    <x v="0"/>
    <x v="0"/>
    <n v="37"/>
    <x v="4"/>
    <x v="1"/>
    <x v="9"/>
  </r>
  <r>
    <n v="441"/>
    <x v="4"/>
    <x v="40"/>
    <n v="2020"/>
    <x v="0"/>
    <s v=" "/>
    <s v=" "/>
    <x v="0"/>
    <x v="0"/>
    <x v="0"/>
    <n v="23"/>
    <x v="0"/>
    <x v="1"/>
    <x v="10"/>
  </r>
  <r>
    <n v="442"/>
    <x v="4"/>
    <x v="41"/>
    <n v="2024"/>
    <x v="0"/>
    <s v=" "/>
    <s v=" "/>
    <x v="0"/>
    <x v="0"/>
    <x v="0"/>
    <n v="31"/>
    <x v="4"/>
    <x v="2"/>
    <x v="2"/>
  </r>
  <r>
    <n v="443"/>
    <x v="5"/>
    <x v="42"/>
    <n v="2024"/>
    <x v="0"/>
    <s v=" "/>
    <s v=" "/>
    <x v="0"/>
    <x v="0"/>
    <x v="0"/>
    <n v="52"/>
    <x v="1"/>
    <x v="3"/>
    <x v="4"/>
  </r>
  <r>
    <n v="444"/>
    <x v="2"/>
    <x v="43"/>
    <n v="2022"/>
    <x v="0"/>
    <s v=" "/>
    <s v=" "/>
    <x v="0"/>
    <x v="0"/>
    <x v="1"/>
    <n v="25"/>
    <x v="0"/>
    <x v="0"/>
    <x v="9"/>
  </r>
  <r>
    <n v="445"/>
    <x v="1"/>
    <x v="44"/>
    <n v="2023"/>
    <x v="0"/>
    <s v=" "/>
    <s v=" "/>
    <x v="0"/>
    <x v="0"/>
    <x v="0"/>
    <n v="46"/>
    <x v="3"/>
    <x v="6"/>
    <x v="1"/>
  </r>
  <r>
    <n v="446"/>
    <x v="1"/>
    <x v="45"/>
    <n v="2019"/>
    <x v="17"/>
    <n v="2021"/>
    <n v="3"/>
    <x v="5"/>
    <x v="1"/>
    <x v="1"/>
    <n v="24"/>
    <x v="0"/>
    <x v="0"/>
    <x v="2"/>
  </r>
  <r>
    <n v="447"/>
    <x v="1"/>
    <x v="46"/>
    <n v="2021"/>
    <x v="18"/>
    <n v="2024"/>
    <n v="4"/>
    <x v="5"/>
    <x v="1"/>
    <x v="1"/>
    <n v="38"/>
    <x v="4"/>
    <x v="0"/>
    <x v="3"/>
  </r>
  <r>
    <n v="448"/>
    <x v="3"/>
    <x v="47"/>
    <n v="2019"/>
    <x v="0"/>
    <s v=" "/>
    <s v=" "/>
    <x v="0"/>
    <x v="0"/>
    <x v="0"/>
    <n v="49"/>
    <x v="3"/>
    <x v="1"/>
    <x v="4"/>
  </r>
  <r>
    <n v="449"/>
    <x v="4"/>
    <x v="48"/>
    <n v="2024"/>
    <x v="0"/>
    <s v=" "/>
    <s v=" "/>
    <x v="0"/>
    <x v="0"/>
    <x v="0"/>
    <n v="31"/>
    <x v="4"/>
    <x v="0"/>
    <x v="9"/>
  </r>
  <r>
    <n v="450"/>
    <x v="0"/>
    <x v="49"/>
    <n v="2018"/>
    <x v="19"/>
    <n v="2022"/>
    <n v="5"/>
    <x v="4"/>
    <x v="1"/>
    <x v="0"/>
    <n v="51"/>
    <x v="1"/>
    <x v="2"/>
    <x v="0"/>
  </r>
  <r>
    <n v="451"/>
    <x v="0"/>
    <x v="0"/>
    <n v="2018"/>
    <x v="0"/>
    <s v=" "/>
    <s v=" "/>
    <x v="0"/>
    <x v="0"/>
    <x v="1"/>
    <n v="27"/>
    <x v="0"/>
    <x v="7"/>
    <x v="2"/>
  </r>
  <r>
    <n v="452"/>
    <x v="1"/>
    <x v="1"/>
    <n v="2020"/>
    <x v="0"/>
    <s v=" "/>
    <s v=" "/>
    <x v="0"/>
    <x v="0"/>
    <x v="0"/>
    <n v="22"/>
    <x v="0"/>
    <x v="0"/>
    <x v="3"/>
  </r>
  <r>
    <n v="453"/>
    <x v="1"/>
    <x v="2"/>
    <n v="2021"/>
    <x v="0"/>
    <s v=" "/>
    <s v=" "/>
    <x v="0"/>
    <x v="0"/>
    <x v="1"/>
    <n v="50"/>
    <x v="1"/>
    <x v="1"/>
    <x v="10"/>
  </r>
  <r>
    <n v="454"/>
    <x v="1"/>
    <x v="3"/>
    <n v="2023"/>
    <x v="0"/>
    <s v=" "/>
    <s v=" "/>
    <x v="0"/>
    <x v="0"/>
    <x v="0"/>
    <n v="24"/>
    <x v="0"/>
    <x v="1"/>
    <x v="4"/>
  </r>
  <r>
    <n v="455"/>
    <x v="1"/>
    <x v="4"/>
    <n v="2019"/>
    <x v="1"/>
    <n v="2021"/>
    <n v="3"/>
    <x v="1"/>
    <x v="1"/>
    <x v="0"/>
    <n v="50"/>
    <x v="1"/>
    <x v="2"/>
    <x v="9"/>
  </r>
  <r>
    <n v="456"/>
    <x v="2"/>
    <x v="5"/>
    <n v="2022"/>
    <x v="2"/>
    <n v="2023"/>
    <n v="2"/>
    <x v="7"/>
    <x v="1"/>
    <x v="1"/>
    <n v="28"/>
    <x v="0"/>
    <x v="3"/>
    <x v="4"/>
  </r>
  <r>
    <n v="457"/>
    <x v="3"/>
    <x v="6"/>
    <n v="2024"/>
    <x v="0"/>
    <s v=" "/>
    <s v=" "/>
    <x v="0"/>
    <x v="0"/>
    <x v="1"/>
    <n v="40"/>
    <x v="3"/>
    <x v="0"/>
    <x v="9"/>
  </r>
  <r>
    <n v="458"/>
    <x v="0"/>
    <x v="7"/>
    <n v="2018"/>
    <x v="0"/>
    <s v=" "/>
    <s v=" "/>
    <x v="0"/>
    <x v="0"/>
    <x v="0"/>
    <n v="32"/>
    <x v="4"/>
    <x v="4"/>
    <x v="0"/>
  </r>
  <r>
    <n v="459"/>
    <x v="1"/>
    <x v="8"/>
    <n v="2023"/>
    <x v="0"/>
    <s v=" "/>
    <s v=" "/>
    <x v="0"/>
    <x v="0"/>
    <x v="1"/>
    <n v="50"/>
    <x v="1"/>
    <x v="0"/>
    <x v="2"/>
  </r>
  <r>
    <n v="460"/>
    <x v="4"/>
    <x v="9"/>
    <n v="2024"/>
    <x v="0"/>
    <s v=" "/>
    <s v=" "/>
    <x v="0"/>
    <x v="0"/>
    <x v="0"/>
    <n v="24"/>
    <x v="0"/>
    <x v="0"/>
    <x v="3"/>
  </r>
  <r>
    <n v="461"/>
    <x v="5"/>
    <x v="10"/>
    <n v="2024"/>
    <x v="0"/>
    <s v=" "/>
    <s v=" "/>
    <x v="0"/>
    <x v="0"/>
    <x v="0"/>
    <n v="36"/>
    <x v="4"/>
    <x v="1"/>
    <x v="10"/>
  </r>
  <r>
    <n v="462"/>
    <x v="3"/>
    <x v="11"/>
    <n v="2021"/>
    <x v="3"/>
    <n v="2024"/>
    <n v="4"/>
    <x v="7"/>
    <x v="1"/>
    <x v="0"/>
    <n v="49"/>
    <x v="3"/>
    <x v="0"/>
    <x v="4"/>
  </r>
  <r>
    <n v="463"/>
    <x v="0"/>
    <x v="12"/>
    <n v="2018"/>
    <x v="4"/>
    <n v="2020"/>
    <n v="3"/>
    <x v="3"/>
    <x v="1"/>
    <x v="1"/>
    <n v="43"/>
    <x v="3"/>
    <x v="2"/>
    <x v="9"/>
  </r>
  <r>
    <n v="464"/>
    <x v="1"/>
    <x v="13"/>
    <n v="2024"/>
    <x v="0"/>
    <s v=" "/>
    <s v=" "/>
    <x v="0"/>
    <x v="0"/>
    <x v="0"/>
    <n v="40"/>
    <x v="3"/>
    <x v="5"/>
    <x v="0"/>
  </r>
  <r>
    <n v="465"/>
    <x v="1"/>
    <x v="14"/>
    <n v="2018"/>
    <x v="0"/>
    <s v=" "/>
    <s v=" "/>
    <x v="0"/>
    <x v="0"/>
    <x v="1"/>
    <n v="42"/>
    <x v="3"/>
    <x v="0"/>
    <x v="1"/>
  </r>
  <r>
    <n v="466"/>
    <x v="0"/>
    <x v="15"/>
    <n v="2019"/>
    <x v="5"/>
    <n v="2022"/>
    <n v="4"/>
    <x v="4"/>
    <x v="1"/>
    <x v="0"/>
    <n v="35"/>
    <x v="4"/>
    <x v="1"/>
    <x v="2"/>
  </r>
  <r>
    <n v="467"/>
    <x v="3"/>
    <x v="16"/>
    <n v="2019"/>
    <x v="6"/>
    <n v="2020"/>
    <n v="2"/>
    <x v="7"/>
    <x v="1"/>
    <x v="1"/>
    <n v="31"/>
    <x v="4"/>
    <x v="1"/>
    <x v="3"/>
  </r>
  <r>
    <n v="468"/>
    <x v="5"/>
    <x v="17"/>
    <n v="2022"/>
    <x v="0"/>
    <s v=" "/>
    <s v=" "/>
    <x v="0"/>
    <x v="0"/>
    <x v="1"/>
    <n v="51"/>
    <x v="1"/>
    <x v="2"/>
    <x v="4"/>
  </r>
  <r>
    <n v="469"/>
    <x v="0"/>
    <x v="18"/>
    <n v="2024"/>
    <x v="0"/>
    <s v=" "/>
    <s v=" "/>
    <x v="0"/>
    <x v="0"/>
    <x v="0"/>
    <n v="48"/>
    <x v="3"/>
    <x v="3"/>
    <x v="5"/>
  </r>
  <r>
    <n v="470"/>
    <x v="3"/>
    <x v="19"/>
    <n v="2019"/>
    <x v="7"/>
    <n v="2022"/>
    <n v="4"/>
    <x v="5"/>
    <x v="1"/>
    <x v="1"/>
    <n v="41"/>
    <x v="3"/>
    <x v="0"/>
    <x v="6"/>
  </r>
  <r>
    <n v="471"/>
    <x v="5"/>
    <x v="20"/>
    <n v="2021"/>
    <x v="8"/>
    <n v="2024"/>
    <n v="4"/>
    <x v="7"/>
    <x v="1"/>
    <x v="1"/>
    <n v="35"/>
    <x v="4"/>
    <x v="6"/>
    <x v="7"/>
  </r>
  <r>
    <n v="472"/>
    <x v="2"/>
    <x v="21"/>
    <n v="2023"/>
    <x v="9"/>
    <n v="2024"/>
    <n v="2"/>
    <x v="4"/>
    <x v="1"/>
    <x v="0"/>
    <n v="24"/>
    <x v="0"/>
    <x v="0"/>
    <x v="8"/>
  </r>
  <r>
    <n v="473"/>
    <x v="1"/>
    <x v="22"/>
    <n v="2023"/>
    <x v="0"/>
    <s v=" "/>
    <s v=" "/>
    <x v="0"/>
    <x v="0"/>
    <x v="0"/>
    <n v="41"/>
    <x v="3"/>
    <x v="0"/>
    <x v="9"/>
  </r>
  <r>
    <n v="474"/>
    <x v="2"/>
    <x v="23"/>
    <n v="2024"/>
    <x v="0"/>
    <s v=" "/>
    <s v=" "/>
    <x v="0"/>
    <x v="0"/>
    <x v="1"/>
    <n v="40"/>
    <x v="3"/>
    <x v="1"/>
    <x v="10"/>
  </r>
  <r>
    <n v="475"/>
    <x v="0"/>
    <x v="24"/>
    <n v="2019"/>
    <x v="0"/>
    <s v=" "/>
    <s v=" "/>
    <x v="0"/>
    <x v="0"/>
    <x v="1"/>
    <n v="48"/>
    <x v="3"/>
    <x v="0"/>
    <x v="2"/>
  </r>
  <r>
    <n v="476"/>
    <x v="1"/>
    <x v="25"/>
    <n v="2022"/>
    <x v="0"/>
    <s v=" "/>
    <s v=" "/>
    <x v="0"/>
    <x v="0"/>
    <x v="0"/>
    <n v="52"/>
    <x v="1"/>
    <x v="2"/>
    <x v="4"/>
  </r>
  <r>
    <n v="477"/>
    <x v="4"/>
    <x v="26"/>
    <n v="2020"/>
    <x v="10"/>
    <n v="2021"/>
    <n v="2"/>
    <x v="7"/>
    <x v="1"/>
    <x v="1"/>
    <n v="33"/>
    <x v="4"/>
    <x v="7"/>
    <x v="9"/>
  </r>
  <r>
    <n v="478"/>
    <x v="2"/>
    <x v="27"/>
    <n v="2023"/>
    <x v="0"/>
    <s v=" "/>
    <s v=" "/>
    <x v="0"/>
    <x v="0"/>
    <x v="0"/>
    <n v="51"/>
    <x v="1"/>
    <x v="0"/>
    <x v="1"/>
  </r>
  <r>
    <n v="479"/>
    <x v="0"/>
    <x v="28"/>
    <n v="2021"/>
    <x v="11"/>
    <n v="2022"/>
    <n v="2"/>
    <x v="3"/>
    <x v="1"/>
    <x v="0"/>
    <n v="46"/>
    <x v="3"/>
    <x v="1"/>
    <x v="2"/>
  </r>
  <r>
    <n v="480"/>
    <x v="2"/>
    <x v="29"/>
    <n v="2018"/>
    <x v="12"/>
    <n v="2021"/>
    <n v="4"/>
    <x v="1"/>
    <x v="1"/>
    <x v="0"/>
    <n v="53"/>
    <x v="1"/>
    <x v="1"/>
    <x v="3"/>
  </r>
  <r>
    <n v="481"/>
    <x v="5"/>
    <x v="30"/>
    <n v="2021"/>
    <x v="0"/>
    <s v=" "/>
    <s v=" "/>
    <x v="0"/>
    <x v="0"/>
    <x v="1"/>
    <n v="35"/>
    <x v="4"/>
    <x v="2"/>
    <x v="4"/>
  </r>
  <r>
    <n v="482"/>
    <x v="0"/>
    <x v="31"/>
    <n v="2024"/>
    <x v="0"/>
    <s v=" "/>
    <s v=" "/>
    <x v="0"/>
    <x v="0"/>
    <x v="0"/>
    <n v="32"/>
    <x v="4"/>
    <x v="3"/>
    <x v="9"/>
  </r>
  <r>
    <n v="483"/>
    <x v="5"/>
    <x v="32"/>
    <n v="2021"/>
    <x v="0"/>
    <s v=" "/>
    <s v=" "/>
    <x v="0"/>
    <x v="0"/>
    <x v="1"/>
    <n v="46"/>
    <x v="3"/>
    <x v="0"/>
    <x v="0"/>
  </r>
  <r>
    <n v="484"/>
    <x v="0"/>
    <x v="33"/>
    <n v="2020"/>
    <x v="0"/>
    <s v=" "/>
    <s v=" "/>
    <x v="0"/>
    <x v="0"/>
    <x v="0"/>
    <n v="50"/>
    <x v="1"/>
    <x v="6"/>
    <x v="2"/>
  </r>
  <r>
    <n v="485"/>
    <x v="2"/>
    <x v="34"/>
    <n v="2018"/>
    <x v="13"/>
    <n v="2022"/>
    <n v="5"/>
    <x v="2"/>
    <x v="1"/>
    <x v="1"/>
    <n v="59"/>
    <x v="1"/>
    <x v="0"/>
    <x v="3"/>
  </r>
  <r>
    <n v="486"/>
    <x v="2"/>
    <x v="35"/>
    <n v="2018"/>
    <x v="0"/>
    <s v=" "/>
    <s v=" "/>
    <x v="0"/>
    <x v="0"/>
    <x v="1"/>
    <n v="29"/>
    <x v="0"/>
    <x v="0"/>
    <x v="10"/>
  </r>
  <r>
    <n v="487"/>
    <x v="2"/>
    <x v="36"/>
    <n v="2021"/>
    <x v="14"/>
    <n v="2024"/>
    <n v="4"/>
    <x v="1"/>
    <x v="1"/>
    <x v="0"/>
    <n v="27"/>
    <x v="0"/>
    <x v="1"/>
    <x v="4"/>
  </r>
  <r>
    <n v="488"/>
    <x v="4"/>
    <x v="37"/>
    <n v="2021"/>
    <x v="15"/>
    <n v="2023"/>
    <n v="3"/>
    <x v="4"/>
    <x v="1"/>
    <x v="1"/>
    <n v="31"/>
    <x v="4"/>
    <x v="0"/>
    <x v="9"/>
  </r>
  <r>
    <n v="489"/>
    <x v="0"/>
    <x v="38"/>
    <n v="2019"/>
    <x v="16"/>
    <n v="2022"/>
    <n v="4"/>
    <x v="3"/>
    <x v="1"/>
    <x v="1"/>
    <n v="24"/>
    <x v="0"/>
    <x v="2"/>
    <x v="10"/>
  </r>
  <r>
    <n v="490"/>
    <x v="5"/>
    <x v="39"/>
    <n v="2020"/>
    <x v="0"/>
    <s v=" "/>
    <s v=" "/>
    <x v="0"/>
    <x v="0"/>
    <x v="0"/>
    <n v="37"/>
    <x v="4"/>
    <x v="5"/>
    <x v="4"/>
  </r>
  <r>
    <n v="491"/>
    <x v="4"/>
    <x v="40"/>
    <n v="2020"/>
    <x v="0"/>
    <s v=" "/>
    <s v=" "/>
    <x v="0"/>
    <x v="0"/>
    <x v="0"/>
    <n v="23"/>
    <x v="0"/>
    <x v="0"/>
    <x v="9"/>
  </r>
  <r>
    <n v="492"/>
    <x v="4"/>
    <x v="41"/>
    <n v="2024"/>
    <x v="0"/>
    <s v=" "/>
    <s v=" "/>
    <x v="0"/>
    <x v="0"/>
    <x v="0"/>
    <n v="31"/>
    <x v="4"/>
    <x v="1"/>
    <x v="0"/>
  </r>
  <r>
    <n v="493"/>
    <x v="5"/>
    <x v="42"/>
    <n v="2024"/>
    <x v="0"/>
    <s v=" "/>
    <s v=" "/>
    <x v="0"/>
    <x v="0"/>
    <x v="1"/>
    <n v="52"/>
    <x v="1"/>
    <x v="1"/>
    <x v="1"/>
  </r>
  <r>
    <n v="494"/>
    <x v="2"/>
    <x v="43"/>
    <n v="2022"/>
    <x v="0"/>
    <s v=" "/>
    <s v=" "/>
    <x v="0"/>
    <x v="0"/>
    <x v="1"/>
    <n v="25"/>
    <x v="0"/>
    <x v="2"/>
    <x v="2"/>
  </r>
  <r>
    <n v="495"/>
    <x v="1"/>
    <x v="44"/>
    <n v="2023"/>
    <x v="0"/>
    <s v=" "/>
    <s v=" "/>
    <x v="0"/>
    <x v="0"/>
    <x v="0"/>
    <n v="46"/>
    <x v="3"/>
    <x v="3"/>
    <x v="3"/>
  </r>
  <r>
    <n v="496"/>
    <x v="1"/>
    <x v="45"/>
    <n v="2019"/>
    <x v="17"/>
    <n v="2021"/>
    <n v="3"/>
    <x v="5"/>
    <x v="1"/>
    <x v="1"/>
    <n v="24"/>
    <x v="0"/>
    <x v="0"/>
    <x v="4"/>
  </r>
  <r>
    <n v="497"/>
    <x v="1"/>
    <x v="46"/>
    <n v="2021"/>
    <x v="18"/>
    <n v="2024"/>
    <n v="4"/>
    <x v="5"/>
    <x v="1"/>
    <x v="0"/>
    <n v="38"/>
    <x v="4"/>
    <x v="6"/>
    <x v="5"/>
  </r>
  <r>
    <n v="498"/>
    <x v="3"/>
    <x v="47"/>
    <n v="2019"/>
    <x v="0"/>
    <s v=" "/>
    <s v=" "/>
    <x v="0"/>
    <x v="0"/>
    <x v="0"/>
    <n v="49"/>
    <x v="3"/>
    <x v="0"/>
    <x v="6"/>
  </r>
  <r>
    <n v="499"/>
    <x v="4"/>
    <x v="48"/>
    <n v="2024"/>
    <x v="0"/>
    <s v=" "/>
    <s v=" "/>
    <x v="0"/>
    <x v="0"/>
    <x v="0"/>
    <n v="31"/>
    <x v="4"/>
    <x v="0"/>
    <x v="7"/>
  </r>
  <r>
    <n v="500"/>
    <x v="0"/>
    <x v="49"/>
    <n v="2018"/>
    <x v="19"/>
    <n v="2022"/>
    <n v="5"/>
    <x v="4"/>
    <x v="1"/>
    <x v="1"/>
    <n v="51"/>
    <x v="1"/>
    <x v="1"/>
    <x v="8"/>
  </r>
  <r>
    <n v="501"/>
    <x v="0"/>
    <x v="0"/>
    <n v="2018"/>
    <x v="0"/>
    <s v=" "/>
    <s v=" "/>
    <x v="0"/>
    <x v="0"/>
    <x v="0"/>
    <n v="27"/>
    <x v="0"/>
    <x v="0"/>
    <x v="9"/>
  </r>
  <r>
    <n v="502"/>
    <x v="1"/>
    <x v="1"/>
    <n v="2020"/>
    <x v="0"/>
    <s v=" "/>
    <s v=" "/>
    <x v="0"/>
    <x v="0"/>
    <x v="1"/>
    <n v="22"/>
    <x v="0"/>
    <x v="2"/>
    <x v="10"/>
  </r>
  <r>
    <n v="503"/>
    <x v="1"/>
    <x v="2"/>
    <n v="2021"/>
    <x v="0"/>
    <s v=" "/>
    <s v=" "/>
    <x v="0"/>
    <x v="0"/>
    <x v="0"/>
    <n v="50"/>
    <x v="1"/>
    <x v="5"/>
    <x v="2"/>
  </r>
  <r>
    <n v="504"/>
    <x v="1"/>
    <x v="3"/>
    <n v="2023"/>
    <x v="0"/>
    <s v=" "/>
    <s v=" "/>
    <x v="0"/>
    <x v="0"/>
    <x v="1"/>
    <n v="24"/>
    <x v="0"/>
    <x v="0"/>
    <x v="4"/>
  </r>
  <r>
    <n v="505"/>
    <x v="1"/>
    <x v="4"/>
    <n v="2019"/>
    <x v="1"/>
    <n v="2021"/>
    <n v="3"/>
    <x v="1"/>
    <x v="1"/>
    <x v="1"/>
    <n v="50"/>
    <x v="1"/>
    <x v="1"/>
    <x v="9"/>
  </r>
  <r>
    <n v="506"/>
    <x v="2"/>
    <x v="5"/>
    <n v="2022"/>
    <x v="2"/>
    <n v="2023"/>
    <n v="2"/>
    <x v="7"/>
    <x v="1"/>
    <x v="0"/>
    <n v="28"/>
    <x v="0"/>
    <x v="1"/>
    <x v="1"/>
  </r>
  <r>
    <n v="507"/>
    <x v="3"/>
    <x v="6"/>
    <n v="2024"/>
    <x v="0"/>
    <s v=" "/>
    <s v=" "/>
    <x v="0"/>
    <x v="0"/>
    <x v="1"/>
    <n v="40"/>
    <x v="3"/>
    <x v="2"/>
    <x v="2"/>
  </r>
  <r>
    <n v="508"/>
    <x v="0"/>
    <x v="7"/>
    <n v="2018"/>
    <x v="0"/>
    <s v=" "/>
    <s v=" "/>
    <x v="0"/>
    <x v="0"/>
    <x v="1"/>
    <n v="32"/>
    <x v="4"/>
    <x v="3"/>
    <x v="3"/>
  </r>
  <r>
    <n v="509"/>
    <x v="1"/>
    <x v="8"/>
    <n v="2023"/>
    <x v="0"/>
    <s v=" "/>
    <s v=" "/>
    <x v="0"/>
    <x v="0"/>
    <x v="0"/>
    <n v="50"/>
    <x v="1"/>
    <x v="0"/>
    <x v="4"/>
  </r>
  <r>
    <n v="510"/>
    <x v="4"/>
    <x v="9"/>
    <n v="2024"/>
    <x v="0"/>
    <s v=" "/>
    <s v=" "/>
    <x v="0"/>
    <x v="0"/>
    <x v="0"/>
    <n v="24"/>
    <x v="0"/>
    <x v="4"/>
    <x v="9"/>
  </r>
  <r>
    <n v="511"/>
    <x v="5"/>
    <x v="10"/>
    <n v="2024"/>
    <x v="0"/>
    <s v=" "/>
    <s v=" "/>
    <x v="0"/>
    <x v="0"/>
    <x v="0"/>
    <n v="36"/>
    <x v="4"/>
    <x v="0"/>
    <x v="0"/>
  </r>
  <r>
    <n v="512"/>
    <x v="3"/>
    <x v="11"/>
    <n v="2021"/>
    <x v="3"/>
    <n v="2024"/>
    <n v="4"/>
    <x v="7"/>
    <x v="1"/>
    <x v="1"/>
    <n v="49"/>
    <x v="3"/>
    <x v="0"/>
    <x v="2"/>
  </r>
  <r>
    <n v="513"/>
    <x v="0"/>
    <x v="12"/>
    <n v="2018"/>
    <x v="4"/>
    <n v="2020"/>
    <n v="3"/>
    <x v="3"/>
    <x v="1"/>
    <x v="1"/>
    <n v="43"/>
    <x v="3"/>
    <x v="1"/>
    <x v="3"/>
  </r>
  <r>
    <n v="514"/>
    <x v="1"/>
    <x v="13"/>
    <n v="2024"/>
    <x v="0"/>
    <s v=" "/>
    <s v=" "/>
    <x v="0"/>
    <x v="0"/>
    <x v="0"/>
    <n v="40"/>
    <x v="3"/>
    <x v="0"/>
    <x v="10"/>
  </r>
  <r>
    <n v="515"/>
    <x v="1"/>
    <x v="14"/>
    <n v="2018"/>
    <x v="0"/>
    <s v=" "/>
    <s v=" "/>
    <x v="0"/>
    <x v="0"/>
    <x v="1"/>
    <n v="42"/>
    <x v="3"/>
    <x v="2"/>
    <x v="4"/>
  </r>
  <r>
    <n v="516"/>
    <x v="0"/>
    <x v="15"/>
    <n v="2019"/>
    <x v="5"/>
    <n v="2022"/>
    <n v="4"/>
    <x v="4"/>
    <x v="1"/>
    <x v="0"/>
    <n v="35"/>
    <x v="4"/>
    <x v="7"/>
    <x v="9"/>
  </r>
  <r>
    <n v="517"/>
    <x v="3"/>
    <x v="16"/>
    <n v="2019"/>
    <x v="6"/>
    <n v="2020"/>
    <n v="2"/>
    <x v="3"/>
    <x v="1"/>
    <x v="0"/>
    <n v="31"/>
    <x v="4"/>
    <x v="0"/>
    <x v="4"/>
  </r>
  <r>
    <n v="518"/>
    <x v="5"/>
    <x v="17"/>
    <n v="2022"/>
    <x v="0"/>
    <s v=" "/>
    <s v=" "/>
    <x v="0"/>
    <x v="0"/>
    <x v="0"/>
    <n v="51"/>
    <x v="1"/>
    <x v="1"/>
    <x v="9"/>
  </r>
  <r>
    <n v="519"/>
    <x v="0"/>
    <x v="18"/>
    <n v="2024"/>
    <x v="0"/>
    <s v=" "/>
    <s v=" "/>
    <x v="0"/>
    <x v="0"/>
    <x v="1"/>
    <n v="48"/>
    <x v="3"/>
    <x v="1"/>
    <x v="0"/>
  </r>
  <r>
    <n v="520"/>
    <x v="3"/>
    <x v="19"/>
    <n v="2019"/>
    <x v="7"/>
    <n v="2022"/>
    <n v="4"/>
    <x v="5"/>
    <x v="1"/>
    <x v="0"/>
    <n v="41"/>
    <x v="3"/>
    <x v="2"/>
    <x v="2"/>
  </r>
  <r>
    <n v="521"/>
    <x v="5"/>
    <x v="20"/>
    <n v="2021"/>
    <x v="8"/>
    <n v="2024"/>
    <n v="4"/>
    <x v="7"/>
    <x v="1"/>
    <x v="1"/>
    <n v="35"/>
    <x v="4"/>
    <x v="3"/>
    <x v="3"/>
  </r>
  <r>
    <n v="522"/>
    <x v="2"/>
    <x v="21"/>
    <n v="2023"/>
    <x v="9"/>
    <n v="2024"/>
    <n v="2"/>
    <x v="4"/>
    <x v="1"/>
    <x v="0"/>
    <n v="24"/>
    <x v="0"/>
    <x v="0"/>
    <x v="10"/>
  </r>
  <r>
    <n v="523"/>
    <x v="1"/>
    <x v="22"/>
    <n v="2023"/>
    <x v="0"/>
    <s v=" "/>
    <s v=" "/>
    <x v="0"/>
    <x v="0"/>
    <x v="1"/>
    <n v="41"/>
    <x v="3"/>
    <x v="4"/>
    <x v="4"/>
  </r>
  <r>
    <n v="524"/>
    <x v="2"/>
    <x v="23"/>
    <n v="2024"/>
    <x v="0"/>
    <s v=" "/>
    <s v=" "/>
    <x v="0"/>
    <x v="0"/>
    <x v="1"/>
    <n v="40"/>
    <x v="3"/>
    <x v="0"/>
    <x v="9"/>
  </r>
  <r>
    <n v="525"/>
    <x v="0"/>
    <x v="24"/>
    <n v="2019"/>
    <x v="0"/>
    <s v=" "/>
    <s v=" "/>
    <x v="0"/>
    <x v="0"/>
    <x v="0"/>
    <n v="48"/>
    <x v="3"/>
    <x v="0"/>
    <x v="0"/>
  </r>
  <r>
    <n v="526"/>
    <x v="1"/>
    <x v="25"/>
    <n v="2022"/>
    <x v="0"/>
    <s v=" "/>
    <s v=" "/>
    <x v="0"/>
    <x v="0"/>
    <x v="1"/>
    <n v="52"/>
    <x v="1"/>
    <x v="1"/>
    <x v="1"/>
  </r>
  <r>
    <n v="527"/>
    <x v="4"/>
    <x v="26"/>
    <n v="2020"/>
    <x v="10"/>
    <n v="2021"/>
    <n v="2"/>
    <x v="6"/>
    <x v="1"/>
    <x v="1"/>
    <n v="33"/>
    <x v="4"/>
    <x v="0"/>
    <x v="2"/>
  </r>
  <r>
    <n v="528"/>
    <x v="2"/>
    <x v="27"/>
    <n v="2023"/>
    <x v="0"/>
    <s v=" "/>
    <s v=" "/>
    <x v="0"/>
    <x v="0"/>
    <x v="0"/>
    <n v="51"/>
    <x v="1"/>
    <x v="2"/>
    <x v="3"/>
  </r>
  <r>
    <n v="529"/>
    <x v="0"/>
    <x v="28"/>
    <n v="2021"/>
    <x v="11"/>
    <n v="2022"/>
    <n v="2"/>
    <x v="3"/>
    <x v="1"/>
    <x v="1"/>
    <n v="46"/>
    <x v="3"/>
    <x v="5"/>
    <x v="4"/>
  </r>
  <r>
    <n v="530"/>
    <x v="2"/>
    <x v="29"/>
    <n v="2018"/>
    <x v="12"/>
    <n v="2021"/>
    <n v="4"/>
    <x v="1"/>
    <x v="1"/>
    <x v="1"/>
    <n v="53"/>
    <x v="1"/>
    <x v="0"/>
    <x v="5"/>
  </r>
  <r>
    <n v="531"/>
    <x v="5"/>
    <x v="30"/>
    <n v="2021"/>
    <x v="0"/>
    <s v=" "/>
    <s v=" "/>
    <x v="0"/>
    <x v="0"/>
    <x v="0"/>
    <n v="35"/>
    <x v="4"/>
    <x v="1"/>
    <x v="6"/>
  </r>
  <r>
    <n v="532"/>
    <x v="0"/>
    <x v="31"/>
    <n v="2024"/>
    <x v="0"/>
    <s v=" "/>
    <s v=" "/>
    <x v="0"/>
    <x v="0"/>
    <x v="1"/>
    <n v="32"/>
    <x v="4"/>
    <x v="1"/>
    <x v="7"/>
  </r>
  <r>
    <n v="533"/>
    <x v="5"/>
    <x v="32"/>
    <n v="2021"/>
    <x v="0"/>
    <s v=" "/>
    <s v=" "/>
    <x v="0"/>
    <x v="0"/>
    <x v="0"/>
    <n v="46"/>
    <x v="3"/>
    <x v="2"/>
    <x v="8"/>
  </r>
  <r>
    <n v="534"/>
    <x v="0"/>
    <x v="33"/>
    <n v="2020"/>
    <x v="0"/>
    <s v=" "/>
    <s v=" "/>
    <x v="0"/>
    <x v="0"/>
    <x v="0"/>
    <n v="50"/>
    <x v="1"/>
    <x v="3"/>
    <x v="9"/>
  </r>
  <r>
    <n v="535"/>
    <x v="2"/>
    <x v="34"/>
    <n v="2018"/>
    <x v="13"/>
    <n v="2022"/>
    <n v="5"/>
    <x v="2"/>
    <x v="1"/>
    <x v="0"/>
    <n v="64"/>
    <x v="2"/>
    <x v="0"/>
    <x v="10"/>
  </r>
  <r>
    <n v="536"/>
    <x v="2"/>
    <x v="35"/>
    <n v="2018"/>
    <x v="0"/>
    <s v=" "/>
    <s v=" "/>
    <x v="0"/>
    <x v="0"/>
    <x v="1"/>
    <n v="29"/>
    <x v="0"/>
    <x v="4"/>
    <x v="2"/>
  </r>
  <r>
    <n v="537"/>
    <x v="2"/>
    <x v="36"/>
    <n v="2021"/>
    <x v="14"/>
    <n v="2024"/>
    <n v="4"/>
    <x v="1"/>
    <x v="1"/>
    <x v="0"/>
    <n v="27"/>
    <x v="0"/>
    <x v="0"/>
    <x v="4"/>
  </r>
  <r>
    <n v="538"/>
    <x v="4"/>
    <x v="37"/>
    <n v="2021"/>
    <x v="15"/>
    <n v="2023"/>
    <n v="3"/>
    <x v="4"/>
    <x v="1"/>
    <x v="1"/>
    <n v="31"/>
    <x v="4"/>
    <x v="0"/>
    <x v="9"/>
  </r>
  <r>
    <n v="539"/>
    <x v="0"/>
    <x v="38"/>
    <n v="2019"/>
    <x v="16"/>
    <n v="2022"/>
    <n v="4"/>
    <x v="3"/>
    <x v="1"/>
    <x v="0"/>
    <n v="24"/>
    <x v="0"/>
    <x v="1"/>
    <x v="1"/>
  </r>
  <r>
    <n v="540"/>
    <x v="5"/>
    <x v="39"/>
    <n v="2020"/>
    <x v="0"/>
    <s v=" "/>
    <s v=" "/>
    <x v="0"/>
    <x v="0"/>
    <x v="1"/>
    <n v="37"/>
    <x v="4"/>
    <x v="0"/>
    <x v="2"/>
  </r>
  <r>
    <n v="541"/>
    <x v="4"/>
    <x v="40"/>
    <n v="2020"/>
    <x v="0"/>
    <s v=" "/>
    <s v=" "/>
    <x v="0"/>
    <x v="0"/>
    <x v="1"/>
    <n v="23"/>
    <x v="0"/>
    <x v="2"/>
    <x v="3"/>
  </r>
  <r>
    <n v="542"/>
    <x v="4"/>
    <x v="41"/>
    <n v="2024"/>
    <x v="0"/>
    <s v=" "/>
    <s v=" "/>
    <x v="0"/>
    <x v="0"/>
    <x v="0"/>
    <n v="31"/>
    <x v="4"/>
    <x v="7"/>
    <x v="4"/>
  </r>
  <r>
    <n v="543"/>
    <x v="5"/>
    <x v="42"/>
    <n v="2024"/>
    <x v="0"/>
    <s v=" "/>
    <s v=" "/>
    <x v="0"/>
    <x v="0"/>
    <x v="1"/>
    <n v="52"/>
    <x v="1"/>
    <x v="0"/>
    <x v="9"/>
  </r>
  <r>
    <n v="544"/>
    <x v="2"/>
    <x v="43"/>
    <n v="2022"/>
    <x v="0"/>
    <s v=" "/>
    <s v=" "/>
    <x v="0"/>
    <x v="0"/>
    <x v="1"/>
    <n v="25"/>
    <x v="0"/>
    <x v="1"/>
    <x v="0"/>
  </r>
  <r>
    <n v="545"/>
    <x v="1"/>
    <x v="44"/>
    <n v="2023"/>
    <x v="0"/>
    <s v=" "/>
    <s v=" "/>
    <x v="0"/>
    <x v="0"/>
    <x v="0"/>
    <n v="46"/>
    <x v="3"/>
    <x v="1"/>
    <x v="2"/>
  </r>
  <r>
    <n v="546"/>
    <x v="1"/>
    <x v="45"/>
    <n v="2019"/>
    <x v="17"/>
    <n v="2021"/>
    <n v="3"/>
    <x v="5"/>
    <x v="1"/>
    <x v="1"/>
    <n v="24"/>
    <x v="0"/>
    <x v="2"/>
    <x v="3"/>
  </r>
  <r>
    <n v="547"/>
    <x v="1"/>
    <x v="46"/>
    <n v="2021"/>
    <x v="18"/>
    <n v="2024"/>
    <n v="4"/>
    <x v="7"/>
    <x v="1"/>
    <x v="1"/>
    <n v="38"/>
    <x v="4"/>
    <x v="3"/>
    <x v="10"/>
  </r>
  <r>
    <n v="548"/>
    <x v="3"/>
    <x v="47"/>
    <n v="2019"/>
    <x v="0"/>
    <s v=" "/>
    <s v=" "/>
    <x v="0"/>
    <x v="0"/>
    <x v="1"/>
    <n v="49"/>
    <x v="3"/>
    <x v="0"/>
    <x v="4"/>
  </r>
  <r>
    <n v="549"/>
    <x v="4"/>
    <x v="48"/>
    <n v="2024"/>
    <x v="0"/>
    <s v=" "/>
    <s v=" "/>
    <x v="0"/>
    <x v="0"/>
    <x v="0"/>
    <n v="31"/>
    <x v="4"/>
    <x v="4"/>
    <x v="9"/>
  </r>
  <r>
    <n v="550"/>
    <x v="0"/>
    <x v="49"/>
    <n v="2018"/>
    <x v="19"/>
    <n v="2022"/>
    <n v="5"/>
    <x v="4"/>
    <x v="1"/>
    <x v="1"/>
    <n v="51"/>
    <x v="1"/>
    <x v="0"/>
    <x v="4"/>
  </r>
  <r>
    <n v="551"/>
    <x v="0"/>
    <x v="0"/>
    <n v="2018"/>
    <x v="0"/>
    <s v=" "/>
    <s v=" "/>
    <x v="0"/>
    <x v="0"/>
    <x v="0"/>
    <n v="27"/>
    <x v="0"/>
    <x v="0"/>
    <x v="9"/>
  </r>
  <r>
    <n v="552"/>
    <x v="1"/>
    <x v="1"/>
    <n v="2020"/>
    <x v="0"/>
    <s v=" "/>
    <s v=" "/>
    <x v="0"/>
    <x v="0"/>
    <x v="0"/>
    <n v="22"/>
    <x v="0"/>
    <x v="1"/>
    <x v="0"/>
  </r>
  <r>
    <n v="553"/>
    <x v="1"/>
    <x v="2"/>
    <n v="2021"/>
    <x v="0"/>
    <s v=" "/>
    <s v=" "/>
    <x v="0"/>
    <x v="0"/>
    <x v="0"/>
    <n v="50"/>
    <x v="1"/>
    <x v="0"/>
    <x v="2"/>
  </r>
  <r>
    <n v="554"/>
    <x v="1"/>
    <x v="3"/>
    <n v="2023"/>
    <x v="0"/>
    <s v=" "/>
    <s v=" "/>
    <x v="0"/>
    <x v="0"/>
    <x v="1"/>
    <n v="24"/>
    <x v="0"/>
    <x v="2"/>
    <x v="3"/>
  </r>
  <r>
    <n v="555"/>
    <x v="1"/>
    <x v="4"/>
    <n v="2019"/>
    <x v="1"/>
    <n v="2021"/>
    <n v="3"/>
    <x v="1"/>
    <x v="1"/>
    <x v="0"/>
    <n v="50"/>
    <x v="1"/>
    <x v="5"/>
    <x v="10"/>
  </r>
  <r>
    <n v="556"/>
    <x v="2"/>
    <x v="5"/>
    <n v="2022"/>
    <x v="2"/>
    <n v="2023"/>
    <n v="2"/>
    <x v="7"/>
    <x v="1"/>
    <x v="1"/>
    <n v="28"/>
    <x v="0"/>
    <x v="0"/>
    <x v="4"/>
  </r>
  <r>
    <n v="557"/>
    <x v="3"/>
    <x v="6"/>
    <n v="2024"/>
    <x v="0"/>
    <s v=" "/>
    <s v=" "/>
    <x v="0"/>
    <x v="0"/>
    <x v="0"/>
    <n v="40"/>
    <x v="3"/>
    <x v="1"/>
    <x v="9"/>
  </r>
  <r>
    <n v="558"/>
    <x v="0"/>
    <x v="7"/>
    <n v="2018"/>
    <x v="0"/>
    <s v=" "/>
    <s v=" "/>
    <x v="0"/>
    <x v="0"/>
    <x v="1"/>
    <n v="32"/>
    <x v="4"/>
    <x v="1"/>
    <x v="0"/>
  </r>
  <r>
    <n v="559"/>
    <x v="1"/>
    <x v="8"/>
    <n v="2023"/>
    <x v="0"/>
    <s v=" "/>
    <s v=" "/>
    <x v="0"/>
    <x v="0"/>
    <x v="1"/>
    <n v="50"/>
    <x v="1"/>
    <x v="2"/>
    <x v="1"/>
  </r>
  <r>
    <n v="560"/>
    <x v="4"/>
    <x v="9"/>
    <n v="2024"/>
    <x v="0"/>
    <s v=" "/>
    <s v=" "/>
    <x v="0"/>
    <x v="0"/>
    <x v="0"/>
    <n v="24"/>
    <x v="0"/>
    <x v="3"/>
    <x v="2"/>
  </r>
  <r>
    <n v="561"/>
    <x v="5"/>
    <x v="10"/>
    <n v="2024"/>
    <x v="0"/>
    <s v=" "/>
    <s v=" "/>
    <x v="0"/>
    <x v="0"/>
    <x v="1"/>
    <n v="36"/>
    <x v="4"/>
    <x v="0"/>
    <x v="3"/>
  </r>
  <r>
    <n v="562"/>
    <x v="3"/>
    <x v="11"/>
    <n v="2021"/>
    <x v="3"/>
    <n v="2024"/>
    <n v="4"/>
    <x v="7"/>
    <x v="1"/>
    <x v="1"/>
    <n v="49"/>
    <x v="3"/>
    <x v="6"/>
    <x v="4"/>
  </r>
  <r>
    <n v="563"/>
    <x v="0"/>
    <x v="12"/>
    <n v="2018"/>
    <x v="4"/>
    <n v="2020"/>
    <n v="3"/>
    <x v="7"/>
    <x v="1"/>
    <x v="0"/>
    <n v="43"/>
    <x v="3"/>
    <x v="0"/>
    <x v="5"/>
  </r>
  <r>
    <n v="564"/>
    <x v="1"/>
    <x v="13"/>
    <n v="2024"/>
    <x v="0"/>
    <s v=" "/>
    <s v=" "/>
    <x v="0"/>
    <x v="0"/>
    <x v="1"/>
    <n v="40"/>
    <x v="3"/>
    <x v="0"/>
    <x v="6"/>
  </r>
  <r>
    <n v="565"/>
    <x v="1"/>
    <x v="14"/>
    <n v="2018"/>
    <x v="0"/>
    <s v=" "/>
    <s v=" "/>
    <x v="0"/>
    <x v="0"/>
    <x v="1"/>
    <n v="42"/>
    <x v="3"/>
    <x v="1"/>
    <x v="7"/>
  </r>
  <r>
    <n v="566"/>
    <x v="0"/>
    <x v="15"/>
    <n v="2019"/>
    <x v="5"/>
    <n v="2022"/>
    <n v="4"/>
    <x v="4"/>
    <x v="1"/>
    <x v="1"/>
    <n v="35"/>
    <x v="4"/>
    <x v="0"/>
    <x v="8"/>
  </r>
  <r>
    <n v="567"/>
    <x v="3"/>
    <x v="16"/>
    <n v="2019"/>
    <x v="6"/>
    <n v="2020"/>
    <n v="2"/>
    <x v="3"/>
    <x v="1"/>
    <x v="0"/>
    <n v="31"/>
    <x v="4"/>
    <x v="2"/>
    <x v="9"/>
  </r>
  <r>
    <n v="568"/>
    <x v="5"/>
    <x v="17"/>
    <n v="2022"/>
    <x v="0"/>
    <s v=" "/>
    <s v=" "/>
    <x v="0"/>
    <x v="0"/>
    <x v="1"/>
    <n v="51"/>
    <x v="1"/>
    <x v="5"/>
    <x v="10"/>
  </r>
  <r>
    <n v="569"/>
    <x v="0"/>
    <x v="18"/>
    <n v="2024"/>
    <x v="0"/>
    <s v=" "/>
    <s v=" "/>
    <x v="0"/>
    <x v="0"/>
    <x v="0"/>
    <n v="48"/>
    <x v="3"/>
    <x v="0"/>
    <x v="2"/>
  </r>
  <r>
    <n v="570"/>
    <x v="3"/>
    <x v="19"/>
    <n v="2019"/>
    <x v="7"/>
    <n v="2022"/>
    <n v="4"/>
    <x v="5"/>
    <x v="1"/>
    <x v="0"/>
    <n v="41"/>
    <x v="3"/>
    <x v="1"/>
    <x v="4"/>
  </r>
  <r>
    <n v="571"/>
    <x v="5"/>
    <x v="20"/>
    <n v="2021"/>
    <x v="8"/>
    <n v="2024"/>
    <n v="4"/>
    <x v="7"/>
    <x v="1"/>
    <x v="0"/>
    <n v="35"/>
    <x v="4"/>
    <x v="1"/>
    <x v="9"/>
  </r>
  <r>
    <n v="572"/>
    <x v="2"/>
    <x v="21"/>
    <n v="2023"/>
    <x v="9"/>
    <n v="2024"/>
    <n v="2"/>
    <x v="4"/>
    <x v="1"/>
    <x v="0"/>
    <n v="24"/>
    <x v="0"/>
    <x v="2"/>
    <x v="1"/>
  </r>
  <r>
    <n v="573"/>
    <x v="1"/>
    <x v="22"/>
    <n v="2023"/>
    <x v="0"/>
    <s v=" "/>
    <s v=" "/>
    <x v="0"/>
    <x v="0"/>
    <x v="1"/>
    <n v="41"/>
    <x v="3"/>
    <x v="3"/>
    <x v="2"/>
  </r>
  <r>
    <n v="574"/>
    <x v="2"/>
    <x v="23"/>
    <n v="2024"/>
    <x v="0"/>
    <s v=" "/>
    <s v=" "/>
    <x v="0"/>
    <x v="0"/>
    <x v="1"/>
    <n v="40"/>
    <x v="3"/>
    <x v="0"/>
    <x v="3"/>
  </r>
  <r>
    <n v="575"/>
    <x v="0"/>
    <x v="24"/>
    <n v="2019"/>
    <x v="0"/>
    <s v=" "/>
    <s v=" "/>
    <x v="0"/>
    <x v="0"/>
    <x v="0"/>
    <n v="48"/>
    <x v="3"/>
    <x v="6"/>
    <x v="4"/>
  </r>
  <r>
    <n v="576"/>
    <x v="1"/>
    <x v="25"/>
    <n v="2022"/>
    <x v="0"/>
    <s v=" "/>
    <s v=" "/>
    <x v="0"/>
    <x v="0"/>
    <x v="0"/>
    <n v="52"/>
    <x v="1"/>
    <x v="0"/>
    <x v="9"/>
  </r>
  <r>
    <n v="577"/>
    <x v="4"/>
    <x v="26"/>
    <n v="2020"/>
    <x v="10"/>
    <n v="2021"/>
    <n v="2"/>
    <x v="6"/>
    <x v="1"/>
    <x v="0"/>
    <n v="33"/>
    <x v="4"/>
    <x v="0"/>
    <x v="0"/>
  </r>
  <r>
    <n v="578"/>
    <x v="2"/>
    <x v="27"/>
    <n v="2023"/>
    <x v="0"/>
    <s v=" "/>
    <s v=" "/>
    <x v="0"/>
    <x v="0"/>
    <x v="1"/>
    <n v="51"/>
    <x v="1"/>
    <x v="1"/>
    <x v="2"/>
  </r>
  <r>
    <n v="579"/>
    <x v="0"/>
    <x v="28"/>
    <n v="2021"/>
    <x v="11"/>
    <n v="2022"/>
    <n v="2"/>
    <x v="7"/>
    <x v="1"/>
    <x v="0"/>
    <n v="46"/>
    <x v="3"/>
    <x v="0"/>
    <x v="3"/>
  </r>
  <r>
    <n v="580"/>
    <x v="2"/>
    <x v="29"/>
    <n v="2018"/>
    <x v="12"/>
    <n v="2021"/>
    <n v="4"/>
    <x v="1"/>
    <x v="1"/>
    <x v="0"/>
    <n v="53"/>
    <x v="1"/>
    <x v="2"/>
    <x v="10"/>
  </r>
  <r>
    <n v="581"/>
    <x v="5"/>
    <x v="30"/>
    <n v="2021"/>
    <x v="0"/>
    <s v=" "/>
    <s v=" "/>
    <x v="0"/>
    <x v="0"/>
    <x v="1"/>
    <n v="35"/>
    <x v="4"/>
    <x v="7"/>
    <x v="4"/>
  </r>
  <r>
    <n v="582"/>
    <x v="0"/>
    <x v="31"/>
    <n v="2024"/>
    <x v="0"/>
    <s v=" "/>
    <s v=" "/>
    <x v="0"/>
    <x v="0"/>
    <x v="0"/>
    <n v="32"/>
    <x v="4"/>
    <x v="0"/>
    <x v="9"/>
  </r>
  <r>
    <n v="583"/>
    <x v="5"/>
    <x v="32"/>
    <n v="2021"/>
    <x v="0"/>
    <s v=" "/>
    <s v=" "/>
    <x v="0"/>
    <x v="0"/>
    <x v="1"/>
    <n v="46"/>
    <x v="3"/>
    <x v="1"/>
    <x v="2"/>
  </r>
  <r>
    <n v="584"/>
    <x v="0"/>
    <x v="33"/>
    <n v="2020"/>
    <x v="0"/>
    <s v=" "/>
    <s v=" "/>
    <x v="0"/>
    <x v="0"/>
    <x v="1"/>
    <n v="50"/>
    <x v="1"/>
    <x v="1"/>
    <x v="4"/>
  </r>
  <r>
    <n v="585"/>
    <x v="2"/>
    <x v="34"/>
    <n v="2018"/>
    <x v="13"/>
    <n v="2022"/>
    <n v="5"/>
    <x v="2"/>
    <x v="1"/>
    <x v="0"/>
    <n v="65"/>
    <x v="2"/>
    <x v="2"/>
    <x v="9"/>
  </r>
  <r>
    <n v="586"/>
    <x v="2"/>
    <x v="35"/>
    <n v="2018"/>
    <x v="0"/>
    <s v=" "/>
    <s v=" "/>
    <x v="0"/>
    <x v="0"/>
    <x v="0"/>
    <n v="29"/>
    <x v="0"/>
    <x v="3"/>
    <x v="1"/>
  </r>
  <r>
    <n v="587"/>
    <x v="2"/>
    <x v="36"/>
    <n v="2021"/>
    <x v="14"/>
    <n v="2024"/>
    <n v="4"/>
    <x v="1"/>
    <x v="1"/>
    <x v="0"/>
    <n v="27"/>
    <x v="0"/>
    <x v="0"/>
    <x v="2"/>
  </r>
  <r>
    <n v="588"/>
    <x v="4"/>
    <x v="37"/>
    <n v="2021"/>
    <x v="15"/>
    <n v="2023"/>
    <n v="3"/>
    <x v="4"/>
    <x v="1"/>
    <x v="1"/>
    <n v="31"/>
    <x v="4"/>
    <x v="7"/>
    <x v="3"/>
  </r>
  <r>
    <n v="589"/>
    <x v="0"/>
    <x v="38"/>
    <n v="2019"/>
    <x v="16"/>
    <n v="2022"/>
    <n v="4"/>
    <x v="7"/>
    <x v="1"/>
    <x v="1"/>
    <n v="24"/>
    <x v="0"/>
    <x v="0"/>
    <x v="4"/>
  </r>
  <r>
    <n v="590"/>
    <x v="5"/>
    <x v="39"/>
    <n v="2020"/>
    <x v="0"/>
    <s v=" "/>
    <s v=" "/>
    <x v="0"/>
    <x v="0"/>
    <x v="0"/>
    <n v="37"/>
    <x v="4"/>
    <x v="0"/>
    <x v="9"/>
  </r>
  <r>
    <n v="591"/>
    <x v="4"/>
    <x v="40"/>
    <n v="2020"/>
    <x v="0"/>
    <s v=" "/>
    <s v=" "/>
    <x v="0"/>
    <x v="0"/>
    <x v="1"/>
    <n v="23"/>
    <x v="0"/>
    <x v="1"/>
    <x v="0"/>
  </r>
  <r>
    <n v="592"/>
    <x v="4"/>
    <x v="41"/>
    <n v="2024"/>
    <x v="0"/>
    <s v=" "/>
    <s v=" "/>
    <x v="0"/>
    <x v="0"/>
    <x v="1"/>
    <n v="31"/>
    <x v="4"/>
    <x v="0"/>
    <x v="2"/>
  </r>
  <r>
    <n v="593"/>
    <x v="5"/>
    <x v="42"/>
    <n v="2024"/>
    <x v="0"/>
    <s v=" "/>
    <s v=" "/>
    <x v="0"/>
    <x v="0"/>
    <x v="0"/>
    <n v="52"/>
    <x v="1"/>
    <x v="2"/>
    <x v="3"/>
  </r>
  <r>
    <n v="594"/>
    <x v="2"/>
    <x v="43"/>
    <n v="2022"/>
    <x v="0"/>
    <s v=" "/>
    <s v=" "/>
    <x v="0"/>
    <x v="0"/>
    <x v="0"/>
    <n v="25"/>
    <x v="0"/>
    <x v="7"/>
    <x v="10"/>
  </r>
  <r>
    <n v="595"/>
    <x v="1"/>
    <x v="44"/>
    <n v="2023"/>
    <x v="0"/>
    <s v=" "/>
    <s v=" "/>
    <x v="0"/>
    <x v="0"/>
    <x v="0"/>
    <n v="46"/>
    <x v="3"/>
    <x v="0"/>
    <x v="4"/>
  </r>
  <r>
    <n v="596"/>
    <x v="1"/>
    <x v="45"/>
    <n v="2019"/>
    <x v="17"/>
    <n v="2021"/>
    <n v="3"/>
    <x v="5"/>
    <x v="1"/>
    <x v="0"/>
    <n v="24"/>
    <x v="0"/>
    <x v="1"/>
    <x v="9"/>
  </r>
  <r>
    <n v="597"/>
    <x v="1"/>
    <x v="46"/>
    <n v="2021"/>
    <x v="18"/>
    <n v="2024"/>
    <n v="4"/>
    <x v="5"/>
    <x v="1"/>
    <x v="1"/>
    <n v="38"/>
    <x v="4"/>
    <x v="1"/>
    <x v="0"/>
  </r>
  <r>
    <n v="598"/>
    <x v="3"/>
    <x v="47"/>
    <n v="2019"/>
    <x v="0"/>
    <s v=" "/>
    <s v=" "/>
    <x v="0"/>
    <x v="0"/>
    <x v="1"/>
    <n v="49"/>
    <x v="3"/>
    <x v="2"/>
    <x v="1"/>
  </r>
  <r>
    <n v="599"/>
    <x v="4"/>
    <x v="48"/>
    <n v="2024"/>
    <x v="0"/>
    <s v=" "/>
    <s v=" "/>
    <x v="0"/>
    <x v="0"/>
    <x v="1"/>
    <n v="31"/>
    <x v="4"/>
    <x v="3"/>
    <x v="2"/>
  </r>
  <r>
    <n v="600"/>
    <x v="0"/>
    <x v="49"/>
    <n v="2018"/>
    <x v="19"/>
    <n v="2022"/>
    <n v="5"/>
    <x v="4"/>
    <x v="1"/>
    <x v="0"/>
    <n v="51"/>
    <x v="1"/>
    <x v="0"/>
    <x v="3"/>
  </r>
  <r>
    <n v="601"/>
    <x v="0"/>
    <x v="0"/>
    <n v="2018"/>
    <x v="0"/>
    <s v=" "/>
    <s v=" "/>
    <x v="0"/>
    <x v="0"/>
    <x v="1"/>
    <n v="27"/>
    <x v="0"/>
    <x v="4"/>
    <x v="4"/>
  </r>
  <r>
    <n v="602"/>
    <x v="1"/>
    <x v="1"/>
    <n v="2020"/>
    <x v="0"/>
    <s v=" "/>
    <s v=" "/>
    <x v="0"/>
    <x v="0"/>
    <x v="1"/>
    <n v="22"/>
    <x v="0"/>
    <x v="0"/>
    <x v="5"/>
  </r>
  <r>
    <n v="603"/>
    <x v="1"/>
    <x v="2"/>
    <n v="2021"/>
    <x v="0"/>
    <s v=" "/>
    <s v=" "/>
    <x v="0"/>
    <x v="0"/>
    <x v="0"/>
    <n v="50"/>
    <x v="1"/>
    <x v="0"/>
    <x v="6"/>
  </r>
  <r>
    <n v="604"/>
    <x v="1"/>
    <x v="3"/>
    <n v="2023"/>
    <x v="0"/>
    <s v=" "/>
    <s v=" "/>
    <x v="0"/>
    <x v="0"/>
    <x v="1"/>
    <n v="24"/>
    <x v="0"/>
    <x v="1"/>
    <x v="7"/>
  </r>
  <r>
    <n v="605"/>
    <x v="1"/>
    <x v="4"/>
    <n v="2019"/>
    <x v="1"/>
    <n v="2021"/>
    <n v="3"/>
    <x v="7"/>
    <x v="1"/>
    <x v="1"/>
    <n v="50"/>
    <x v="1"/>
    <x v="0"/>
    <x v="8"/>
  </r>
  <r>
    <n v="606"/>
    <x v="2"/>
    <x v="5"/>
    <n v="2022"/>
    <x v="2"/>
    <n v="2023"/>
    <n v="2"/>
    <x v="7"/>
    <x v="1"/>
    <x v="1"/>
    <n v="28"/>
    <x v="0"/>
    <x v="2"/>
    <x v="9"/>
  </r>
  <r>
    <n v="607"/>
    <x v="3"/>
    <x v="6"/>
    <n v="2024"/>
    <x v="0"/>
    <s v=" "/>
    <s v=" "/>
    <x v="0"/>
    <x v="0"/>
    <x v="0"/>
    <n v="40"/>
    <x v="3"/>
    <x v="5"/>
    <x v="10"/>
  </r>
  <r>
    <n v="608"/>
    <x v="0"/>
    <x v="7"/>
    <n v="2018"/>
    <x v="0"/>
    <s v=" "/>
    <s v=" "/>
    <x v="0"/>
    <x v="0"/>
    <x v="0"/>
    <n v="32"/>
    <x v="4"/>
    <x v="0"/>
    <x v="2"/>
  </r>
  <r>
    <n v="609"/>
    <x v="1"/>
    <x v="8"/>
    <n v="2023"/>
    <x v="0"/>
    <s v=" "/>
    <s v=" "/>
    <x v="0"/>
    <x v="0"/>
    <x v="1"/>
    <n v="50"/>
    <x v="1"/>
    <x v="1"/>
    <x v="4"/>
  </r>
  <r>
    <n v="610"/>
    <x v="4"/>
    <x v="9"/>
    <n v="2024"/>
    <x v="0"/>
    <s v=" "/>
    <s v=" "/>
    <x v="0"/>
    <x v="0"/>
    <x v="1"/>
    <n v="24"/>
    <x v="0"/>
    <x v="1"/>
    <x v="9"/>
  </r>
  <r>
    <n v="611"/>
    <x v="5"/>
    <x v="10"/>
    <n v="2024"/>
    <x v="0"/>
    <s v=" "/>
    <s v=" "/>
    <x v="0"/>
    <x v="0"/>
    <x v="0"/>
    <n v="36"/>
    <x v="4"/>
    <x v="2"/>
    <x v="1"/>
  </r>
  <r>
    <n v="612"/>
    <x v="3"/>
    <x v="11"/>
    <n v="2021"/>
    <x v="3"/>
    <n v="2024"/>
    <n v="4"/>
    <x v="7"/>
    <x v="1"/>
    <x v="1"/>
    <n v="49"/>
    <x v="3"/>
    <x v="3"/>
    <x v="2"/>
  </r>
  <r>
    <n v="613"/>
    <x v="0"/>
    <x v="12"/>
    <n v="2018"/>
    <x v="4"/>
    <n v="2020"/>
    <n v="3"/>
    <x v="3"/>
    <x v="1"/>
    <x v="1"/>
    <n v="43"/>
    <x v="3"/>
    <x v="0"/>
    <x v="3"/>
  </r>
  <r>
    <n v="614"/>
    <x v="1"/>
    <x v="13"/>
    <n v="2024"/>
    <x v="0"/>
    <s v=" "/>
    <s v=" "/>
    <x v="0"/>
    <x v="0"/>
    <x v="1"/>
    <n v="40"/>
    <x v="3"/>
    <x v="4"/>
    <x v="4"/>
  </r>
  <r>
    <n v="615"/>
    <x v="1"/>
    <x v="14"/>
    <n v="2018"/>
    <x v="0"/>
    <s v=" "/>
    <s v=" "/>
    <x v="0"/>
    <x v="0"/>
    <x v="0"/>
    <n v="42"/>
    <x v="3"/>
    <x v="0"/>
    <x v="9"/>
  </r>
  <r>
    <n v="616"/>
    <x v="0"/>
    <x v="15"/>
    <n v="2019"/>
    <x v="5"/>
    <n v="2022"/>
    <n v="4"/>
    <x v="4"/>
    <x v="1"/>
    <x v="0"/>
    <n v="35"/>
    <x v="4"/>
    <x v="0"/>
    <x v="0"/>
  </r>
  <r>
    <n v="617"/>
    <x v="3"/>
    <x v="16"/>
    <n v="2019"/>
    <x v="6"/>
    <n v="2020"/>
    <n v="2"/>
    <x v="3"/>
    <x v="1"/>
    <x v="1"/>
    <n v="31"/>
    <x v="4"/>
    <x v="1"/>
    <x v="2"/>
  </r>
  <r>
    <n v="618"/>
    <x v="5"/>
    <x v="17"/>
    <n v="2022"/>
    <x v="0"/>
    <s v=" "/>
    <s v=" "/>
    <x v="0"/>
    <x v="0"/>
    <x v="1"/>
    <n v="51"/>
    <x v="1"/>
    <x v="0"/>
    <x v="3"/>
  </r>
  <r>
    <n v="619"/>
    <x v="0"/>
    <x v="18"/>
    <n v="2024"/>
    <x v="0"/>
    <s v=" "/>
    <s v=" "/>
    <x v="0"/>
    <x v="0"/>
    <x v="1"/>
    <n v="48"/>
    <x v="3"/>
    <x v="2"/>
    <x v="10"/>
  </r>
  <r>
    <n v="620"/>
    <x v="3"/>
    <x v="19"/>
    <n v="2019"/>
    <x v="7"/>
    <n v="2022"/>
    <n v="4"/>
    <x v="5"/>
    <x v="1"/>
    <x v="0"/>
    <n v="41"/>
    <x v="3"/>
    <x v="5"/>
    <x v="4"/>
  </r>
  <r>
    <n v="621"/>
    <x v="5"/>
    <x v="20"/>
    <n v="2021"/>
    <x v="8"/>
    <n v="2024"/>
    <n v="4"/>
    <x v="7"/>
    <x v="1"/>
    <x v="0"/>
    <n v="35"/>
    <x v="4"/>
    <x v="0"/>
    <x v="9"/>
  </r>
  <r>
    <n v="622"/>
    <x v="2"/>
    <x v="21"/>
    <n v="2023"/>
    <x v="9"/>
    <n v="2024"/>
    <n v="2"/>
    <x v="4"/>
    <x v="1"/>
    <x v="0"/>
    <n v="24"/>
    <x v="0"/>
    <x v="1"/>
    <x v="2"/>
  </r>
  <r>
    <n v="623"/>
    <x v="1"/>
    <x v="22"/>
    <n v="2023"/>
    <x v="0"/>
    <s v=" "/>
    <s v=" "/>
    <x v="0"/>
    <x v="0"/>
    <x v="1"/>
    <n v="41"/>
    <x v="3"/>
    <x v="1"/>
    <x v="4"/>
  </r>
  <r>
    <n v="624"/>
    <x v="2"/>
    <x v="23"/>
    <n v="2024"/>
    <x v="0"/>
    <s v=" "/>
    <s v=" "/>
    <x v="0"/>
    <x v="0"/>
    <x v="1"/>
    <n v="40"/>
    <x v="3"/>
    <x v="2"/>
    <x v="9"/>
  </r>
  <r>
    <n v="625"/>
    <x v="0"/>
    <x v="24"/>
    <n v="2019"/>
    <x v="0"/>
    <s v=" "/>
    <s v=" "/>
    <x v="0"/>
    <x v="0"/>
    <x v="0"/>
    <n v="48"/>
    <x v="3"/>
    <x v="3"/>
    <x v="1"/>
  </r>
  <r>
    <n v="626"/>
    <x v="1"/>
    <x v="25"/>
    <n v="2022"/>
    <x v="0"/>
    <s v=" "/>
    <s v=" "/>
    <x v="0"/>
    <x v="0"/>
    <x v="0"/>
    <n v="52"/>
    <x v="1"/>
    <x v="0"/>
    <x v="2"/>
  </r>
  <r>
    <n v="627"/>
    <x v="4"/>
    <x v="26"/>
    <n v="2020"/>
    <x v="10"/>
    <n v="2021"/>
    <n v="2"/>
    <x v="7"/>
    <x v="1"/>
    <x v="0"/>
    <n v="33"/>
    <x v="4"/>
    <x v="7"/>
    <x v="3"/>
  </r>
  <r>
    <n v="628"/>
    <x v="2"/>
    <x v="27"/>
    <n v="2023"/>
    <x v="0"/>
    <s v=" "/>
    <s v=" "/>
    <x v="0"/>
    <x v="0"/>
    <x v="0"/>
    <n v="51"/>
    <x v="1"/>
    <x v="0"/>
    <x v="4"/>
  </r>
  <r>
    <n v="629"/>
    <x v="0"/>
    <x v="28"/>
    <n v="2021"/>
    <x v="11"/>
    <n v="2022"/>
    <n v="2"/>
    <x v="3"/>
    <x v="1"/>
    <x v="0"/>
    <n v="46"/>
    <x v="3"/>
    <x v="0"/>
    <x v="9"/>
  </r>
  <r>
    <n v="630"/>
    <x v="2"/>
    <x v="29"/>
    <n v="2018"/>
    <x v="12"/>
    <n v="2021"/>
    <n v="4"/>
    <x v="1"/>
    <x v="1"/>
    <x v="0"/>
    <n v="53"/>
    <x v="1"/>
    <x v="1"/>
    <x v="0"/>
  </r>
  <r>
    <n v="631"/>
    <x v="5"/>
    <x v="30"/>
    <n v="2021"/>
    <x v="0"/>
    <s v=" "/>
    <s v=" "/>
    <x v="0"/>
    <x v="0"/>
    <x v="1"/>
    <n v="35"/>
    <x v="4"/>
    <x v="0"/>
    <x v="2"/>
  </r>
  <r>
    <n v="632"/>
    <x v="0"/>
    <x v="31"/>
    <n v="2024"/>
    <x v="0"/>
    <s v=" "/>
    <s v=" "/>
    <x v="0"/>
    <x v="0"/>
    <x v="0"/>
    <n v="32"/>
    <x v="4"/>
    <x v="2"/>
    <x v="3"/>
  </r>
  <r>
    <n v="633"/>
    <x v="5"/>
    <x v="32"/>
    <n v="2021"/>
    <x v="0"/>
    <s v=" "/>
    <s v=" "/>
    <x v="0"/>
    <x v="0"/>
    <x v="1"/>
    <n v="46"/>
    <x v="3"/>
    <x v="5"/>
    <x v="10"/>
  </r>
  <r>
    <n v="634"/>
    <x v="0"/>
    <x v="33"/>
    <n v="2020"/>
    <x v="0"/>
    <s v=" "/>
    <s v=" "/>
    <x v="0"/>
    <x v="0"/>
    <x v="1"/>
    <n v="50"/>
    <x v="1"/>
    <x v="0"/>
    <x v="4"/>
  </r>
  <r>
    <n v="635"/>
    <x v="2"/>
    <x v="34"/>
    <n v="2018"/>
    <x v="13"/>
    <n v="2022"/>
    <n v="5"/>
    <x v="2"/>
    <x v="1"/>
    <x v="0"/>
    <n v="66"/>
    <x v="2"/>
    <x v="1"/>
    <x v="9"/>
  </r>
  <r>
    <n v="636"/>
    <x v="2"/>
    <x v="35"/>
    <n v="2018"/>
    <x v="0"/>
    <s v=" "/>
    <s v=" "/>
    <x v="0"/>
    <x v="0"/>
    <x v="1"/>
    <n v="29"/>
    <x v="0"/>
    <x v="1"/>
    <x v="0"/>
  </r>
  <r>
    <n v="637"/>
    <x v="2"/>
    <x v="36"/>
    <n v="2021"/>
    <x v="14"/>
    <n v="2024"/>
    <n v="4"/>
    <x v="7"/>
    <x v="1"/>
    <x v="0"/>
    <n v="27"/>
    <x v="0"/>
    <x v="2"/>
    <x v="1"/>
  </r>
  <r>
    <n v="638"/>
    <x v="4"/>
    <x v="37"/>
    <n v="2021"/>
    <x v="15"/>
    <n v="2023"/>
    <n v="3"/>
    <x v="4"/>
    <x v="1"/>
    <x v="0"/>
    <n v="31"/>
    <x v="4"/>
    <x v="3"/>
    <x v="2"/>
  </r>
  <r>
    <n v="639"/>
    <x v="0"/>
    <x v="38"/>
    <n v="2019"/>
    <x v="16"/>
    <n v="2022"/>
    <n v="4"/>
    <x v="3"/>
    <x v="1"/>
    <x v="1"/>
    <n v="24"/>
    <x v="0"/>
    <x v="0"/>
    <x v="3"/>
  </r>
  <r>
    <n v="640"/>
    <x v="5"/>
    <x v="39"/>
    <n v="2020"/>
    <x v="0"/>
    <s v=" "/>
    <s v=" "/>
    <x v="0"/>
    <x v="0"/>
    <x v="0"/>
    <n v="37"/>
    <x v="4"/>
    <x v="4"/>
    <x v="4"/>
  </r>
  <r>
    <n v="641"/>
    <x v="4"/>
    <x v="40"/>
    <n v="2020"/>
    <x v="0"/>
    <s v=" "/>
    <s v=" "/>
    <x v="0"/>
    <x v="0"/>
    <x v="1"/>
    <n v="23"/>
    <x v="0"/>
    <x v="0"/>
    <x v="5"/>
  </r>
  <r>
    <n v="642"/>
    <x v="4"/>
    <x v="41"/>
    <n v="2024"/>
    <x v="0"/>
    <s v=" "/>
    <s v=" "/>
    <x v="0"/>
    <x v="0"/>
    <x v="1"/>
    <n v="31"/>
    <x v="4"/>
    <x v="0"/>
    <x v="6"/>
  </r>
  <r>
    <n v="643"/>
    <x v="5"/>
    <x v="42"/>
    <n v="2024"/>
    <x v="0"/>
    <s v=" "/>
    <s v=" "/>
    <x v="0"/>
    <x v="0"/>
    <x v="0"/>
    <n v="52"/>
    <x v="1"/>
    <x v="1"/>
    <x v="7"/>
  </r>
  <r>
    <n v="644"/>
    <x v="2"/>
    <x v="43"/>
    <n v="2022"/>
    <x v="0"/>
    <s v=" "/>
    <s v=" "/>
    <x v="0"/>
    <x v="0"/>
    <x v="0"/>
    <n v="25"/>
    <x v="0"/>
    <x v="0"/>
    <x v="8"/>
  </r>
  <r>
    <n v="645"/>
    <x v="1"/>
    <x v="44"/>
    <n v="2023"/>
    <x v="0"/>
    <s v=" "/>
    <s v=" "/>
    <x v="0"/>
    <x v="0"/>
    <x v="0"/>
    <n v="46"/>
    <x v="3"/>
    <x v="2"/>
    <x v="9"/>
  </r>
  <r>
    <n v="646"/>
    <x v="1"/>
    <x v="45"/>
    <n v="2019"/>
    <x v="17"/>
    <n v="2021"/>
    <n v="3"/>
    <x v="5"/>
    <x v="1"/>
    <x v="0"/>
    <n v="24"/>
    <x v="0"/>
    <x v="7"/>
    <x v="10"/>
  </r>
  <r>
    <n v="647"/>
    <x v="1"/>
    <x v="46"/>
    <n v="2021"/>
    <x v="18"/>
    <n v="2024"/>
    <n v="4"/>
    <x v="5"/>
    <x v="1"/>
    <x v="0"/>
    <n v="38"/>
    <x v="4"/>
    <x v="0"/>
    <x v="2"/>
  </r>
  <r>
    <n v="648"/>
    <x v="3"/>
    <x v="47"/>
    <n v="2019"/>
    <x v="0"/>
    <s v=" "/>
    <s v=" "/>
    <x v="0"/>
    <x v="0"/>
    <x v="1"/>
    <n v="49"/>
    <x v="3"/>
    <x v="1"/>
    <x v="4"/>
  </r>
  <r>
    <n v="649"/>
    <x v="4"/>
    <x v="48"/>
    <n v="2024"/>
    <x v="0"/>
    <s v=" "/>
    <s v=" "/>
    <x v="0"/>
    <x v="0"/>
    <x v="1"/>
    <n v="31"/>
    <x v="4"/>
    <x v="1"/>
    <x v="9"/>
  </r>
  <r>
    <n v="650"/>
    <x v="0"/>
    <x v="49"/>
    <n v="2018"/>
    <x v="19"/>
    <n v="2022"/>
    <n v="5"/>
    <x v="4"/>
    <x v="1"/>
    <x v="1"/>
    <n v="51"/>
    <x v="1"/>
    <x v="2"/>
    <x v="1"/>
  </r>
  <r>
    <n v="651"/>
    <x v="0"/>
    <x v="0"/>
    <n v="2018"/>
    <x v="0"/>
    <s v=" "/>
    <s v=" "/>
    <x v="0"/>
    <x v="0"/>
    <x v="1"/>
    <n v="27"/>
    <x v="0"/>
    <x v="3"/>
    <x v="2"/>
  </r>
  <r>
    <n v="652"/>
    <x v="1"/>
    <x v="1"/>
    <n v="2020"/>
    <x v="0"/>
    <s v=" "/>
    <s v=" "/>
    <x v="0"/>
    <x v="0"/>
    <x v="1"/>
    <n v="22"/>
    <x v="0"/>
    <x v="0"/>
    <x v="3"/>
  </r>
  <r>
    <n v="653"/>
    <x v="1"/>
    <x v="2"/>
    <n v="2021"/>
    <x v="0"/>
    <s v=" "/>
    <s v=" "/>
    <x v="0"/>
    <x v="0"/>
    <x v="0"/>
    <n v="50"/>
    <x v="1"/>
    <x v="6"/>
    <x v="4"/>
  </r>
  <r>
    <n v="654"/>
    <x v="1"/>
    <x v="3"/>
    <n v="2023"/>
    <x v="0"/>
    <s v=" "/>
    <s v=" "/>
    <x v="0"/>
    <x v="0"/>
    <x v="1"/>
    <n v="24"/>
    <x v="0"/>
    <x v="0"/>
    <x v="9"/>
  </r>
  <r>
    <n v="655"/>
    <x v="1"/>
    <x v="4"/>
    <n v="2019"/>
    <x v="1"/>
    <n v="2021"/>
    <n v="3"/>
    <x v="1"/>
    <x v="1"/>
    <x v="1"/>
    <n v="50"/>
    <x v="1"/>
    <x v="0"/>
    <x v="0"/>
  </r>
  <r>
    <n v="656"/>
    <x v="2"/>
    <x v="5"/>
    <n v="2022"/>
    <x v="2"/>
    <n v="2023"/>
    <n v="2"/>
    <x v="7"/>
    <x v="1"/>
    <x v="1"/>
    <n v="28"/>
    <x v="0"/>
    <x v="1"/>
    <x v="2"/>
  </r>
  <r>
    <n v="657"/>
    <x v="3"/>
    <x v="6"/>
    <n v="2024"/>
    <x v="0"/>
    <s v=" "/>
    <s v=" "/>
    <x v="0"/>
    <x v="0"/>
    <x v="0"/>
    <n v="40"/>
    <x v="3"/>
    <x v="0"/>
    <x v="3"/>
  </r>
  <r>
    <n v="658"/>
    <x v="0"/>
    <x v="7"/>
    <n v="2018"/>
    <x v="0"/>
    <s v=" "/>
    <s v=" "/>
    <x v="0"/>
    <x v="0"/>
    <x v="0"/>
    <n v="32"/>
    <x v="4"/>
    <x v="2"/>
    <x v="10"/>
  </r>
  <r>
    <n v="659"/>
    <x v="1"/>
    <x v="8"/>
    <n v="2023"/>
    <x v="0"/>
    <s v=" "/>
    <s v=" "/>
    <x v="0"/>
    <x v="0"/>
    <x v="1"/>
    <n v="50"/>
    <x v="1"/>
    <x v="5"/>
    <x v="4"/>
  </r>
  <r>
    <n v="660"/>
    <x v="4"/>
    <x v="9"/>
    <n v="2024"/>
    <x v="0"/>
    <s v=" "/>
    <s v=" "/>
    <x v="0"/>
    <x v="0"/>
    <x v="0"/>
    <n v="24"/>
    <x v="0"/>
    <x v="0"/>
    <x v="9"/>
  </r>
  <r>
    <n v="661"/>
    <x v="5"/>
    <x v="10"/>
    <n v="2024"/>
    <x v="0"/>
    <s v=" "/>
    <s v=" "/>
    <x v="0"/>
    <x v="0"/>
    <x v="0"/>
    <n v="36"/>
    <x v="4"/>
    <x v="1"/>
    <x v="2"/>
  </r>
  <r>
    <n v="662"/>
    <x v="3"/>
    <x v="11"/>
    <n v="2021"/>
    <x v="3"/>
    <n v="2024"/>
    <n v="4"/>
    <x v="7"/>
    <x v="1"/>
    <x v="1"/>
    <n v="49"/>
    <x v="3"/>
    <x v="1"/>
    <x v="3"/>
  </r>
  <r>
    <n v="663"/>
    <x v="0"/>
    <x v="12"/>
    <n v="2018"/>
    <x v="4"/>
    <n v="2020"/>
    <n v="3"/>
    <x v="3"/>
    <x v="1"/>
    <x v="0"/>
    <n v="43"/>
    <x v="3"/>
    <x v="2"/>
    <x v="4"/>
  </r>
  <r>
    <n v="664"/>
    <x v="1"/>
    <x v="13"/>
    <n v="2024"/>
    <x v="0"/>
    <s v=" "/>
    <s v=" "/>
    <x v="0"/>
    <x v="0"/>
    <x v="0"/>
    <n v="40"/>
    <x v="3"/>
    <x v="3"/>
    <x v="9"/>
  </r>
  <r>
    <n v="665"/>
    <x v="1"/>
    <x v="14"/>
    <n v="2018"/>
    <x v="0"/>
    <s v=" "/>
    <s v=" "/>
    <x v="0"/>
    <x v="0"/>
    <x v="0"/>
    <n v="42"/>
    <x v="3"/>
    <x v="0"/>
    <x v="0"/>
  </r>
  <r>
    <n v="666"/>
    <x v="0"/>
    <x v="15"/>
    <n v="2019"/>
    <x v="5"/>
    <n v="2022"/>
    <n v="4"/>
    <x v="4"/>
    <x v="1"/>
    <x v="1"/>
    <n v="35"/>
    <x v="4"/>
    <x v="7"/>
    <x v="2"/>
  </r>
  <r>
    <n v="667"/>
    <x v="3"/>
    <x v="16"/>
    <n v="2019"/>
    <x v="6"/>
    <n v="2020"/>
    <n v="2"/>
    <x v="3"/>
    <x v="1"/>
    <x v="0"/>
    <n v="31"/>
    <x v="4"/>
    <x v="0"/>
    <x v="3"/>
  </r>
  <r>
    <n v="668"/>
    <x v="5"/>
    <x v="17"/>
    <n v="2022"/>
    <x v="0"/>
    <s v=" "/>
    <s v=" "/>
    <x v="0"/>
    <x v="0"/>
    <x v="1"/>
    <n v="51"/>
    <x v="1"/>
    <x v="0"/>
    <x v="10"/>
  </r>
  <r>
    <n v="669"/>
    <x v="0"/>
    <x v="18"/>
    <n v="2024"/>
    <x v="0"/>
    <s v=" "/>
    <s v=" "/>
    <x v="0"/>
    <x v="0"/>
    <x v="1"/>
    <n v="48"/>
    <x v="3"/>
    <x v="1"/>
    <x v="4"/>
  </r>
  <r>
    <n v="670"/>
    <x v="3"/>
    <x v="19"/>
    <n v="2019"/>
    <x v="7"/>
    <n v="2022"/>
    <n v="4"/>
    <x v="5"/>
    <x v="1"/>
    <x v="1"/>
    <n v="41"/>
    <x v="3"/>
    <x v="0"/>
    <x v="9"/>
  </r>
  <r>
    <n v="671"/>
    <x v="5"/>
    <x v="20"/>
    <n v="2021"/>
    <x v="8"/>
    <n v="2024"/>
    <n v="4"/>
    <x v="7"/>
    <x v="1"/>
    <x v="0"/>
    <n v="35"/>
    <x v="4"/>
    <x v="2"/>
    <x v="0"/>
  </r>
  <r>
    <n v="672"/>
    <x v="2"/>
    <x v="21"/>
    <n v="2023"/>
    <x v="9"/>
    <n v="2024"/>
    <n v="2"/>
    <x v="4"/>
    <x v="1"/>
    <x v="0"/>
    <n v="24"/>
    <x v="0"/>
    <x v="7"/>
    <x v="1"/>
  </r>
  <r>
    <n v="673"/>
    <x v="1"/>
    <x v="22"/>
    <n v="2023"/>
    <x v="0"/>
    <s v=" "/>
    <s v=" "/>
    <x v="0"/>
    <x v="0"/>
    <x v="1"/>
    <n v="41"/>
    <x v="3"/>
    <x v="0"/>
    <x v="2"/>
  </r>
  <r>
    <n v="674"/>
    <x v="2"/>
    <x v="23"/>
    <n v="2024"/>
    <x v="0"/>
    <s v=" "/>
    <s v=" "/>
    <x v="0"/>
    <x v="0"/>
    <x v="1"/>
    <n v="40"/>
    <x v="3"/>
    <x v="1"/>
    <x v="3"/>
  </r>
  <r>
    <n v="675"/>
    <x v="0"/>
    <x v="24"/>
    <n v="2019"/>
    <x v="0"/>
    <s v=" "/>
    <s v=" "/>
    <x v="0"/>
    <x v="0"/>
    <x v="0"/>
    <n v="48"/>
    <x v="3"/>
    <x v="1"/>
    <x v="4"/>
  </r>
  <r>
    <n v="676"/>
    <x v="1"/>
    <x v="25"/>
    <n v="2022"/>
    <x v="0"/>
    <s v=" "/>
    <s v=" "/>
    <x v="0"/>
    <x v="0"/>
    <x v="0"/>
    <n v="52"/>
    <x v="1"/>
    <x v="2"/>
    <x v="5"/>
  </r>
  <r>
    <n v="677"/>
    <x v="4"/>
    <x v="26"/>
    <n v="2020"/>
    <x v="10"/>
    <n v="2021"/>
    <n v="2"/>
    <x v="6"/>
    <x v="1"/>
    <x v="0"/>
    <n v="33"/>
    <x v="4"/>
    <x v="3"/>
    <x v="6"/>
  </r>
  <r>
    <n v="678"/>
    <x v="2"/>
    <x v="27"/>
    <n v="2023"/>
    <x v="0"/>
    <s v=" "/>
    <s v=" "/>
    <x v="0"/>
    <x v="0"/>
    <x v="0"/>
    <n v="51"/>
    <x v="1"/>
    <x v="0"/>
    <x v="7"/>
  </r>
  <r>
    <n v="679"/>
    <x v="0"/>
    <x v="28"/>
    <n v="2021"/>
    <x v="11"/>
    <n v="2022"/>
    <n v="2"/>
    <x v="3"/>
    <x v="1"/>
    <x v="1"/>
    <n v="46"/>
    <x v="3"/>
    <x v="6"/>
    <x v="8"/>
  </r>
  <r>
    <n v="680"/>
    <x v="2"/>
    <x v="29"/>
    <n v="2018"/>
    <x v="12"/>
    <n v="2021"/>
    <n v="4"/>
    <x v="1"/>
    <x v="1"/>
    <x v="0"/>
    <n v="53"/>
    <x v="1"/>
    <x v="0"/>
    <x v="9"/>
  </r>
  <r>
    <n v="681"/>
    <x v="5"/>
    <x v="30"/>
    <n v="2021"/>
    <x v="0"/>
    <s v=" "/>
    <s v=" "/>
    <x v="0"/>
    <x v="0"/>
    <x v="1"/>
    <n v="35"/>
    <x v="4"/>
    <x v="0"/>
    <x v="10"/>
  </r>
  <r>
    <n v="682"/>
    <x v="0"/>
    <x v="31"/>
    <n v="2024"/>
    <x v="0"/>
    <s v=" "/>
    <s v=" "/>
    <x v="0"/>
    <x v="0"/>
    <x v="1"/>
    <n v="32"/>
    <x v="4"/>
    <x v="1"/>
    <x v="2"/>
  </r>
  <r>
    <n v="683"/>
    <x v="5"/>
    <x v="32"/>
    <n v="2021"/>
    <x v="0"/>
    <s v=" "/>
    <s v=" "/>
    <x v="0"/>
    <x v="0"/>
    <x v="0"/>
    <n v="46"/>
    <x v="3"/>
    <x v="0"/>
    <x v="4"/>
  </r>
  <r>
    <n v="684"/>
    <x v="0"/>
    <x v="33"/>
    <n v="2020"/>
    <x v="0"/>
    <s v=" "/>
    <s v=" "/>
    <x v="0"/>
    <x v="0"/>
    <x v="0"/>
    <n v="50"/>
    <x v="1"/>
    <x v="2"/>
    <x v="9"/>
  </r>
  <r>
    <n v="685"/>
    <x v="2"/>
    <x v="34"/>
    <n v="2018"/>
    <x v="13"/>
    <n v="2022"/>
    <n v="5"/>
    <x v="2"/>
    <x v="1"/>
    <x v="0"/>
    <n v="64"/>
    <x v="2"/>
    <x v="5"/>
    <x v="1"/>
  </r>
  <r>
    <n v="686"/>
    <x v="2"/>
    <x v="35"/>
    <n v="2018"/>
    <x v="0"/>
    <s v=" "/>
    <s v=" "/>
    <x v="0"/>
    <x v="0"/>
    <x v="1"/>
    <n v="29"/>
    <x v="0"/>
    <x v="0"/>
    <x v="2"/>
  </r>
  <r>
    <n v="687"/>
    <x v="2"/>
    <x v="36"/>
    <n v="2021"/>
    <x v="14"/>
    <n v="2024"/>
    <n v="4"/>
    <x v="1"/>
    <x v="1"/>
    <x v="0"/>
    <n v="27"/>
    <x v="0"/>
    <x v="1"/>
    <x v="3"/>
  </r>
  <r>
    <n v="688"/>
    <x v="4"/>
    <x v="37"/>
    <n v="2021"/>
    <x v="15"/>
    <n v="2023"/>
    <n v="3"/>
    <x v="4"/>
    <x v="1"/>
    <x v="1"/>
    <n v="31"/>
    <x v="4"/>
    <x v="1"/>
    <x v="4"/>
  </r>
  <r>
    <n v="689"/>
    <x v="0"/>
    <x v="38"/>
    <n v="2019"/>
    <x v="16"/>
    <n v="2022"/>
    <n v="4"/>
    <x v="3"/>
    <x v="1"/>
    <x v="0"/>
    <n v="24"/>
    <x v="0"/>
    <x v="2"/>
    <x v="9"/>
  </r>
  <r>
    <n v="690"/>
    <x v="5"/>
    <x v="39"/>
    <n v="2020"/>
    <x v="0"/>
    <s v=" "/>
    <s v=" "/>
    <x v="0"/>
    <x v="0"/>
    <x v="0"/>
    <n v="37"/>
    <x v="4"/>
    <x v="3"/>
    <x v="0"/>
  </r>
  <r>
    <n v="691"/>
    <x v="4"/>
    <x v="40"/>
    <n v="2020"/>
    <x v="0"/>
    <s v=" "/>
    <s v=" "/>
    <x v="0"/>
    <x v="0"/>
    <x v="1"/>
    <n v="23"/>
    <x v="0"/>
    <x v="0"/>
    <x v="2"/>
  </r>
  <r>
    <n v="692"/>
    <x v="4"/>
    <x v="41"/>
    <n v="2024"/>
    <x v="0"/>
    <s v=" "/>
    <s v=" "/>
    <x v="0"/>
    <x v="0"/>
    <x v="1"/>
    <n v="31"/>
    <x v="4"/>
    <x v="4"/>
    <x v="3"/>
  </r>
  <r>
    <n v="693"/>
    <x v="5"/>
    <x v="42"/>
    <n v="2024"/>
    <x v="0"/>
    <s v=" "/>
    <s v=" "/>
    <x v="0"/>
    <x v="0"/>
    <x v="0"/>
    <n v="52"/>
    <x v="1"/>
    <x v="0"/>
    <x v="10"/>
  </r>
  <r>
    <n v="694"/>
    <x v="2"/>
    <x v="43"/>
    <n v="2022"/>
    <x v="0"/>
    <s v=" "/>
    <s v=" "/>
    <x v="0"/>
    <x v="0"/>
    <x v="1"/>
    <n v="25"/>
    <x v="0"/>
    <x v="0"/>
    <x v="4"/>
  </r>
  <r>
    <n v="695"/>
    <x v="1"/>
    <x v="44"/>
    <n v="2023"/>
    <x v="0"/>
    <s v=" "/>
    <s v=" "/>
    <x v="0"/>
    <x v="0"/>
    <x v="0"/>
    <n v="46"/>
    <x v="3"/>
    <x v="1"/>
    <x v="9"/>
  </r>
  <r>
    <n v="696"/>
    <x v="1"/>
    <x v="45"/>
    <n v="2019"/>
    <x v="17"/>
    <n v="2021"/>
    <n v="3"/>
    <x v="5"/>
    <x v="1"/>
    <x v="0"/>
    <n v="24"/>
    <x v="0"/>
    <x v="0"/>
    <x v="9"/>
  </r>
  <r>
    <n v="697"/>
    <x v="1"/>
    <x v="46"/>
    <n v="2021"/>
    <x v="18"/>
    <n v="2024"/>
    <n v="4"/>
    <x v="5"/>
    <x v="1"/>
    <x v="0"/>
    <n v="38"/>
    <x v="4"/>
    <x v="2"/>
    <x v="0"/>
  </r>
  <r>
    <n v="698"/>
    <x v="3"/>
    <x v="47"/>
    <n v="2019"/>
    <x v="0"/>
    <s v=" "/>
    <s v=" "/>
    <x v="0"/>
    <x v="0"/>
    <x v="1"/>
    <n v="49"/>
    <x v="3"/>
    <x v="5"/>
    <x v="1"/>
  </r>
  <r>
    <n v="699"/>
    <x v="4"/>
    <x v="48"/>
    <n v="2024"/>
    <x v="0"/>
    <s v=" "/>
    <s v=" "/>
    <x v="0"/>
    <x v="0"/>
    <x v="0"/>
    <n v="31"/>
    <x v="4"/>
    <x v="0"/>
    <x v="2"/>
  </r>
  <r>
    <n v="700"/>
    <x v="0"/>
    <x v="49"/>
    <n v="2018"/>
    <x v="19"/>
    <n v="2022"/>
    <n v="5"/>
    <x v="4"/>
    <x v="1"/>
    <x v="1"/>
    <n v="51"/>
    <x v="1"/>
    <x v="1"/>
    <x v="3"/>
  </r>
  <r>
    <n v="701"/>
    <x v="0"/>
    <x v="0"/>
    <n v="2018"/>
    <x v="0"/>
    <s v=" "/>
    <s v=" "/>
    <x v="0"/>
    <x v="0"/>
    <x v="0"/>
    <n v="27"/>
    <x v="0"/>
    <x v="1"/>
    <x v="4"/>
  </r>
  <r>
    <n v="702"/>
    <x v="1"/>
    <x v="1"/>
    <n v="2020"/>
    <x v="0"/>
    <s v=" "/>
    <s v=" "/>
    <x v="0"/>
    <x v="0"/>
    <x v="1"/>
    <n v="22"/>
    <x v="0"/>
    <x v="2"/>
    <x v="5"/>
  </r>
  <r>
    <n v="703"/>
    <x v="1"/>
    <x v="2"/>
    <n v="2021"/>
    <x v="0"/>
    <s v=" "/>
    <s v=" "/>
    <x v="0"/>
    <x v="0"/>
    <x v="1"/>
    <n v="50"/>
    <x v="1"/>
    <x v="3"/>
    <x v="6"/>
  </r>
  <r>
    <n v="704"/>
    <x v="1"/>
    <x v="3"/>
    <n v="2023"/>
    <x v="0"/>
    <s v=" "/>
    <s v=" "/>
    <x v="0"/>
    <x v="0"/>
    <x v="0"/>
    <n v="24"/>
    <x v="0"/>
    <x v="0"/>
    <x v="7"/>
  </r>
  <r>
    <n v="705"/>
    <x v="1"/>
    <x v="4"/>
    <n v="2019"/>
    <x v="1"/>
    <n v="2021"/>
    <n v="3"/>
    <x v="1"/>
    <x v="1"/>
    <x v="1"/>
    <n v="50"/>
    <x v="1"/>
    <x v="6"/>
    <x v="8"/>
  </r>
  <r>
    <n v="706"/>
    <x v="2"/>
    <x v="5"/>
    <n v="2022"/>
    <x v="2"/>
    <n v="2023"/>
    <n v="2"/>
    <x v="7"/>
    <x v="1"/>
    <x v="1"/>
    <n v="28"/>
    <x v="0"/>
    <x v="0"/>
    <x v="9"/>
  </r>
  <r>
    <n v="707"/>
    <x v="3"/>
    <x v="6"/>
    <n v="2024"/>
    <x v="0"/>
    <s v=" "/>
    <s v=" "/>
    <x v="0"/>
    <x v="0"/>
    <x v="0"/>
    <n v="40"/>
    <x v="3"/>
    <x v="0"/>
    <x v="10"/>
  </r>
  <r>
    <n v="708"/>
    <x v="0"/>
    <x v="7"/>
    <n v="2018"/>
    <x v="0"/>
    <s v=" "/>
    <s v=" "/>
    <x v="0"/>
    <x v="0"/>
    <x v="0"/>
    <n v="32"/>
    <x v="4"/>
    <x v="1"/>
    <x v="2"/>
  </r>
  <r>
    <n v="709"/>
    <x v="1"/>
    <x v="8"/>
    <n v="2023"/>
    <x v="0"/>
    <s v=" "/>
    <s v=" "/>
    <x v="0"/>
    <x v="0"/>
    <x v="1"/>
    <n v="50"/>
    <x v="1"/>
    <x v="0"/>
    <x v="4"/>
  </r>
  <r>
    <n v="710"/>
    <x v="4"/>
    <x v="9"/>
    <n v="2024"/>
    <x v="0"/>
    <s v=" "/>
    <s v=" "/>
    <x v="0"/>
    <x v="0"/>
    <x v="1"/>
    <n v="24"/>
    <x v="0"/>
    <x v="2"/>
    <x v="9"/>
  </r>
  <r>
    <n v="711"/>
    <x v="5"/>
    <x v="10"/>
    <n v="2024"/>
    <x v="0"/>
    <s v=" "/>
    <s v=" "/>
    <x v="0"/>
    <x v="0"/>
    <x v="0"/>
    <n v="36"/>
    <x v="4"/>
    <x v="5"/>
    <x v="1"/>
  </r>
  <r>
    <n v="712"/>
    <x v="3"/>
    <x v="11"/>
    <n v="2021"/>
    <x v="3"/>
    <n v="2024"/>
    <n v="4"/>
    <x v="7"/>
    <x v="1"/>
    <x v="1"/>
    <n v="49"/>
    <x v="3"/>
    <x v="0"/>
    <x v="2"/>
  </r>
  <r>
    <n v="713"/>
    <x v="0"/>
    <x v="12"/>
    <n v="2018"/>
    <x v="4"/>
    <n v="2020"/>
    <n v="3"/>
    <x v="3"/>
    <x v="1"/>
    <x v="0"/>
    <n v="43"/>
    <x v="3"/>
    <x v="1"/>
    <x v="3"/>
  </r>
  <r>
    <n v="714"/>
    <x v="1"/>
    <x v="13"/>
    <n v="2024"/>
    <x v="0"/>
    <s v=" "/>
    <s v=" "/>
    <x v="0"/>
    <x v="0"/>
    <x v="0"/>
    <n v="40"/>
    <x v="3"/>
    <x v="1"/>
    <x v="4"/>
  </r>
  <r>
    <n v="715"/>
    <x v="1"/>
    <x v="14"/>
    <n v="2018"/>
    <x v="0"/>
    <s v=" "/>
    <s v=" "/>
    <x v="0"/>
    <x v="0"/>
    <x v="0"/>
    <n v="42"/>
    <x v="3"/>
    <x v="2"/>
    <x v="9"/>
  </r>
  <r>
    <n v="716"/>
    <x v="0"/>
    <x v="15"/>
    <n v="2019"/>
    <x v="5"/>
    <n v="2022"/>
    <n v="4"/>
    <x v="4"/>
    <x v="1"/>
    <x v="1"/>
    <n v="35"/>
    <x v="4"/>
    <x v="3"/>
    <x v="0"/>
  </r>
  <r>
    <n v="717"/>
    <x v="3"/>
    <x v="16"/>
    <n v="2019"/>
    <x v="6"/>
    <n v="2020"/>
    <n v="2"/>
    <x v="7"/>
    <x v="1"/>
    <x v="0"/>
    <n v="31"/>
    <x v="4"/>
    <x v="0"/>
    <x v="2"/>
  </r>
  <r>
    <n v="718"/>
    <x v="5"/>
    <x v="17"/>
    <n v="2022"/>
    <x v="0"/>
    <s v=" "/>
    <s v=" "/>
    <x v="0"/>
    <x v="0"/>
    <x v="1"/>
    <n v="51"/>
    <x v="1"/>
    <x v="6"/>
    <x v="3"/>
  </r>
  <r>
    <n v="719"/>
    <x v="0"/>
    <x v="18"/>
    <n v="2024"/>
    <x v="0"/>
    <s v=" "/>
    <s v=" "/>
    <x v="0"/>
    <x v="0"/>
    <x v="0"/>
    <n v="48"/>
    <x v="3"/>
    <x v="0"/>
    <x v="10"/>
  </r>
  <r>
    <n v="720"/>
    <x v="3"/>
    <x v="19"/>
    <n v="2019"/>
    <x v="7"/>
    <n v="2022"/>
    <n v="4"/>
    <x v="5"/>
    <x v="1"/>
    <x v="1"/>
    <n v="41"/>
    <x v="3"/>
    <x v="0"/>
    <x v="4"/>
  </r>
  <r>
    <n v="721"/>
    <x v="5"/>
    <x v="20"/>
    <n v="2021"/>
    <x v="8"/>
    <n v="2024"/>
    <n v="4"/>
    <x v="7"/>
    <x v="1"/>
    <x v="1"/>
    <n v="35"/>
    <x v="4"/>
    <x v="1"/>
    <x v="9"/>
  </r>
  <r>
    <n v="722"/>
    <x v="2"/>
    <x v="21"/>
    <n v="2023"/>
    <x v="9"/>
    <n v="2024"/>
    <n v="2"/>
    <x v="4"/>
    <x v="1"/>
    <x v="0"/>
    <n v="24"/>
    <x v="0"/>
    <x v="0"/>
    <x v="9"/>
  </r>
  <r>
    <n v="723"/>
    <x v="1"/>
    <x v="22"/>
    <n v="2023"/>
    <x v="0"/>
    <s v=" "/>
    <s v=" "/>
    <x v="0"/>
    <x v="0"/>
    <x v="1"/>
    <n v="41"/>
    <x v="3"/>
    <x v="2"/>
    <x v="0"/>
  </r>
  <r>
    <n v="724"/>
    <x v="2"/>
    <x v="23"/>
    <n v="2024"/>
    <x v="0"/>
    <s v=" "/>
    <s v=" "/>
    <x v="0"/>
    <x v="0"/>
    <x v="1"/>
    <n v="40"/>
    <x v="3"/>
    <x v="5"/>
    <x v="1"/>
  </r>
  <r>
    <n v="725"/>
    <x v="0"/>
    <x v="24"/>
    <n v="2019"/>
    <x v="0"/>
    <s v=" "/>
    <s v=" "/>
    <x v="0"/>
    <x v="0"/>
    <x v="0"/>
    <n v="48"/>
    <x v="3"/>
    <x v="0"/>
    <x v="2"/>
  </r>
  <r>
    <n v="726"/>
    <x v="1"/>
    <x v="25"/>
    <n v="2022"/>
    <x v="0"/>
    <s v=" "/>
    <s v=" "/>
    <x v="0"/>
    <x v="0"/>
    <x v="0"/>
    <n v="52"/>
    <x v="1"/>
    <x v="1"/>
    <x v="3"/>
  </r>
  <r>
    <n v="727"/>
    <x v="4"/>
    <x v="26"/>
    <n v="2020"/>
    <x v="10"/>
    <n v="2021"/>
    <n v="2"/>
    <x v="6"/>
    <x v="1"/>
    <x v="0"/>
    <n v="33"/>
    <x v="4"/>
    <x v="1"/>
    <x v="4"/>
  </r>
  <r>
    <n v="728"/>
    <x v="2"/>
    <x v="27"/>
    <n v="2023"/>
    <x v="0"/>
    <s v=" "/>
    <s v=" "/>
    <x v="0"/>
    <x v="0"/>
    <x v="1"/>
    <n v="51"/>
    <x v="1"/>
    <x v="2"/>
    <x v="5"/>
  </r>
  <r>
    <n v="729"/>
    <x v="0"/>
    <x v="28"/>
    <n v="2021"/>
    <x v="11"/>
    <n v="2022"/>
    <n v="2"/>
    <x v="3"/>
    <x v="1"/>
    <x v="1"/>
    <n v="46"/>
    <x v="3"/>
    <x v="3"/>
    <x v="6"/>
  </r>
  <r>
    <n v="730"/>
    <x v="2"/>
    <x v="29"/>
    <n v="2018"/>
    <x v="12"/>
    <n v="2021"/>
    <n v="4"/>
    <x v="1"/>
    <x v="1"/>
    <x v="0"/>
    <n v="53"/>
    <x v="1"/>
    <x v="0"/>
    <x v="7"/>
  </r>
  <r>
    <n v="731"/>
    <x v="5"/>
    <x v="30"/>
    <n v="2021"/>
    <x v="0"/>
    <s v=" "/>
    <s v=" "/>
    <x v="0"/>
    <x v="0"/>
    <x v="1"/>
    <n v="35"/>
    <x v="4"/>
    <x v="4"/>
    <x v="8"/>
  </r>
  <r>
    <n v="732"/>
    <x v="0"/>
    <x v="31"/>
    <n v="2024"/>
    <x v="0"/>
    <s v=" "/>
    <s v=" "/>
    <x v="0"/>
    <x v="0"/>
    <x v="0"/>
    <n v="32"/>
    <x v="4"/>
    <x v="0"/>
    <x v="9"/>
  </r>
  <r>
    <n v="733"/>
    <x v="5"/>
    <x v="32"/>
    <n v="2021"/>
    <x v="0"/>
    <s v=" "/>
    <s v=" "/>
    <x v="0"/>
    <x v="0"/>
    <x v="0"/>
    <n v="46"/>
    <x v="3"/>
    <x v="0"/>
    <x v="10"/>
  </r>
  <r>
    <n v="734"/>
    <x v="0"/>
    <x v="33"/>
    <n v="2020"/>
    <x v="0"/>
    <s v=" "/>
    <s v=" "/>
    <x v="0"/>
    <x v="0"/>
    <x v="0"/>
    <n v="50"/>
    <x v="1"/>
    <x v="1"/>
    <x v="2"/>
  </r>
  <r>
    <n v="735"/>
    <x v="2"/>
    <x v="34"/>
    <n v="2018"/>
    <x v="13"/>
    <n v="2022"/>
    <n v="5"/>
    <x v="2"/>
    <x v="1"/>
    <x v="1"/>
    <n v="65"/>
    <x v="2"/>
    <x v="0"/>
    <x v="4"/>
  </r>
  <r>
    <n v="736"/>
    <x v="2"/>
    <x v="35"/>
    <n v="2018"/>
    <x v="0"/>
    <s v=" "/>
    <s v=" "/>
    <x v="0"/>
    <x v="0"/>
    <x v="0"/>
    <n v="29"/>
    <x v="0"/>
    <x v="2"/>
    <x v="9"/>
  </r>
  <r>
    <n v="737"/>
    <x v="2"/>
    <x v="36"/>
    <n v="2021"/>
    <x v="14"/>
    <n v="2024"/>
    <n v="4"/>
    <x v="1"/>
    <x v="1"/>
    <x v="1"/>
    <n v="27"/>
    <x v="0"/>
    <x v="7"/>
    <x v="1"/>
  </r>
  <r>
    <n v="738"/>
    <x v="4"/>
    <x v="37"/>
    <n v="2021"/>
    <x v="15"/>
    <n v="2023"/>
    <n v="3"/>
    <x v="4"/>
    <x v="1"/>
    <x v="0"/>
    <n v="31"/>
    <x v="4"/>
    <x v="0"/>
    <x v="2"/>
  </r>
  <r>
    <n v="739"/>
    <x v="0"/>
    <x v="38"/>
    <n v="2019"/>
    <x v="16"/>
    <n v="2022"/>
    <n v="4"/>
    <x v="7"/>
    <x v="1"/>
    <x v="1"/>
    <n v="24"/>
    <x v="0"/>
    <x v="1"/>
    <x v="3"/>
  </r>
  <r>
    <n v="740"/>
    <x v="5"/>
    <x v="39"/>
    <n v="2020"/>
    <x v="0"/>
    <s v=" "/>
    <s v=" "/>
    <x v="0"/>
    <x v="0"/>
    <x v="1"/>
    <n v="37"/>
    <x v="4"/>
    <x v="1"/>
    <x v="4"/>
  </r>
  <r>
    <n v="741"/>
    <x v="4"/>
    <x v="40"/>
    <n v="2020"/>
    <x v="0"/>
    <s v=" "/>
    <s v=" "/>
    <x v="0"/>
    <x v="0"/>
    <x v="0"/>
    <n v="23"/>
    <x v="0"/>
    <x v="2"/>
    <x v="9"/>
  </r>
  <r>
    <n v="742"/>
    <x v="4"/>
    <x v="41"/>
    <n v="2024"/>
    <x v="0"/>
    <s v=" "/>
    <s v=" "/>
    <x v="0"/>
    <x v="0"/>
    <x v="1"/>
    <n v="31"/>
    <x v="4"/>
    <x v="3"/>
    <x v="0"/>
  </r>
  <r>
    <n v="743"/>
    <x v="5"/>
    <x v="42"/>
    <n v="2024"/>
    <x v="0"/>
    <s v=" "/>
    <s v=" "/>
    <x v="0"/>
    <x v="0"/>
    <x v="1"/>
    <n v="52"/>
    <x v="1"/>
    <x v="0"/>
    <x v="2"/>
  </r>
  <r>
    <n v="744"/>
    <x v="2"/>
    <x v="43"/>
    <n v="2022"/>
    <x v="0"/>
    <s v=" "/>
    <s v=" "/>
    <x v="0"/>
    <x v="0"/>
    <x v="0"/>
    <n v="25"/>
    <x v="0"/>
    <x v="4"/>
    <x v="3"/>
  </r>
  <r>
    <n v="745"/>
    <x v="1"/>
    <x v="44"/>
    <n v="2023"/>
    <x v="0"/>
    <s v=" "/>
    <s v=" "/>
    <x v="0"/>
    <x v="0"/>
    <x v="0"/>
    <n v="46"/>
    <x v="3"/>
    <x v="0"/>
    <x v="10"/>
  </r>
  <r>
    <n v="746"/>
    <x v="1"/>
    <x v="45"/>
    <n v="2019"/>
    <x v="17"/>
    <n v="2021"/>
    <n v="3"/>
    <x v="5"/>
    <x v="1"/>
    <x v="0"/>
    <n v="24"/>
    <x v="0"/>
    <x v="0"/>
    <x v="4"/>
  </r>
  <r>
    <n v="747"/>
    <x v="1"/>
    <x v="46"/>
    <n v="2021"/>
    <x v="18"/>
    <n v="2024"/>
    <n v="4"/>
    <x v="5"/>
    <x v="1"/>
    <x v="1"/>
    <n v="38"/>
    <x v="4"/>
    <x v="1"/>
    <x v="9"/>
  </r>
  <r>
    <n v="748"/>
    <x v="3"/>
    <x v="47"/>
    <n v="2019"/>
    <x v="0"/>
    <s v=" "/>
    <s v=" "/>
    <x v="0"/>
    <x v="0"/>
    <x v="1"/>
    <n v="49"/>
    <x v="3"/>
    <x v="0"/>
    <x v="0"/>
  </r>
  <r>
    <n v="749"/>
    <x v="4"/>
    <x v="48"/>
    <n v="2024"/>
    <x v="0"/>
    <s v=" "/>
    <s v=" "/>
    <x v="0"/>
    <x v="0"/>
    <x v="0"/>
    <n v="31"/>
    <x v="4"/>
    <x v="2"/>
    <x v="1"/>
  </r>
  <r>
    <n v="750"/>
    <x v="0"/>
    <x v="49"/>
    <n v="2018"/>
    <x v="19"/>
    <n v="2022"/>
    <n v="5"/>
    <x v="4"/>
    <x v="1"/>
    <x v="1"/>
    <n v="51"/>
    <x v="1"/>
    <x v="5"/>
    <x v="2"/>
  </r>
  <r>
    <n v="751"/>
    <x v="0"/>
    <x v="0"/>
    <n v="2018"/>
    <x v="0"/>
    <s v=" "/>
    <s v=" "/>
    <x v="0"/>
    <x v="0"/>
    <x v="0"/>
    <n v="27"/>
    <x v="0"/>
    <x v="0"/>
    <x v="3"/>
  </r>
  <r>
    <n v="752"/>
    <x v="1"/>
    <x v="1"/>
    <n v="2020"/>
    <x v="0"/>
    <s v=" "/>
    <s v=" "/>
    <x v="0"/>
    <x v="0"/>
    <x v="0"/>
    <n v="22"/>
    <x v="0"/>
    <x v="1"/>
    <x v="4"/>
  </r>
  <r>
    <n v="753"/>
    <x v="1"/>
    <x v="2"/>
    <n v="2021"/>
    <x v="0"/>
    <s v=" "/>
    <s v=" "/>
    <x v="0"/>
    <x v="0"/>
    <x v="0"/>
    <n v="50"/>
    <x v="1"/>
    <x v="1"/>
    <x v="5"/>
  </r>
  <r>
    <n v="754"/>
    <x v="1"/>
    <x v="3"/>
    <n v="2023"/>
    <x v="0"/>
    <s v=" "/>
    <s v=" "/>
    <x v="0"/>
    <x v="0"/>
    <x v="1"/>
    <n v="24"/>
    <x v="0"/>
    <x v="2"/>
    <x v="6"/>
  </r>
  <r>
    <n v="755"/>
    <x v="1"/>
    <x v="4"/>
    <n v="2019"/>
    <x v="1"/>
    <n v="2021"/>
    <n v="3"/>
    <x v="7"/>
    <x v="1"/>
    <x v="0"/>
    <n v="50"/>
    <x v="1"/>
    <x v="3"/>
    <x v="7"/>
  </r>
  <r>
    <n v="756"/>
    <x v="2"/>
    <x v="5"/>
    <n v="2022"/>
    <x v="2"/>
    <n v="2023"/>
    <n v="2"/>
    <x v="7"/>
    <x v="1"/>
    <x v="1"/>
    <n v="28"/>
    <x v="0"/>
    <x v="0"/>
    <x v="8"/>
  </r>
  <r>
    <n v="757"/>
    <x v="3"/>
    <x v="6"/>
    <n v="2024"/>
    <x v="0"/>
    <s v=" "/>
    <s v=" "/>
    <x v="0"/>
    <x v="0"/>
    <x v="0"/>
    <n v="40"/>
    <x v="3"/>
    <x v="4"/>
    <x v="9"/>
  </r>
  <r>
    <n v="758"/>
    <x v="0"/>
    <x v="7"/>
    <n v="2018"/>
    <x v="0"/>
    <s v=" "/>
    <s v=" "/>
    <x v="0"/>
    <x v="0"/>
    <x v="1"/>
    <n v="32"/>
    <x v="4"/>
    <x v="0"/>
    <x v="10"/>
  </r>
  <r>
    <n v="759"/>
    <x v="1"/>
    <x v="8"/>
    <n v="2023"/>
    <x v="0"/>
    <s v=" "/>
    <s v=" "/>
    <x v="0"/>
    <x v="0"/>
    <x v="1"/>
    <n v="50"/>
    <x v="1"/>
    <x v="0"/>
    <x v="2"/>
  </r>
  <r>
    <n v="760"/>
    <x v="4"/>
    <x v="9"/>
    <n v="2024"/>
    <x v="0"/>
    <s v=" "/>
    <s v=" "/>
    <x v="0"/>
    <x v="0"/>
    <x v="0"/>
    <n v="24"/>
    <x v="0"/>
    <x v="1"/>
    <x v="4"/>
  </r>
  <r>
    <n v="761"/>
    <x v="5"/>
    <x v="10"/>
    <n v="2024"/>
    <x v="0"/>
    <s v=" "/>
    <s v=" "/>
    <x v="0"/>
    <x v="0"/>
    <x v="1"/>
    <n v="36"/>
    <x v="4"/>
    <x v="0"/>
    <x v="9"/>
  </r>
  <r>
    <n v="762"/>
    <x v="3"/>
    <x v="11"/>
    <n v="2021"/>
    <x v="3"/>
    <n v="2024"/>
    <n v="4"/>
    <x v="7"/>
    <x v="1"/>
    <x v="1"/>
    <n v="49"/>
    <x v="3"/>
    <x v="2"/>
    <x v="1"/>
  </r>
  <r>
    <n v="763"/>
    <x v="0"/>
    <x v="12"/>
    <n v="2018"/>
    <x v="4"/>
    <n v="2020"/>
    <n v="3"/>
    <x v="3"/>
    <x v="1"/>
    <x v="0"/>
    <n v="43"/>
    <x v="3"/>
    <x v="5"/>
    <x v="2"/>
  </r>
  <r>
    <n v="764"/>
    <x v="1"/>
    <x v="13"/>
    <n v="2024"/>
    <x v="0"/>
    <s v=" "/>
    <s v=" "/>
    <x v="0"/>
    <x v="0"/>
    <x v="1"/>
    <n v="40"/>
    <x v="3"/>
    <x v="0"/>
    <x v="3"/>
  </r>
  <r>
    <n v="765"/>
    <x v="1"/>
    <x v="14"/>
    <n v="2018"/>
    <x v="0"/>
    <s v=" "/>
    <s v=" "/>
    <x v="0"/>
    <x v="0"/>
    <x v="1"/>
    <n v="42"/>
    <x v="3"/>
    <x v="1"/>
    <x v="4"/>
  </r>
  <r>
    <n v="766"/>
    <x v="0"/>
    <x v="15"/>
    <n v="2019"/>
    <x v="5"/>
    <n v="2022"/>
    <n v="4"/>
    <x v="4"/>
    <x v="1"/>
    <x v="0"/>
    <n v="35"/>
    <x v="4"/>
    <x v="1"/>
    <x v="9"/>
  </r>
  <r>
    <n v="767"/>
    <x v="3"/>
    <x v="16"/>
    <n v="2019"/>
    <x v="6"/>
    <n v="2020"/>
    <n v="2"/>
    <x v="3"/>
    <x v="1"/>
    <x v="1"/>
    <n v="31"/>
    <x v="4"/>
    <x v="2"/>
    <x v="0"/>
  </r>
  <r>
    <n v="768"/>
    <x v="5"/>
    <x v="17"/>
    <n v="2022"/>
    <x v="0"/>
    <s v=" "/>
    <s v=" "/>
    <x v="0"/>
    <x v="0"/>
    <x v="0"/>
    <n v="51"/>
    <x v="1"/>
    <x v="3"/>
    <x v="2"/>
  </r>
  <r>
    <n v="769"/>
    <x v="0"/>
    <x v="18"/>
    <n v="2024"/>
    <x v="0"/>
    <s v=" "/>
    <s v=" "/>
    <x v="0"/>
    <x v="0"/>
    <x v="0"/>
    <n v="48"/>
    <x v="3"/>
    <x v="0"/>
    <x v="3"/>
  </r>
  <r>
    <n v="770"/>
    <x v="3"/>
    <x v="19"/>
    <n v="2019"/>
    <x v="7"/>
    <n v="2022"/>
    <n v="4"/>
    <x v="5"/>
    <x v="1"/>
    <x v="0"/>
    <n v="41"/>
    <x v="3"/>
    <x v="6"/>
    <x v="10"/>
  </r>
  <r>
    <n v="771"/>
    <x v="5"/>
    <x v="20"/>
    <n v="2021"/>
    <x v="8"/>
    <n v="2024"/>
    <n v="4"/>
    <x v="7"/>
    <x v="1"/>
    <x v="1"/>
    <n v="35"/>
    <x v="4"/>
    <x v="0"/>
    <x v="4"/>
  </r>
  <r>
    <n v="772"/>
    <x v="2"/>
    <x v="21"/>
    <n v="2023"/>
    <x v="9"/>
    <n v="2024"/>
    <n v="2"/>
    <x v="4"/>
    <x v="1"/>
    <x v="0"/>
    <n v="24"/>
    <x v="0"/>
    <x v="0"/>
    <x v="9"/>
  </r>
  <r>
    <n v="773"/>
    <x v="1"/>
    <x v="22"/>
    <n v="2023"/>
    <x v="0"/>
    <s v=" "/>
    <s v=" "/>
    <x v="0"/>
    <x v="0"/>
    <x v="1"/>
    <n v="41"/>
    <x v="3"/>
    <x v="1"/>
    <x v="1"/>
  </r>
  <r>
    <n v="774"/>
    <x v="2"/>
    <x v="23"/>
    <n v="2024"/>
    <x v="0"/>
    <s v=" "/>
    <s v=" "/>
    <x v="0"/>
    <x v="0"/>
    <x v="0"/>
    <n v="40"/>
    <x v="3"/>
    <x v="0"/>
    <x v="2"/>
  </r>
  <r>
    <n v="775"/>
    <x v="0"/>
    <x v="24"/>
    <n v="2019"/>
    <x v="0"/>
    <s v=" "/>
    <s v=" "/>
    <x v="0"/>
    <x v="0"/>
    <x v="1"/>
    <n v="48"/>
    <x v="3"/>
    <x v="2"/>
    <x v="3"/>
  </r>
  <r>
    <n v="776"/>
    <x v="1"/>
    <x v="25"/>
    <n v="2022"/>
    <x v="0"/>
    <s v=" "/>
    <s v=" "/>
    <x v="0"/>
    <x v="0"/>
    <x v="1"/>
    <n v="52"/>
    <x v="1"/>
    <x v="5"/>
    <x v="4"/>
  </r>
  <r>
    <n v="777"/>
    <x v="4"/>
    <x v="26"/>
    <n v="2020"/>
    <x v="10"/>
    <n v="2021"/>
    <n v="2"/>
    <x v="6"/>
    <x v="1"/>
    <x v="0"/>
    <n v="33"/>
    <x v="4"/>
    <x v="0"/>
    <x v="9"/>
  </r>
  <r>
    <n v="778"/>
    <x v="2"/>
    <x v="27"/>
    <n v="2023"/>
    <x v="0"/>
    <s v=" "/>
    <s v=" "/>
    <x v="0"/>
    <x v="0"/>
    <x v="1"/>
    <n v="51"/>
    <x v="1"/>
    <x v="1"/>
    <x v="0"/>
  </r>
  <r>
    <n v="779"/>
    <x v="0"/>
    <x v="28"/>
    <n v="2021"/>
    <x v="11"/>
    <n v="2022"/>
    <n v="2"/>
    <x v="3"/>
    <x v="1"/>
    <x v="1"/>
    <n v="46"/>
    <x v="3"/>
    <x v="1"/>
    <x v="2"/>
  </r>
  <r>
    <n v="780"/>
    <x v="2"/>
    <x v="29"/>
    <n v="2018"/>
    <x v="12"/>
    <n v="2021"/>
    <n v="4"/>
    <x v="1"/>
    <x v="1"/>
    <x v="0"/>
    <n v="53"/>
    <x v="1"/>
    <x v="2"/>
    <x v="3"/>
  </r>
  <r>
    <n v="781"/>
    <x v="5"/>
    <x v="30"/>
    <n v="2021"/>
    <x v="0"/>
    <s v=" "/>
    <s v=" "/>
    <x v="0"/>
    <x v="0"/>
    <x v="1"/>
    <n v="35"/>
    <x v="4"/>
    <x v="3"/>
    <x v="10"/>
  </r>
  <r>
    <n v="782"/>
    <x v="0"/>
    <x v="31"/>
    <n v="2024"/>
    <x v="0"/>
    <s v=" "/>
    <s v=" "/>
    <x v="0"/>
    <x v="0"/>
    <x v="1"/>
    <n v="32"/>
    <x v="4"/>
    <x v="0"/>
    <x v="4"/>
  </r>
  <r>
    <n v="783"/>
    <x v="5"/>
    <x v="32"/>
    <n v="2021"/>
    <x v="0"/>
    <s v=" "/>
    <s v=" "/>
    <x v="0"/>
    <x v="0"/>
    <x v="1"/>
    <n v="46"/>
    <x v="3"/>
    <x v="6"/>
    <x v="9"/>
  </r>
  <r>
    <n v="784"/>
    <x v="0"/>
    <x v="33"/>
    <n v="2020"/>
    <x v="0"/>
    <s v=" "/>
    <s v=" "/>
    <x v="0"/>
    <x v="0"/>
    <x v="0"/>
    <n v="50"/>
    <x v="1"/>
    <x v="0"/>
    <x v="0"/>
  </r>
  <r>
    <n v="785"/>
    <x v="2"/>
    <x v="34"/>
    <n v="2018"/>
    <x v="13"/>
    <n v="2022"/>
    <n v="5"/>
    <x v="2"/>
    <x v="1"/>
    <x v="1"/>
    <n v="64"/>
    <x v="2"/>
    <x v="0"/>
    <x v="1"/>
  </r>
  <r>
    <n v="786"/>
    <x v="2"/>
    <x v="35"/>
    <n v="2018"/>
    <x v="0"/>
    <s v=" "/>
    <s v=" "/>
    <x v="0"/>
    <x v="0"/>
    <x v="0"/>
    <n v="29"/>
    <x v="0"/>
    <x v="1"/>
    <x v="2"/>
  </r>
  <r>
    <n v="787"/>
    <x v="2"/>
    <x v="36"/>
    <n v="2021"/>
    <x v="14"/>
    <n v="2024"/>
    <n v="4"/>
    <x v="7"/>
    <x v="1"/>
    <x v="0"/>
    <n v="27"/>
    <x v="0"/>
    <x v="0"/>
    <x v="3"/>
  </r>
  <r>
    <n v="788"/>
    <x v="4"/>
    <x v="37"/>
    <n v="2021"/>
    <x v="15"/>
    <n v="2023"/>
    <n v="3"/>
    <x v="4"/>
    <x v="1"/>
    <x v="0"/>
    <n v="31"/>
    <x v="4"/>
    <x v="2"/>
    <x v="4"/>
  </r>
  <r>
    <n v="789"/>
    <x v="0"/>
    <x v="38"/>
    <n v="2019"/>
    <x v="16"/>
    <n v="2022"/>
    <n v="4"/>
    <x v="3"/>
    <x v="1"/>
    <x v="1"/>
    <n v="24"/>
    <x v="0"/>
    <x v="7"/>
    <x v="5"/>
  </r>
  <r>
    <n v="790"/>
    <x v="5"/>
    <x v="39"/>
    <n v="2020"/>
    <x v="0"/>
    <s v=" "/>
    <s v=" "/>
    <x v="0"/>
    <x v="0"/>
    <x v="0"/>
    <n v="37"/>
    <x v="4"/>
    <x v="0"/>
    <x v="6"/>
  </r>
  <r>
    <n v="791"/>
    <x v="4"/>
    <x v="40"/>
    <n v="2020"/>
    <x v="0"/>
    <s v=" "/>
    <s v=" "/>
    <x v="0"/>
    <x v="0"/>
    <x v="1"/>
    <n v="23"/>
    <x v="0"/>
    <x v="1"/>
    <x v="7"/>
  </r>
  <r>
    <n v="792"/>
    <x v="4"/>
    <x v="41"/>
    <n v="2024"/>
    <x v="0"/>
    <s v=" "/>
    <s v=" "/>
    <x v="0"/>
    <x v="0"/>
    <x v="0"/>
    <n v="31"/>
    <x v="4"/>
    <x v="1"/>
    <x v="8"/>
  </r>
  <r>
    <n v="793"/>
    <x v="5"/>
    <x v="42"/>
    <n v="2024"/>
    <x v="0"/>
    <s v=" "/>
    <s v=" "/>
    <x v="0"/>
    <x v="0"/>
    <x v="1"/>
    <n v="52"/>
    <x v="1"/>
    <x v="2"/>
    <x v="9"/>
  </r>
  <r>
    <n v="794"/>
    <x v="2"/>
    <x v="43"/>
    <n v="2022"/>
    <x v="0"/>
    <s v=" "/>
    <s v=" "/>
    <x v="0"/>
    <x v="0"/>
    <x v="1"/>
    <n v="25"/>
    <x v="0"/>
    <x v="3"/>
    <x v="10"/>
  </r>
  <r>
    <n v="795"/>
    <x v="1"/>
    <x v="44"/>
    <n v="2023"/>
    <x v="0"/>
    <s v=" "/>
    <s v=" "/>
    <x v="0"/>
    <x v="0"/>
    <x v="0"/>
    <n v="46"/>
    <x v="3"/>
    <x v="0"/>
    <x v="2"/>
  </r>
  <r>
    <n v="796"/>
    <x v="1"/>
    <x v="45"/>
    <n v="2019"/>
    <x v="17"/>
    <n v="2021"/>
    <n v="3"/>
    <x v="5"/>
    <x v="1"/>
    <x v="1"/>
    <n v="24"/>
    <x v="0"/>
    <x v="7"/>
    <x v="4"/>
  </r>
  <r>
    <n v="797"/>
    <x v="1"/>
    <x v="46"/>
    <n v="2021"/>
    <x v="18"/>
    <n v="2024"/>
    <n v="4"/>
    <x v="7"/>
    <x v="1"/>
    <x v="1"/>
    <n v="38"/>
    <x v="4"/>
    <x v="0"/>
    <x v="9"/>
  </r>
  <r>
    <n v="798"/>
    <x v="3"/>
    <x v="47"/>
    <n v="2019"/>
    <x v="0"/>
    <s v=" "/>
    <s v=" "/>
    <x v="0"/>
    <x v="0"/>
    <x v="0"/>
    <n v="49"/>
    <x v="3"/>
    <x v="0"/>
    <x v="1"/>
  </r>
  <r>
    <n v="799"/>
    <x v="4"/>
    <x v="48"/>
    <n v="2024"/>
    <x v="0"/>
    <s v=" "/>
    <s v=" "/>
    <x v="0"/>
    <x v="0"/>
    <x v="1"/>
    <n v="31"/>
    <x v="4"/>
    <x v="1"/>
    <x v="2"/>
  </r>
  <r>
    <n v="800"/>
    <x v="0"/>
    <x v="49"/>
    <n v="2018"/>
    <x v="19"/>
    <n v="2022"/>
    <n v="5"/>
    <x v="4"/>
    <x v="1"/>
    <x v="1"/>
    <n v="51"/>
    <x v="1"/>
    <x v="0"/>
    <x v="3"/>
  </r>
  <r>
    <n v="801"/>
    <x v="0"/>
    <x v="0"/>
    <n v="2018"/>
    <x v="0"/>
    <s v=" "/>
    <s v=" "/>
    <x v="0"/>
    <x v="0"/>
    <x v="1"/>
    <n v="27"/>
    <x v="0"/>
    <x v="2"/>
    <x v="4"/>
  </r>
  <r>
    <n v="802"/>
    <x v="1"/>
    <x v="1"/>
    <n v="2020"/>
    <x v="0"/>
    <s v=" "/>
    <s v=" "/>
    <x v="0"/>
    <x v="0"/>
    <x v="0"/>
    <n v="22"/>
    <x v="0"/>
    <x v="7"/>
    <x v="9"/>
  </r>
  <r>
    <n v="803"/>
    <x v="1"/>
    <x v="2"/>
    <n v="2021"/>
    <x v="0"/>
    <s v=" "/>
    <s v=" "/>
    <x v="0"/>
    <x v="0"/>
    <x v="1"/>
    <n v="50"/>
    <x v="1"/>
    <x v="0"/>
    <x v="0"/>
  </r>
  <r>
    <n v="804"/>
    <x v="1"/>
    <x v="3"/>
    <n v="2023"/>
    <x v="0"/>
    <s v=" "/>
    <s v=" "/>
    <x v="0"/>
    <x v="0"/>
    <x v="0"/>
    <n v="24"/>
    <x v="0"/>
    <x v="1"/>
    <x v="2"/>
  </r>
  <r>
    <n v="805"/>
    <x v="1"/>
    <x v="4"/>
    <n v="2019"/>
    <x v="1"/>
    <n v="2021"/>
    <n v="3"/>
    <x v="1"/>
    <x v="1"/>
    <x v="0"/>
    <n v="50"/>
    <x v="1"/>
    <x v="1"/>
    <x v="3"/>
  </r>
  <r>
    <n v="806"/>
    <x v="2"/>
    <x v="5"/>
    <n v="2022"/>
    <x v="2"/>
    <n v="2023"/>
    <n v="2"/>
    <x v="7"/>
    <x v="1"/>
    <x v="0"/>
    <n v="28"/>
    <x v="0"/>
    <x v="2"/>
    <x v="10"/>
  </r>
  <r>
    <n v="807"/>
    <x v="3"/>
    <x v="6"/>
    <n v="2024"/>
    <x v="0"/>
    <s v=" "/>
    <s v=" "/>
    <x v="0"/>
    <x v="0"/>
    <x v="0"/>
    <n v="40"/>
    <x v="3"/>
    <x v="3"/>
    <x v="4"/>
  </r>
  <r>
    <n v="808"/>
    <x v="0"/>
    <x v="7"/>
    <n v="2018"/>
    <x v="0"/>
    <s v=" "/>
    <s v=" "/>
    <x v="0"/>
    <x v="0"/>
    <x v="1"/>
    <n v="32"/>
    <x v="4"/>
    <x v="0"/>
    <x v="9"/>
  </r>
  <r>
    <n v="809"/>
    <x v="1"/>
    <x v="8"/>
    <n v="2023"/>
    <x v="0"/>
    <s v=" "/>
    <s v=" "/>
    <x v="0"/>
    <x v="0"/>
    <x v="1"/>
    <n v="50"/>
    <x v="1"/>
    <x v="6"/>
    <x v="2"/>
  </r>
  <r>
    <n v="810"/>
    <x v="4"/>
    <x v="9"/>
    <n v="2024"/>
    <x v="0"/>
    <s v=" "/>
    <s v=" "/>
    <x v="0"/>
    <x v="0"/>
    <x v="0"/>
    <n v="24"/>
    <x v="0"/>
    <x v="0"/>
    <x v="3"/>
  </r>
  <r>
    <n v="811"/>
    <x v="5"/>
    <x v="10"/>
    <n v="2024"/>
    <x v="0"/>
    <s v=" "/>
    <s v=" "/>
    <x v="0"/>
    <x v="0"/>
    <x v="0"/>
    <n v="36"/>
    <x v="4"/>
    <x v="0"/>
    <x v="4"/>
  </r>
  <r>
    <n v="812"/>
    <x v="3"/>
    <x v="11"/>
    <n v="2021"/>
    <x v="3"/>
    <n v="2024"/>
    <n v="4"/>
    <x v="7"/>
    <x v="1"/>
    <x v="0"/>
    <n v="49"/>
    <x v="3"/>
    <x v="1"/>
    <x v="9"/>
  </r>
  <r>
    <n v="813"/>
    <x v="0"/>
    <x v="12"/>
    <n v="2018"/>
    <x v="4"/>
    <n v="2020"/>
    <n v="3"/>
    <x v="7"/>
    <x v="1"/>
    <x v="1"/>
    <n v="43"/>
    <x v="3"/>
    <x v="0"/>
    <x v="0"/>
  </r>
  <r>
    <n v="814"/>
    <x v="1"/>
    <x v="13"/>
    <n v="2024"/>
    <x v="0"/>
    <s v=" "/>
    <s v=" "/>
    <x v="0"/>
    <x v="0"/>
    <x v="0"/>
    <n v="40"/>
    <x v="3"/>
    <x v="2"/>
    <x v="2"/>
  </r>
  <r>
    <n v="815"/>
    <x v="1"/>
    <x v="14"/>
    <n v="2018"/>
    <x v="0"/>
    <s v=" "/>
    <s v=" "/>
    <x v="0"/>
    <x v="0"/>
    <x v="0"/>
    <n v="42"/>
    <x v="3"/>
    <x v="5"/>
    <x v="3"/>
  </r>
  <r>
    <n v="816"/>
    <x v="0"/>
    <x v="15"/>
    <n v="2019"/>
    <x v="5"/>
    <n v="2022"/>
    <n v="4"/>
    <x v="4"/>
    <x v="1"/>
    <x v="1"/>
    <n v="35"/>
    <x v="4"/>
    <x v="0"/>
    <x v="10"/>
  </r>
  <r>
    <n v="817"/>
    <x v="3"/>
    <x v="16"/>
    <n v="2019"/>
    <x v="6"/>
    <n v="2020"/>
    <n v="2"/>
    <x v="3"/>
    <x v="1"/>
    <x v="0"/>
    <n v="31"/>
    <x v="4"/>
    <x v="1"/>
    <x v="4"/>
  </r>
  <r>
    <n v="818"/>
    <x v="5"/>
    <x v="17"/>
    <n v="2022"/>
    <x v="0"/>
    <s v=" "/>
    <s v=" "/>
    <x v="0"/>
    <x v="0"/>
    <x v="1"/>
    <n v="51"/>
    <x v="1"/>
    <x v="1"/>
    <x v="9"/>
  </r>
  <r>
    <n v="819"/>
    <x v="0"/>
    <x v="18"/>
    <n v="2024"/>
    <x v="0"/>
    <s v=" "/>
    <s v=" "/>
    <x v="0"/>
    <x v="0"/>
    <x v="1"/>
    <n v="48"/>
    <x v="3"/>
    <x v="2"/>
    <x v="0"/>
  </r>
  <r>
    <n v="820"/>
    <x v="3"/>
    <x v="19"/>
    <n v="2019"/>
    <x v="7"/>
    <n v="2022"/>
    <n v="4"/>
    <x v="5"/>
    <x v="1"/>
    <x v="0"/>
    <n v="41"/>
    <x v="3"/>
    <x v="3"/>
    <x v="1"/>
  </r>
  <r>
    <n v="821"/>
    <x v="5"/>
    <x v="20"/>
    <n v="2021"/>
    <x v="8"/>
    <n v="2024"/>
    <n v="4"/>
    <x v="7"/>
    <x v="1"/>
    <x v="0"/>
    <n v="35"/>
    <x v="4"/>
    <x v="0"/>
    <x v="2"/>
  </r>
  <r>
    <n v="822"/>
    <x v="2"/>
    <x v="21"/>
    <n v="2023"/>
    <x v="9"/>
    <n v="2024"/>
    <n v="2"/>
    <x v="4"/>
    <x v="1"/>
    <x v="0"/>
    <n v="24"/>
    <x v="0"/>
    <x v="7"/>
    <x v="3"/>
  </r>
  <r>
    <n v="823"/>
    <x v="1"/>
    <x v="22"/>
    <n v="2023"/>
    <x v="0"/>
    <s v=" "/>
    <s v=" "/>
    <x v="0"/>
    <x v="0"/>
    <x v="1"/>
    <n v="41"/>
    <x v="3"/>
    <x v="0"/>
    <x v="4"/>
  </r>
  <r>
    <n v="824"/>
    <x v="2"/>
    <x v="23"/>
    <n v="2024"/>
    <x v="0"/>
    <s v=" "/>
    <s v=" "/>
    <x v="0"/>
    <x v="0"/>
    <x v="1"/>
    <n v="40"/>
    <x v="3"/>
    <x v="0"/>
    <x v="5"/>
  </r>
  <r>
    <n v="825"/>
    <x v="0"/>
    <x v="24"/>
    <n v="2019"/>
    <x v="0"/>
    <s v=" "/>
    <s v=" "/>
    <x v="0"/>
    <x v="0"/>
    <x v="0"/>
    <n v="48"/>
    <x v="3"/>
    <x v="1"/>
    <x v="6"/>
  </r>
  <r>
    <n v="826"/>
    <x v="1"/>
    <x v="25"/>
    <n v="2022"/>
    <x v="0"/>
    <s v=" "/>
    <s v=" "/>
    <x v="0"/>
    <x v="0"/>
    <x v="1"/>
    <n v="52"/>
    <x v="1"/>
    <x v="0"/>
    <x v="7"/>
  </r>
  <r>
    <n v="827"/>
    <x v="4"/>
    <x v="26"/>
    <n v="2020"/>
    <x v="10"/>
    <n v="2021"/>
    <n v="2"/>
    <x v="6"/>
    <x v="1"/>
    <x v="1"/>
    <n v="33"/>
    <x v="4"/>
    <x v="2"/>
    <x v="8"/>
  </r>
  <r>
    <n v="828"/>
    <x v="2"/>
    <x v="27"/>
    <n v="2023"/>
    <x v="0"/>
    <s v=" "/>
    <s v=" "/>
    <x v="0"/>
    <x v="0"/>
    <x v="0"/>
    <n v="51"/>
    <x v="1"/>
    <x v="5"/>
    <x v="9"/>
  </r>
  <r>
    <n v="829"/>
    <x v="0"/>
    <x v="28"/>
    <n v="2021"/>
    <x v="11"/>
    <n v="2022"/>
    <n v="2"/>
    <x v="7"/>
    <x v="1"/>
    <x v="0"/>
    <n v="46"/>
    <x v="3"/>
    <x v="0"/>
    <x v="10"/>
  </r>
  <r>
    <n v="830"/>
    <x v="2"/>
    <x v="29"/>
    <n v="2018"/>
    <x v="12"/>
    <n v="2021"/>
    <n v="4"/>
    <x v="1"/>
    <x v="1"/>
    <x v="0"/>
    <n v="53"/>
    <x v="1"/>
    <x v="1"/>
    <x v="2"/>
  </r>
  <r>
    <n v="831"/>
    <x v="5"/>
    <x v="30"/>
    <n v="2021"/>
    <x v="0"/>
    <s v=" "/>
    <s v=" "/>
    <x v="0"/>
    <x v="0"/>
    <x v="0"/>
    <n v="35"/>
    <x v="4"/>
    <x v="1"/>
    <x v="4"/>
  </r>
  <r>
    <n v="832"/>
    <x v="0"/>
    <x v="31"/>
    <n v="2024"/>
    <x v="0"/>
    <s v=" "/>
    <s v=" "/>
    <x v="0"/>
    <x v="0"/>
    <x v="1"/>
    <n v="32"/>
    <x v="4"/>
    <x v="2"/>
    <x v="9"/>
  </r>
  <r>
    <n v="833"/>
    <x v="5"/>
    <x v="32"/>
    <n v="2021"/>
    <x v="0"/>
    <s v=" "/>
    <s v=" "/>
    <x v="0"/>
    <x v="0"/>
    <x v="1"/>
    <n v="46"/>
    <x v="3"/>
    <x v="3"/>
    <x v="1"/>
  </r>
  <r>
    <n v="834"/>
    <x v="0"/>
    <x v="33"/>
    <n v="2020"/>
    <x v="0"/>
    <s v=" "/>
    <s v=" "/>
    <x v="0"/>
    <x v="0"/>
    <x v="1"/>
    <n v="50"/>
    <x v="1"/>
    <x v="0"/>
    <x v="2"/>
  </r>
  <r>
    <n v="835"/>
    <x v="2"/>
    <x v="34"/>
    <n v="2018"/>
    <x v="13"/>
    <n v="2022"/>
    <n v="5"/>
    <x v="2"/>
    <x v="1"/>
    <x v="0"/>
    <n v="62"/>
    <x v="2"/>
    <x v="6"/>
    <x v="3"/>
  </r>
  <r>
    <n v="836"/>
    <x v="2"/>
    <x v="35"/>
    <n v="2018"/>
    <x v="0"/>
    <s v=" "/>
    <s v=" "/>
    <x v="0"/>
    <x v="0"/>
    <x v="1"/>
    <n v="29"/>
    <x v="0"/>
    <x v="0"/>
    <x v="4"/>
  </r>
  <r>
    <n v="837"/>
    <x v="2"/>
    <x v="36"/>
    <n v="2021"/>
    <x v="14"/>
    <n v="2024"/>
    <n v="4"/>
    <x v="1"/>
    <x v="1"/>
    <x v="1"/>
    <n v="27"/>
    <x v="0"/>
    <x v="0"/>
    <x v="9"/>
  </r>
  <r>
    <n v="838"/>
    <x v="4"/>
    <x v="37"/>
    <n v="2021"/>
    <x v="15"/>
    <n v="2023"/>
    <n v="3"/>
    <x v="4"/>
    <x v="1"/>
    <x v="0"/>
    <n v="31"/>
    <x v="4"/>
    <x v="1"/>
    <x v="0"/>
  </r>
  <r>
    <n v="839"/>
    <x v="0"/>
    <x v="38"/>
    <n v="2019"/>
    <x v="16"/>
    <n v="2022"/>
    <n v="4"/>
    <x v="3"/>
    <x v="1"/>
    <x v="1"/>
    <n v="24"/>
    <x v="0"/>
    <x v="0"/>
    <x v="2"/>
  </r>
  <r>
    <n v="840"/>
    <x v="5"/>
    <x v="39"/>
    <n v="2020"/>
    <x v="0"/>
    <s v=" "/>
    <s v=" "/>
    <x v="0"/>
    <x v="0"/>
    <x v="1"/>
    <n v="37"/>
    <x v="4"/>
    <x v="2"/>
    <x v="3"/>
  </r>
  <r>
    <n v="841"/>
    <x v="4"/>
    <x v="40"/>
    <n v="2020"/>
    <x v="0"/>
    <s v=" "/>
    <s v=" "/>
    <x v="0"/>
    <x v="0"/>
    <x v="1"/>
    <n v="23"/>
    <x v="0"/>
    <x v="7"/>
    <x v="10"/>
  </r>
  <r>
    <n v="842"/>
    <x v="4"/>
    <x v="41"/>
    <n v="2024"/>
    <x v="0"/>
    <s v=" "/>
    <s v=" "/>
    <x v="0"/>
    <x v="0"/>
    <x v="0"/>
    <n v="31"/>
    <x v="4"/>
    <x v="0"/>
    <x v="4"/>
  </r>
  <r>
    <n v="843"/>
    <x v="5"/>
    <x v="42"/>
    <n v="2024"/>
    <x v="0"/>
    <s v=" "/>
    <s v=" "/>
    <x v="0"/>
    <x v="0"/>
    <x v="0"/>
    <n v="52"/>
    <x v="1"/>
    <x v="1"/>
    <x v="9"/>
  </r>
  <r>
    <n v="844"/>
    <x v="2"/>
    <x v="43"/>
    <n v="2022"/>
    <x v="0"/>
    <s v=" "/>
    <s v=" "/>
    <x v="0"/>
    <x v="0"/>
    <x v="1"/>
    <n v="25"/>
    <x v="0"/>
    <x v="1"/>
    <x v="10"/>
  </r>
  <r>
    <n v="845"/>
    <x v="1"/>
    <x v="44"/>
    <n v="2023"/>
    <x v="0"/>
    <s v=" "/>
    <s v=" "/>
    <x v="0"/>
    <x v="0"/>
    <x v="1"/>
    <n v="46"/>
    <x v="3"/>
    <x v="2"/>
    <x v="4"/>
  </r>
  <r>
    <n v="846"/>
    <x v="1"/>
    <x v="45"/>
    <n v="2019"/>
    <x v="17"/>
    <n v="2021"/>
    <n v="3"/>
    <x v="5"/>
    <x v="1"/>
    <x v="0"/>
    <n v="24"/>
    <x v="0"/>
    <x v="3"/>
    <x v="9"/>
  </r>
  <r>
    <n v="847"/>
    <x v="1"/>
    <x v="46"/>
    <n v="2021"/>
    <x v="18"/>
    <n v="2024"/>
    <n v="4"/>
    <x v="5"/>
    <x v="1"/>
    <x v="1"/>
    <n v="38"/>
    <x v="4"/>
    <x v="0"/>
    <x v="0"/>
  </r>
  <r>
    <n v="848"/>
    <x v="3"/>
    <x v="47"/>
    <n v="2019"/>
    <x v="0"/>
    <s v=" "/>
    <s v=" "/>
    <x v="0"/>
    <x v="0"/>
    <x v="1"/>
    <n v="49"/>
    <x v="3"/>
    <x v="6"/>
    <x v="1"/>
  </r>
  <r>
    <n v="849"/>
    <x v="4"/>
    <x v="48"/>
    <n v="2024"/>
    <x v="0"/>
    <s v=" "/>
    <s v=" "/>
    <x v="0"/>
    <x v="0"/>
    <x v="1"/>
    <n v="31"/>
    <x v="4"/>
    <x v="0"/>
    <x v="2"/>
  </r>
  <r>
    <n v="850"/>
    <x v="0"/>
    <x v="49"/>
    <n v="2018"/>
    <x v="19"/>
    <n v="2022"/>
    <n v="5"/>
    <x v="4"/>
    <x v="1"/>
    <x v="0"/>
    <n v="51"/>
    <x v="1"/>
    <x v="0"/>
    <x v="3"/>
  </r>
  <r>
    <n v="851"/>
    <x v="0"/>
    <x v="0"/>
    <n v="2018"/>
    <x v="0"/>
    <s v=" "/>
    <s v=" "/>
    <x v="0"/>
    <x v="0"/>
    <x v="0"/>
    <n v="27"/>
    <x v="0"/>
    <x v="1"/>
    <x v="4"/>
  </r>
  <r>
    <n v="852"/>
    <x v="1"/>
    <x v="1"/>
    <n v="2020"/>
    <x v="0"/>
    <s v=" "/>
    <s v=" "/>
    <x v="0"/>
    <x v="0"/>
    <x v="1"/>
    <n v="22"/>
    <x v="0"/>
    <x v="0"/>
    <x v="5"/>
  </r>
  <r>
    <n v="853"/>
    <x v="1"/>
    <x v="2"/>
    <n v="2021"/>
    <x v="0"/>
    <s v=" "/>
    <s v=" "/>
    <x v="0"/>
    <x v="0"/>
    <x v="1"/>
    <n v="50"/>
    <x v="1"/>
    <x v="2"/>
    <x v="6"/>
  </r>
  <r>
    <n v="854"/>
    <x v="1"/>
    <x v="3"/>
    <n v="2023"/>
    <x v="0"/>
    <s v=" "/>
    <s v=" "/>
    <x v="0"/>
    <x v="0"/>
    <x v="1"/>
    <n v="24"/>
    <x v="0"/>
    <x v="7"/>
    <x v="7"/>
  </r>
  <r>
    <n v="855"/>
    <x v="1"/>
    <x v="4"/>
    <n v="2019"/>
    <x v="1"/>
    <n v="2021"/>
    <n v="3"/>
    <x v="1"/>
    <x v="1"/>
    <x v="0"/>
    <n v="50"/>
    <x v="1"/>
    <x v="0"/>
    <x v="8"/>
  </r>
  <r>
    <n v="856"/>
    <x v="2"/>
    <x v="5"/>
    <n v="2022"/>
    <x v="2"/>
    <n v="2023"/>
    <n v="2"/>
    <x v="7"/>
    <x v="1"/>
    <x v="0"/>
    <n v="28"/>
    <x v="0"/>
    <x v="1"/>
    <x v="9"/>
  </r>
  <r>
    <n v="857"/>
    <x v="3"/>
    <x v="6"/>
    <n v="2024"/>
    <x v="0"/>
    <s v=" "/>
    <s v=" "/>
    <x v="0"/>
    <x v="0"/>
    <x v="0"/>
    <n v="40"/>
    <x v="3"/>
    <x v="1"/>
    <x v="10"/>
  </r>
  <r>
    <n v="858"/>
    <x v="0"/>
    <x v="7"/>
    <n v="2018"/>
    <x v="0"/>
    <s v=" "/>
    <s v=" "/>
    <x v="0"/>
    <x v="0"/>
    <x v="1"/>
    <n v="32"/>
    <x v="4"/>
    <x v="2"/>
    <x v="2"/>
  </r>
  <r>
    <n v="859"/>
    <x v="1"/>
    <x v="8"/>
    <n v="2023"/>
    <x v="0"/>
    <s v=" "/>
    <s v=" "/>
    <x v="0"/>
    <x v="0"/>
    <x v="1"/>
    <n v="50"/>
    <x v="1"/>
    <x v="3"/>
    <x v="4"/>
  </r>
  <r>
    <n v="860"/>
    <x v="4"/>
    <x v="9"/>
    <n v="2024"/>
    <x v="0"/>
    <s v=" "/>
    <s v=" "/>
    <x v="0"/>
    <x v="0"/>
    <x v="0"/>
    <n v="24"/>
    <x v="0"/>
    <x v="0"/>
    <x v="9"/>
  </r>
  <r>
    <n v="861"/>
    <x v="5"/>
    <x v="10"/>
    <n v="2024"/>
    <x v="0"/>
    <s v=" "/>
    <s v=" "/>
    <x v="0"/>
    <x v="0"/>
    <x v="0"/>
    <n v="36"/>
    <x v="4"/>
    <x v="4"/>
    <x v="1"/>
  </r>
  <r>
    <n v="862"/>
    <x v="3"/>
    <x v="11"/>
    <n v="2021"/>
    <x v="3"/>
    <n v="2024"/>
    <n v="4"/>
    <x v="7"/>
    <x v="1"/>
    <x v="0"/>
    <n v="49"/>
    <x v="3"/>
    <x v="0"/>
    <x v="2"/>
  </r>
  <r>
    <n v="863"/>
    <x v="0"/>
    <x v="12"/>
    <n v="2018"/>
    <x v="4"/>
    <n v="2020"/>
    <n v="3"/>
    <x v="3"/>
    <x v="1"/>
    <x v="0"/>
    <n v="43"/>
    <x v="3"/>
    <x v="0"/>
    <x v="3"/>
  </r>
  <r>
    <n v="864"/>
    <x v="1"/>
    <x v="13"/>
    <n v="2024"/>
    <x v="0"/>
    <s v=" "/>
    <s v=" "/>
    <x v="0"/>
    <x v="0"/>
    <x v="0"/>
    <n v="40"/>
    <x v="3"/>
    <x v="1"/>
    <x v="4"/>
  </r>
  <r>
    <n v="865"/>
    <x v="1"/>
    <x v="14"/>
    <n v="2018"/>
    <x v="0"/>
    <s v=" "/>
    <s v=" "/>
    <x v="0"/>
    <x v="0"/>
    <x v="0"/>
    <n v="42"/>
    <x v="3"/>
    <x v="0"/>
    <x v="9"/>
  </r>
  <r>
    <n v="866"/>
    <x v="0"/>
    <x v="15"/>
    <n v="2019"/>
    <x v="5"/>
    <n v="2022"/>
    <n v="4"/>
    <x v="4"/>
    <x v="1"/>
    <x v="1"/>
    <n v="35"/>
    <x v="4"/>
    <x v="2"/>
    <x v="0"/>
  </r>
  <r>
    <n v="867"/>
    <x v="3"/>
    <x v="16"/>
    <n v="2019"/>
    <x v="6"/>
    <n v="2020"/>
    <n v="2"/>
    <x v="7"/>
    <x v="1"/>
    <x v="0"/>
    <n v="31"/>
    <x v="4"/>
    <x v="7"/>
    <x v="2"/>
  </r>
  <r>
    <n v="868"/>
    <x v="5"/>
    <x v="17"/>
    <n v="2022"/>
    <x v="0"/>
    <s v=" "/>
    <s v=" "/>
    <x v="0"/>
    <x v="0"/>
    <x v="1"/>
    <n v="51"/>
    <x v="1"/>
    <x v="0"/>
    <x v="3"/>
  </r>
  <r>
    <n v="869"/>
    <x v="0"/>
    <x v="18"/>
    <n v="2024"/>
    <x v="0"/>
    <s v=" "/>
    <s v=" "/>
    <x v="0"/>
    <x v="0"/>
    <x v="1"/>
    <n v="48"/>
    <x v="3"/>
    <x v="1"/>
    <x v="10"/>
  </r>
  <r>
    <n v="870"/>
    <x v="3"/>
    <x v="19"/>
    <n v="2019"/>
    <x v="7"/>
    <n v="2022"/>
    <n v="4"/>
    <x v="5"/>
    <x v="1"/>
    <x v="0"/>
    <n v="41"/>
    <x v="3"/>
    <x v="1"/>
    <x v="4"/>
  </r>
  <r>
    <n v="871"/>
    <x v="5"/>
    <x v="20"/>
    <n v="2021"/>
    <x v="8"/>
    <n v="2024"/>
    <n v="4"/>
    <x v="7"/>
    <x v="1"/>
    <x v="1"/>
    <n v="35"/>
    <x v="4"/>
    <x v="2"/>
    <x v="9"/>
  </r>
  <r>
    <n v="872"/>
    <x v="2"/>
    <x v="21"/>
    <n v="2023"/>
    <x v="9"/>
    <n v="2024"/>
    <n v="2"/>
    <x v="4"/>
    <x v="1"/>
    <x v="0"/>
    <n v="24"/>
    <x v="0"/>
    <x v="3"/>
    <x v="0"/>
  </r>
  <r>
    <n v="873"/>
    <x v="1"/>
    <x v="22"/>
    <n v="2023"/>
    <x v="0"/>
    <s v=" "/>
    <s v=" "/>
    <x v="0"/>
    <x v="0"/>
    <x v="0"/>
    <n v="41"/>
    <x v="3"/>
    <x v="0"/>
    <x v="1"/>
  </r>
  <r>
    <n v="874"/>
    <x v="2"/>
    <x v="23"/>
    <n v="2024"/>
    <x v="0"/>
    <s v=" "/>
    <s v=" "/>
    <x v="0"/>
    <x v="0"/>
    <x v="1"/>
    <n v="40"/>
    <x v="3"/>
    <x v="4"/>
    <x v="2"/>
  </r>
  <r>
    <n v="875"/>
    <x v="0"/>
    <x v="24"/>
    <n v="2019"/>
    <x v="0"/>
    <s v=" "/>
    <s v=" "/>
    <x v="0"/>
    <x v="0"/>
    <x v="0"/>
    <n v="48"/>
    <x v="3"/>
    <x v="0"/>
    <x v="3"/>
  </r>
  <r>
    <n v="876"/>
    <x v="1"/>
    <x v="25"/>
    <n v="2022"/>
    <x v="0"/>
    <s v=" "/>
    <s v=" "/>
    <x v="0"/>
    <x v="0"/>
    <x v="1"/>
    <n v="52"/>
    <x v="1"/>
    <x v="0"/>
    <x v="4"/>
  </r>
  <r>
    <n v="877"/>
    <x v="4"/>
    <x v="26"/>
    <n v="2020"/>
    <x v="10"/>
    <n v="2021"/>
    <n v="2"/>
    <x v="7"/>
    <x v="1"/>
    <x v="1"/>
    <n v="33"/>
    <x v="4"/>
    <x v="1"/>
    <x v="5"/>
  </r>
  <r>
    <n v="878"/>
    <x v="2"/>
    <x v="27"/>
    <n v="2023"/>
    <x v="0"/>
    <s v=" "/>
    <s v=" "/>
    <x v="0"/>
    <x v="0"/>
    <x v="0"/>
    <n v="51"/>
    <x v="1"/>
    <x v="0"/>
    <x v="6"/>
  </r>
  <r>
    <n v="879"/>
    <x v="0"/>
    <x v="28"/>
    <n v="2021"/>
    <x v="11"/>
    <n v="2022"/>
    <n v="2"/>
    <x v="3"/>
    <x v="1"/>
    <x v="0"/>
    <n v="46"/>
    <x v="3"/>
    <x v="2"/>
    <x v="7"/>
  </r>
  <r>
    <n v="880"/>
    <x v="2"/>
    <x v="29"/>
    <n v="2018"/>
    <x v="12"/>
    <n v="2021"/>
    <n v="4"/>
    <x v="1"/>
    <x v="1"/>
    <x v="0"/>
    <n v="53"/>
    <x v="1"/>
    <x v="5"/>
    <x v="8"/>
  </r>
  <r>
    <n v="881"/>
    <x v="5"/>
    <x v="30"/>
    <n v="2021"/>
    <x v="0"/>
    <s v=" "/>
    <s v=" "/>
    <x v="0"/>
    <x v="0"/>
    <x v="0"/>
    <n v="35"/>
    <x v="4"/>
    <x v="0"/>
    <x v="9"/>
  </r>
  <r>
    <n v="882"/>
    <x v="0"/>
    <x v="31"/>
    <n v="2024"/>
    <x v="0"/>
    <s v=" "/>
    <s v=" "/>
    <x v="0"/>
    <x v="0"/>
    <x v="0"/>
    <n v="32"/>
    <x v="4"/>
    <x v="1"/>
    <x v="10"/>
  </r>
  <r>
    <n v="883"/>
    <x v="5"/>
    <x v="32"/>
    <n v="2021"/>
    <x v="0"/>
    <s v=" "/>
    <s v=" "/>
    <x v="0"/>
    <x v="0"/>
    <x v="1"/>
    <n v="46"/>
    <x v="3"/>
    <x v="1"/>
    <x v="2"/>
  </r>
  <r>
    <n v="884"/>
    <x v="0"/>
    <x v="33"/>
    <n v="2020"/>
    <x v="0"/>
    <s v=" "/>
    <s v=" "/>
    <x v="0"/>
    <x v="0"/>
    <x v="1"/>
    <n v="50"/>
    <x v="1"/>
    <x v="2"/>
    <x v="4"/>
  </r>
  <r>
    <n v="885"/>
    <x v="2"/>
    <x v="34"/>
    <n v="2018"/>
    <x v="13"/>
    <n v="2022"/>
    <n v="5"/>
    <x v="2"/>
    <x v="1"/>
    <x v="1"/>
    <n v="63"/>
    <x v="2"/>
    <x v="3"/>
    <x v="9"/>
  </r>
  <r>
    <n v="886"/>
    <x v="2"/>
    <x v="35"/>
    <n v="2018"/>
    <x v="0"/>
    <s v=" "/>
    <s v=" "/>
    <x v="0"/>
    <x v="0"/>
    <x v="1"/>
    <n v="29"/>
    <x v="0"/>
    <x v="0"/>
    <x v="1"/>
  </r>
  <r>
    <n v="887"/>
    <x v="2"/>
    <x v="36"/>
    <n v="2021"/>
    <x v="14"/>
    <n v="2024"/>
    <n v="4"/>
    <x v="1"/>
    <x v="1"/>
    <x v="1"/>
    <n v="27"/>
    <x v="0"/>
    <x v="7"/>
    <x v="2"/>
  </r>
  <r>
    <n v="888"/>
    <x v="4"/>
    <x v="37"/>
    <n v="2021"/>
    <x v="15"/>
    <n v="2023"/>
    <n v="3"/>
    <x v="4"/>
    <x v="1"/>
    <x v="0"/>
    <n v="31"/>
    <x v="4"/>
    <x v="0"/>
    <x v="3"/>
  </r>
  <r>
    <n v="889"/>
    <x v="0"/>
    <x v="38"/>
    <n v="2019"/>
    <x v="16"/>
    <n v="2022"/>
    <n v="4"/>
    <x v="3"/>
    <x v="1"/>
    <x v="1"/>
    <n v="24"/>
    <x v="0"/>
    <x v="0"/>
    <x v="4"/>
  </r>
  <r>
    <n v="890"/>
    <x v="5"/>
    <x v="39"/>
    <n v="2020"/>
    <x v="0"/>
    <s v=" "/>
    <s v=" "/>
    <x v="0"/>
    <x v="0"/>
    <x v="1"/>
    <n v="37"/>
    <x v="4"/>
    <x v="1"/>
    <x v="9"/>
  </r>
  <r>
    <n v="891"/>
    <x v="4"/>
    <x v="40"/>
    <n v="2020"/>
    <x v="0"/>
    <s v=" "/>
    <s v=" "/>
    <x v="0"/>
    <x v="0"/>
    <x v="1"/>
    <n v="23"/>
    <x v="0"/>
    <x v="0"/>
    <x v="0"/>
  </r>
  <r>
    <n v="892"/>
    <x v="4"/>
    <x v="41"/>
    <n v="2024"/>
    <x v="0"/>
    <s v=" "/>
    <s v=" "/>
    <x v="0"/>
    <x v="0"/>
    <x v="0"/>
    <n v="31"/>
    <x v="4"/>
    <x v="2"/>
    <x v="2"/>
  </r>
  <r>
    <n v="893"/>
    <x v="5"/>
    <x v="42"/>
    <n v="2024"/>
    <x v="0"/>
    <s v=" "/>
    <s v=" "/>
    <x v="0"/>
    <x v="0"/>
    <x v="0"/>
    <n v="52"/>
    <x v="1"/>
    <x v="5"/>
    <x v="3"/>
  </r>
  <r>
    <n v="894"/>
    <x v="2"/>
    <x v="43"/>
    <n v="2022"/>
    <x v="0"/>
    <s v=" "/>
    <s v=" "/>
    <x v="0"/>
    <x v="0"/>
    <x v="1"/>
    <n v="25"/>
    <x v="0"/>
    <x v="0"/>
    <x v="10"/>
  </r>
  <r>
    <n v="895"/>
    <x v="1"/>
    <x v="44"/>
    <n v="2023"/>
    <x v="0"/>
    <s v=" "/>
    <s v=" "/>
    <x v="0"/>
    <x v="0"/>
    <x v="0"/>
    <n v="46"/>
    <x v="3"/>
    <x v="1"/>
    <x v="4"/>
  </r>
  <r>
    <n v="896"/>
    <x v="1"/>
    <x v="45"/>
    <n v="2019"/>
    <x v="17"/>
    <n v="2021"/>
    <n v="3"/>
    <x v="5"/>
    <x v="1"/>
    <x v="0"/>
    <n v="24"/>
    <x v="0"/>
    <x v="1"/>
    <x v="9"/>
  </r>
  <r>
    <n v="897"/>
    <x v="1"/>
    <x v="46"/>
    <n v="2021"/>
    <x v="18"/>
    <n v="2024"/>
    <n v="4"/>
    <x v="5"/>
    <x v="1"/>
    <x v="1"/>
    <n v="38"/>
    <x v="4"/>
    <x v="2"/>
    <x v="0"/>
  </r>
  <r>
    <n v="898"/>
    <x v="3"/>
    <x v="47"/>
    <n v="2019"/>
    <x v="0"/>
    <s v=" "/>
    <s v=" "/>
    <x v="0"/>
    <x v="0"/>
    <x v="0"/>
    <n v="49"/>
    <x v="3"/>
    <x v="3"/>
    <x v="1"/>
  </r>
  <r>
    <n v="899"/>
    <x v="4"/>
    <x v="48"/>
    <n v="2024"/>
    <x v="0"/>
    <s v=" "/>
    <s v=" "/>
    <x v="0"/>
    <x v="0"/>
    <x v="0"/>
    <n v="31"/>
    <x v="4"/>
    <x v="0"/>
    <x v="2"/>
  </r>
  <r>
    <n v="900"/>
    <x v="0"/>
    <x v="49"/>
    <n v="2018"/>
    <x v="19"/>
    <n v="2022"/>
    <n v="5"/>
    <x v="4"/>
    <x v="1"/>
    <x v="0"/>
    <n v="51"/>
    <x v="1"/>
    <x v="6"/>
    <x v="3"/>
  </r>
  <r>
    <n v="901"/>
    <x v="0"/>
    <x v="0"/>
    <n v="2018"/>
    <x v="0"/>
    <s v=" "/>
    <s v=" "/>
    <x v="0"/>
    <x v="0"/>
    <x v="1"/>
    <n v="27"/>
    <x v="0"/>
    <x v="0"/>
    <x v="4"/>
  </r>
  <r>
    <n v="902"/>
    <x v="1"/>
    <x v="1"/>
    <n v="2020"/>
    <x v="0"/>
    <s v=" "/>
    <s v=" "/>
    <x v="0"/>
    <x v="0"/>
    <x v="0"/>
    <n v="22"/>
    <x v="0"/>
    <x v="0"/>
    <x v="5"/>
  </r>
  <r>
    <n v="903"/>
    <x v="1"/>
    <x v="2"/>
    <n v="2021"/>
    <x v="0"/>
    <s v=" "/>
    <s v=" "/>
    <x v="0"/>
    <x v="0"/>
    <x v="1"/>
    <n v="50"/>
    <x v="1"/>
    <x v="1"/>
    <x v="6"/>
  </r>
  <r>
    <n v="904"/>
    <x v="1"/>
    <x v="3"/>
    <n v="2023"/>
    <x v="0"/>
    <s v=" "/>
    <s v=" "/>
    <x v="0"/>
    <x v="0"/>
    <x v="1"/>
    <n v="24"/>
    <x v="0"/>
    <x v="0"/>
    <x v="7"/>
  </r>
  <r>
    <n v="905"/>
    <x v="1"/>
    <x v="4"/>
    <n v="2019"/>
    <x v="1"/>
    <n v="2021"/>
    <n v="3"/>
    <x v="1"/>
    <x v="1"/>
    <x v="1"/>
    <n v="50"/>
    <x v="1"/>
    <x v="2"/>
    <x v="8"/>
  </r>
  <r>
    <n v="906"/>
    <x v="2"/>
    <x v="5"/>
    <n v="2022"/>
    <x v="2"/>
    <n v="2023"/>
    <n v="2"/>
    <x v="7"/>
    <x v="1"/>
    <x v="0"/>
    <n v="28"/>
    <x v="0"/>
    <x v="5"/>
    <x v="9"/>
  </r>
  <r>
    <n v="907"/>
    <x v="3"/>
    <x v="6"/>
    <n v="2024"/>
    <x v="0"/>
    <s v=" "/>
    <s v=" "/>
    <x v="0"/>
    <x v="0"/>
    <x v="0"/>
    <n v="40"/>
    <x v="3"/>
    <x v="0"/>
    <x v="10"/>
  </r>
  <r>
    <n v="908"/>
    <x v="0"/>
    <x v="7"/>
    <n v="2018"/>
    <x v="0"/>
    <s v=" "/>
    <s v=" "/>
    <x v="0"/>
    <x v="0"/>
    <x v="1"/>
    <n v="32"/>
    <x v="4"/>
    <x v="1"/>
    <x v="2"/>
  </r>
  <r>
    <n v="909"/>
    <x v="1"/>
    <x v="8"/>
    <n v="2023"/>
    <x v="0"/>
    <s v=" "/>
    <s v=" "/>
    <x v="0"/>
    <x v="0"/>
    <x v="1"/>
    <n v="50"/>
    <x v="1"/>
    <x v="1"/>
    <x v="4"/>
  </r>
  <r>
    <n v="910"/>
    <x v="4"/>
    <x v="9"/>
    <n v="2024"/>
    <x v="0"/>
    <s v=" "/>
    <s v=" "/>
    <x v="0"/>
    <x v="0"/>
    <x v="0"/>
    <n v="24"/>
    <x v="0"/>
    <x v="2"/>
    <x v="9"/>
  </r>
  <r>
    <n v="911"/>
    <x v="5"/>
    <x v="10"/>
    <n v="2024"/>
    <x v="0"/>
    <s v=" "/>
    <s v=" "/>
    <x v="0"/>
    <x v="0"/>
    <x v="0"/>
    <n v="36"/>
    <x v="4"/>
    <x v="3"/>
    <x v="1"/>
  </r>
  <r>
    <n v="912"/>
    <x v="3"/>
    <x v="11"/>
    <n v="2021"/>
    <x v="3"/>
    <n v="2024"/>
    <n v="4"/>
    <x v="7"/>
    <x v="1"/>
    <x v="0"/>
    <n v="49"/>
    <x v="3"/>
    <x v="0"/>
    <x v="2"/>
  </r>
  <r>
    <n v="913"/>
    <x v="0"/>
    <x v="12"/>
    <n v="2018"/>
    <x v="4"/>
    <n v="2020"/>
    <n v="3"/>
    <x v="3"/>
    <x v="1"/>
    <x v="0"/>
    <n v="43"/>
    <x v="3"/>
    <x v="6"/>
    <x v="3"/>
  </r>
  <r>
    <n v="914"/>
    <x v="1"/>
    <x v="13"/>
    <n v="2024"/>
    <x v="0"/>
    <s v=" "/>
    <s v=" "/>
    <x v="0"/>
    <x v="0"/>
    <x v="1"/>
    <n v="40"/>
    <x v="3"/>
    <x v="0"/>
    <x v="4"/>
  </r>
  <r>
    <n v="915"/>
    <x v="1"/>
    <x v="14"/>
    <n v="2018"/>
    <x v="0"/>
    <s v=" "/>
    <s v=" "/>
    <x v="0"/>
    <x v="0"/>
    <x v="0"/>
    <n v="42"/>
    <x v="3"/>
    <x v="0"/>
    <x v="9"/>
  </r>
  <r>
    <n v="916"/>
    <x v="0"/>
    <x v="15"/>
    <n v="2019"/>
    <x v="5"/>
    <n v="2022"/>
    <n v="4"/>
    <x v="4"/>
    <x v="1"/>
    <x v="1"/>
    <n v="35"/>
    <x v="4"/>
    <x v="1"/>
    <x v="0"/>
  </r>
  <r>
    <n v="917"/>
    <x v="3"/>
    <x v="16"/>
    <n v="2019"/>
    <x v="6"/>
    <n v="2020"/>
    <n v="2"/>
    <x v="3"/>
    <x v="1"/>
    <x v="1"/>
    <n v="31"/>
    <x v="4"/>
    <x v="0"/>
    <x v="2"/>
  </r>
  <r>
    <n v="918"/>
    <x v="5"/>
    <x v="17"/>
    <n v="2022"/>
    <x v="0"/>
    <s v=" "/>
    <s v=" "/>
    <x v="0"/>
    <x v="0"/>
    <x v="0"/>
    <n v="51"/>
    <x v="1"/>
    <x v="2"/>
    <x v="3"/>
  </r>
  <r>
    <n v="919"/>
    <x v="0"/>
    <x v="18"/>
    <n v="2024"/>
    <x v="0"/>
    <s v=" "/>
    <s v=" "/>
    <x v="0"/>
    <x v="0"/>
    <x v="0"/>
    <n v="48"/>
    <x v="3"/>
    <x v="5"/>
    <x v="10"/>
  </r>
  <r>
    <n v="920"/>
    <x v="3"/>
    <x v="19"/>
    <n v="2019"/>
    <x v="7"/>
    <n v="2022"/>
    <n v="4"/>
    <x v="5"/>
    <x v="1"/>
    <x v="0"/>
    <n v="41"/>
    <x v="3"/>
    <x v="0"/>
    <x v="4"/>
  </r>
  <r>
    <n v="921"/>
    <x v="5"/>
    <x v="20"/>
    <n v="2021"/>
    <x v="8"/>
    <n v="2024"/>
    <n v="4"/>
    <x v="7"/>
    <x v="1"/>
    <x v="1"/>
    <n v="35"/>
    <x v="4"/>
    <x v="1"/>
    <x v="9"/>
  </r>
  <r>
    <n v="922"/>
    <x v="2"/>
    <x v="21"/>
    <n v="2023"/>
    <x v="9"/>
    <n v="2024"/>
    <n v="2"/>
    <x v="4"/>
    <x v="1"/>
    <x v="0"/>
    <n v="24"/>
    <x v="0"/>
    <x v="1"/>
    <x v="0"/>
  </r>
  <r>
    <n v="923"/>
    <x v="1"/>
    <x v="22"/>
    <n v="2023"/>
    <x v="0"/>
    <s v=" "/>
    <s v=" "/>
    <x v="0"/>
    <x v="0"/>
    <x v="1"/>
    <n v="41"/>
    <x v="3"/>
    <x v="2"/>
    <x v="1"/>
  </r>
  <r>
    <n v="924"/>
    <x v="2"/>
    <x v="23"/>
    <n v="2024"/>
    <x v="0"/>
    <s v=" "/>
    <s v=" "/>
    <x v="0"/>
    <x v="0"/>
    <x v="0"/>
    <n v="40"/>
    <x v="3"/>
    <x v="3"/>
    <x v="2"/>
  </r>
  <r>
    <n v="925"/>
    <x v="0"/>
    <x v="24"/>
    <n v="2019"/>
    <x v="0"/>
    <s v=" "/>
    <s v=" "/>
    <x v="0"/>
    <x v="0"/>
    <x v="0"/>
    <n v="48"/>
    <x v="3"/>
    <x v="0"/>
    <x v="3"/>
  </r>
  <r>
    <n v="926"/>
    <x v="1"/>
    <x v="25"/>
    <n v="2022"/>
    <x v="0"/>
    <s v=" "/>
    <s v=" "/>
    <x v="0"/>
    <x v="0"/>
    <x v="1"/>
    <n v="52"/>
    <x v="1"/>
    <x v="6"/>
    <x v="4"/>
  </r>
  <r>
    <n v="927"/>
    <x v="4"/>
    <x v="26"/>
    <n v="2020"/>
    <x v="10"/>
    <n v="2021"/>
    <n v="2"/>
    <x v="6"/>
    <x v="1"/>
    <x v="1"/>
    <n v="33"/>
    <x v="4"/>
    <x v="0"/>
    <x v="5"/>
  </r>
  <r>
    <n v="928"/>
    <x v="2"/>
    <x v="27"/>
    <n v="2023"/>
    <x v="0"/>
    <s v=" "/>
    <s v=" "/>
    <x v="0"/>
    <x v="0"/>
    <x v="0"/>
    <n v="51"/>
    <x v="1"/>
    <x v="0"/>
    <x v="6"/>
  </r>
  <r>
    <n v="929"/>
    <x v="0"/>
    <x v="28"/>
    <n v="2021"/>
    <x v="11"/>
    <n v="2022"/>
    <n v="2"/>
    <x v="3"/>
    <x v="1"/>
    <x v="1"/>
    <n v="46"/>
    <x v="3"/>
    <x v="1"/>
    <x v="7"/>
  </r>
  <r>
    <n v="930"/>
    <x v="2"/>
    <x v="29"/>
    <n v="2018"/>
    <x v="12"/>
    <n v="2021"/>
    <n v="4"/>
    <x v="1"/>
    <x v="1"/>
    <x v="0"/>
    <n v="53"/>
    <x v="1"/>
    <x v="0"/>
    <x v="8"/>
  </r>
  <r>
    <n v="931"/>
    <x v="5"/>
    <x v="30"/>
    <n v="2021"/>
    <x v="0"/>
    <s v=" "/>
    <s v=" "/>
    <x v="0"/>
    <x v="0"/>
    <x v="0"/>
    <n v="35"/>
    <x v="4"/>
    <x v="2"/>
    <x v="9"/>
  </r>
  <r>
    <n v="932"/>
    <x v="0"/>
    <x v="31"/>
    <n v="2024"/>
    <x v="0"/>
    <s v=" "/>
    <s v=" "/>
    <x v="0"/>
    <x v="0"/>
    <x v="0"/>
    <n v="32"/>
    <x v="4"/>
    <x v="7"/>
    <x v="10"/>
  </r>
  <r>
    <n v="933"/>
    <x v="5"/>
    <x v="32"/>
    <n v="2021"/>
    <x v="0"/>
    <s v=" "/>
    <s v=" "/>
    <x v="0"/>
    <x v="0"/>
    <x v="1"/>
    <n v="46"/>
    <x v="3"/>
    <x v="0"/>
    <x v="2"/>
  </r>
  <r>
    <n v="934"/>
    <x v="0"/>
    <x v="33"/>
    <n v="2020"/>
    <x v="0"/>
    <s v=" "/>
    <s v=" "/>
    <x v="0"/>
    <x v="0"/>
    <x v="0"/>
    <n v="50"/>
    <x v="1"/>
    <x v="1"/>
    <x v="4"/>
  </r>
  <r>
    <n v="935"/>
    <x v="2"/>
    <x v="34"/>
    <n v="2018"/>
    <x v="13"/>
    <n v="2022"/>
    <n v="5"/>
    <x v="2"/>
    <x v="1"/>
    <x v="1"/>
    <n v="64"/>
    <x v="2"/>
    <x v="1"/>
    <x v="9"/>
  </r>
  <r>
    <n v="936"/>
    <x v="2"/>
    <x v="35"/>
    <n v="2018"/>
    <x v="0"/>
    <s v=" "/>
    <s v=" "/>
    <x v="0"/>
    <x v="0"/>
    <x v="0"/>
    <n v="29"/>
    <x v="0"/>
    <x v="2"/>
    <x v="1"/>
  </r>
  <r>
    <n v="937"/>
    <x v="2"/>
    <x v="36"/>
    <n v="2021"/>
    <x v="14"/>
    <n v="2024"/>
    <n v="4"/>
    <x v="1"/>
    <x v="1"/>
    <x v="1"/>
    <n v="27"/>
    <x v="0"/>
    <x v="3"/>
    <x v="2"/>
  </r>
  <r>
    <n v="938"/>
    <x v="4"/>
    <x v="37"/>
    <n v="2021"/>
    <x v="15"/>
    <n v="2023"/>
    <n v="3"/>
    <x v="4"/>
    <x v="1"/>
    <x v="1"/>
    <n v="31"/>
    <x v="4"/>
    <x v="0"/>
    <x v="3"/>
  </r>
  <r>
    <n v="939"/>
    <x v="0"/>
    <x v="38"/>
    <n v="2019"/>
    <x v="16"/>
    <n v="2022"/>
    <n v="4"/>
    <x v="3"/>
    <x v="1"/>
    <x v="0"/>
    <n v="24"/>
    <x v="0"/>
    <x v="7"/>
    <x v="4"/>
  </r>
  <r>
    <n v="940"/>
    <x v="5"/>
    <x v="39"/>
    <n v="2020"/>
    <x v="0"/>
    <s v=" "/>
    <s v=" "/>
    <x v="0"/>
    <x v="0"/>
    <x v="1"/>
    <n v="37"/>
    <x v="4"/>
    <x v="0"/>
    <x v="9"/>
  </r>
  <r>
    <n v="941"/>
    <x v="4"/>
    <x v="40"/>
    <n v="2020"/>
    <x v="0"/>
    <s v=" "/>
    <s v=" "/>
    <x v="0"/>
    <x v="0"/>
    <x v="1"/>
    <n v="23"/>
    <x v="0"/>
    <x v="0"/>
    <x v="0"/>
  </r>
  <r>
    <n v="942"/>
    <x v="4"/>
    <x v="41"/>
    <n v="2024"/>
    <x v="0"/>
    <s v=" "/>
    <s v=" "/>
    <x v="0"/>
    <x v="0"/>
    <x v="0"/>
    <n v="31"/>
    <x v="4"/>
    <x v="1"/>
    <x v="2"/>
  </r>
  <r>
    <n v="943"/>
    <x v="5"/>
    <x v="42"/>
    <n v="2024"/>
    <x v="0"/>
    <s v=" "/>
    <s v=" "/>
    <x v="0"/>
    <x v="0"/>
    <x v="0"/>
    <n v="52"/>
    <x v="1"/>
    <x v="0"/>
    <x v="3"/>
  </r>
  <r>
    <n v="944"/>
    <x v="2"/>
    <x v="43"/>
    <n v="2022"/>
    <x v="0"/>
    <s v=" "/>
    <s v=" "/>
    <x v="0"/>
    <x v="0"/>
    <x v="1"/>
    <n v="25"/>
    <x v="0"/>
    <x v="2"/>
    <x v="10"/>
  </r>
  <r>
    <n v="945"/>
    <x v="1"/>
    <x v="44"/>
    <n v="2023"/>
    <x v="0"/>
    <s v=" "/>
    <s v=" "/>
    <x v="0"/>
    <x v="0"/>
    <x v="1"/>
    <n v="46"/>
    <x v="3"/>
    <x v="5"/>
    <x v="4"/>
  </r>
  <r>
    <n v="946"/>
    <x v="1"/>
    <x v="45"/>
    <n v="2019"/>
    <x v="17"/>
    <n v="2021"/>
    <n v="3"/>
    <x v="5"/>
    <x v="1"/>
    <x v="0"/>
    <n v="24"/>
    <x v="0"/>
    <x v="0"/>
    <x v="9"/>
  </r>
  <r>
    <n v="947"/>
    <x v="1"/>
    <x v="46"/>
    <n v="2021"/>
    <x v="18"/>
    <n v="2024"/>
    <n v="4"/>
    <x v="7"/>
    <x v="1"/>
    <x v="1"/>
    <n v="38"/>
    <x v="4"/>
    <x v="1"/>
    <x v="0"/>
  </r>
  <r>
    <n v="948"/>
    <x v="3"/>
    <x v="47"/>
    <n v="2019"/>
    <x v="0"/>
    <s v=" "/>
    <s v=" "/>
    <x v="0"/>
    <x v="0"/>
    <x v="0"/>
    <n v="49"/>
    <x v="3"/>
    <x v="1"/>
    <x v="1"/>
  </r>
  <r>
    <n v="949"/>
    <x v="4"/>
    <x v="48"/>
    <n v="2024"/>
    <x v="0"/>
    <s v=" "/>
    <s v=" "/>
    <x v="0"/>
    <x v="0"/>
    <x v="0"/>
    <n v="31"/>
    <x v="4"/>
    <x v="2"/>
    <x v="2"/>
  </r>
  <r>
    <n v="950"/>
    <x v="0"/>
    <x v="49"/>
    <n v="2018"/>
    <x v="19"/>
    <n v="2022"/>
    <n v="5"/>
    <x v="4"/>
    <x v="1"/>
    <x v="0"/>
    <n v="51"/>
    <x v="1"/>
    <x v="3"/>
    <x v="3"/>
  </r>
  <r>
    <n v="951"/>
    <x v="0"/>
    <x v="0"/>
    <n v="2018"/>
    <x v="0"/>
    <s v=" "/>
    <s v=" "/>
    <x v="0"/>
    <x v="0"/>
    <x v="1"/>
    <n v="27"/>
    <x v="0"/>
    <x v="0"/>
    <x v="4"/>
  </r>
  <r>
    <n v="952"/>
    <x v="1"/>
    <x v="1"/>
    <n v="2020"/>
    <x v="0"/>
    <s v=" "/>
    <s v=" "/>
    <x v="0"/>
    <x v="0"/>
    <x v="0"/>
    <n v="22"/>
    <x v="0"/>
    <x v="4"/>
    <x v="5"/>
  </r>
  <r>
    <n v="953"/>
    <x v="1"/>
    <x v="2"/>
    <n v="2021"/>
    <x v="0"/>
    <s v=" "/>
    <s v=" "/>
    <x v="0"/>
    <x v="0"/>
    <x v="1"/>
    <n v="50"/>
    <x v="1"/>
    <x v="0"/>
    <x v="6"/>
  </r>
  <r>
    <n v="954"/>
    <x v="1"/>
    <x v="3"/>
    <n v="2023"/>
    <x v="0"/>
    <s v=" "/>
    <s v=" "/>
    <x v="0"/>
    <x v="0"/>
    <x v="0"/>
    <n v="24"/>
    <x v="0"/>
    <x v="0"/>
    <x v="7"/>
  </r>
  <r>
    <n v="955"/>
    <x v="1"/>
    <x v="4"/>
    <n v="2019"/>
    <x v="1"/>
    <n v="2021"/>
    <n v="3"/>
    <x v="1"/>
    <x v="1"/>
    <x v="1"/>
    <n v="50"/>
    <x v="1"/>
    <x v="1"/>
    <x v="8"/>
  </r>
  <r>
    <n v="956"/>
    <x v="2"/>
    <x v="5"/>
    <n v="2022"/>
    <x v="2"/>
    <n v="2023"/>
    <n v="2"/>
    <x v="7"/>
    <x v="1"/>
    <x v="1"/>
    <n v="28"/>
    <x v="0"/>
    <x v="0"/>
    <x v="9"/>
  </r>
  <r>
    <n v="957"/>
    <x v="3"/>
    <x v="6"/>
    <n v="2024"/>
    <x v="0"/>
    <s v=" "/>
    <s v=" "/>
    <x v="0"/>
    <x v="0"/>
    <x v="0"/>
    <n v="40"/>
    <x v="3"/>
    <x v="2"/>
    <x v="10"/>
  </r>
  <r>
    <n v="958"/>
    <x v="0"/>
    <x v="7"/>
    <n v="2018"/>
    <x v="0"/>
    <s v=" "/>
    <s v=" "/>
    <x v="0"/>
    <x v="0"/>
    <x v="1"/>
    <n v="32"/>
    <x v="4"/>
    <x v="7"/>
    <x v="2"/>
  </r>
  <r>
    <n v="959"/>
    <x v="1"/>
    <x v="8"/>
    <n v="2023"/>
    <x v="0"/>
    <s v=" "/>
    <s v=" "/>
    <x v="0"/>
    <x v="0"/>
    <x v="1"/>
    <n v="50"/>
    <x v="1"/>
    <x v="0"/>
    <x v="4"/>
  </r>
  <r>
    <n v="960"/>
    <x v="4"/>
    <x v="9"/>
    <n v="2024"/>
    <x v="0"/>
    <s v=" "/>
    <s v=" "/>
    <x v="0"/>
    <x v="0"/>
    <x v="0"/>
    <n v="24"/>
    <x v="0"/>
    <x v="1"/>
    <x v="9"/>
  </r>
  <r>
    <n v="961"/>
    <x v="5"/>
    <x v="10"/>
    <n v="2024"/>
    <x v="0"/>
    <s v=" "/>
    <s v=" "/>
    <x v="0"/>
    <x v="0"/>
    <x v="0"/>
    <n v="36"/>
    <x v="4"/>
    <x v="1"/>
    <x v="1"/>
  </r>
  <r>
    <n v="962"/>
    <x v="3"/>
    <x v="11"/>
    <n v="2021"/>
    <x v="3"/>
    <n v="2024"/>
    <n v="4"/>
    <x v="7"/>
    <x v="1"/>
    <x v="0"/>
    <n v="49"/>
    <x v="3"/>
    <x v="2"/>
    <x v="2"/>
  </r>
  <r>
    <n v="963"/>
    <x v="0"/>
    <x v="12"/>
    <n v="2018"/>
    <x v="4"/>
    <n v="2020"/>
    <n v="3"/>
    <x v="7"/>
    <x v="1"/>
    <x v="1"/>
    <n v="43"/>
    <x v="3"/>
    <x v="3"/>
    <x v="3"/>
  </r>
  <r>
    <n v="964"/>
    <x v="1"/>
    <x v="13"/>
    <n v="2024"/>
    <x v="0"/>
    <s v=" "/>
    <s v=" "/>
    <x v="0"/>
    <x v="0"/>
    <x v="1"/>
    <n v="40"/>
    <x v="3"/>
    <x v="0"/>
    <x v="4"/>
  </r>
  <r>
    <n v="965"/>
    <x v="1"/>
    <x v="14"/>
    <n v="2018"/>
    <x v="0"/>
    <s v=" "/>
    <s v=" "/>
    <x v="0"/>
    <x v="0"/>
    <x v="0"/>
    <n v="42"/>
    <x v="3"/>
    <x v="4"/>
    <x v="9"/>
  </r>
  <r>
    <n v="966"/>
    <x v="0"/>
    <x v="15"/>
    <n v="2019"/>
    <x v="5"/>
    <n v="2022"/>
    <n v="4"/>
    <x v="4"/>
    <x v="1"/>
    <x v="1"/>
    <n v="35"/>
    <x v="4"/>
    <x v="0"/>
    <x v="0"/>
  </r>
  <r>
    <n v="967"/>
    <x v="3"/>
    <x v="16"/>
    <n v="2019"/>
    <x v="6"/>
    <n v="2020"/>
    <n v="2"/>
    <x v="3"/>
    <x v="1"/>
    <x v="0"/>
    <n v="31"/>
    <x v="4"/>
    <x v="0"/>
    <x v="2"/>
  </r>
  <r>
    <n v="968"/>
    <x v="5"/>
    <x v="17"/>
    <n v="2022"/>
    <x v="0"/>
    <s v=" "/>
    <s v=" "/>
    <x v="0"/>
    <x v="0"/>
    <x v="0"/>
    <n v="51"/>
    <x v="1"/>
    <x v="1"/>
    <x v="3"/>
  </r>
  <r>
    <n v="969"/>
    <x v="0"/>
    <x v="18"/>
    <n v="2024"/>
    <x v="0"/>
    <s v=" "/>
    <s v=" "/>
    <x v="0"/>
    <x v="0"/>
    <x v="0"/>
    <n v="48"/>
    <x v="3"/>
    <x v="0"/>
    <x v="10"/>
  </r>
  <r>
    <n v="970"/>
    <x v="3"/>
    <x v="19"/>
    <n v="2019"/>
    <x v="7"/>
    <n v="2022"/>
    <n v="4"/>
    <x v="5"/>
    <x v="1"/>
    <x v="1"/>
    <n v="41"/>
    <x v="3"/>
    <x v="2"/>
    <x v="4"/>
  </r>
  <r>
    <n v="971"/>
    <x v="5"/>
    <x v="20"/>
    <n v="2021"/>
    <x v="8"/>
    <n v="2024"/>
    <n v="4"/>
    <x v="7"/>
    <x v="1"/>
    <x v="0"/>
    <n v="35"/>
    <x v="4"/>
    <x v="5"/>
    <x v="9"/>
  </r>
  <r>
    <n v="972"/>
    <x v="2"/>
    <x v="21"/>
    <n v="2023"/>
    <x v="9"/>
    <n v="2024"/>
    <n v="2"/>
    <x v="4"/>
    <x v="1"/>
    <x v="1"/>
    <n v="24"/>
    <x v="0"/>
    <x v="0"/>
    <x v="0"/>
  </r>
  <r>
    <n v="973"/>
    <x v="1"/>
    <x v="22"/>
    <n v="2023"/>
    <x v="0"/>
    <s v=" "/>
    <s v=" "/>
    <x v="0"/>
    <x v="0"/>
    <x v="0"/>
    <n v="41"/>
    <x v="3"/>
    <x v="1"/>
    <x v="1"/>
  </r>
  <r>
    <n v="974"/>
    <x v="2"/>
    <x v="23"/>
    <n v="2024"/>
    <x v="0"/>
    <s v=" "/>
    <s v=" "/>
    <x v="0"/>
    <x v="0"/>
    <x v="1"/>
    <n v="40"/>
    <x v="3"/>
    <x v="1"/>
    <x v="2"/>
  </r>
  <r>
    <n v="975"/>
    <x v="0"/>
    <x v="24"/>
    <n v="2019"/>
    <x v="0"/>
    <s v=" "/>
    <s v=" "/>
    <x v="0"/>
    <x v="0"/>
    <x v="1"/>
    <n v="48"/>
    <x v="3"/>
    <x v="2"/>
    <x v="3"/>
  </r>
  <r>
    <n v="976"/>
    <x v="1"/>
    <x v="25"/>
    <n v="2022"/>
    <x v="0"/>
    <s v=" "/>
    <s v=" "/>
    <x v="0"/>
    <x v="0"/>
    <x v="0"/>
    <n v="52"/>
    <x v="1"/>
    <x v="3"/>
    <x v="4"/>
  </r>
  <r>
    <n v="977"/>
    <x v="4"/>
    <x v="26"/>
    <n v="2020"/>
    <x v="10"/>
    <n v="2021"/>
    <n v="2"/>
    <x v="6"/>
    <x v="1"/>
    <x v="1"/>
    <n v="33"/>
    <x v="4"/>
    <x v="0"/>
    <x v="5"/>
  </r>
  <r>
    <n v="978"/>
    <x v="2"/>
    <x v="27"/>
    <n v="2023"/>
    <x v="0"/>
    <s v=" "/>
    <s v=" "/>
    <x v="0"/>
    <x v="0"/>
    <x v="1"/>
    <n v="51"/>
    <x v="1"/>
    <x v="6"/>
    <x v="6"/>
  </r>
  <r>
    <n v="979"/>
    <x v="0"/>
    <x v="28"/>
    <n v="2021"/>
    <x v="11"/>
    <n v="2022"/>
    <n v="2"/>
    <x v="7"/>
    <x v="1"/>
    <x v="0"/>
    <n v="46"/>
    <x v="3"/>
    <x v="0"/>
    <x v="7"/>
  </r>
  <r>
    <n v="980"/>
    <x v="2"/>
    <x v="29"/>
    <n v="2018"/>
    <x v="12"/>
    <n v="2021"/>
    <n v="4"/>
    <x v="1"/>
    <x v="1"/>
    <x v="0"/>
    <n v="53"/>
    <x v="1"/>
    <x v="0"/>
    <x v="8"/>
  </r>
  <r>
    <n v="981"/>
    <x v="5"/>
    <x v="30"/>
    <n v="2021"/>
    <x v="0"/>
    <s v=" "/>
    <s v=" "/>
    <x v="0"/>
    <x v="0"/>
    <x v="0"/>
    <n v="35"/>
    <x v="4"/>
    <x v="1"/>
    <x v="9"/>
  </r>
  <r>
    <n v="982"/>
    <x v="0"/>
    <x v="31"/>
    <n v="2024"/>
    <x v="0"/>
    <s v=" "/>
    <s v=" "/>
    <x v="0"/>
    <x v="0"/>
    <x v="1"/>
    <n v="32"/>
    <x v="4"/>
    <x v="0"/>
    <x v="10"/>
  </r>
  <r>
    <n v="983"/>
    <x v="5"/>
    <x v="32"/>
    <n v="2021"/>
    <x v="0"/>
    <s v=" "/>
    <s v=" "/>
    <x v="0"/>
    <x v="0"/>
    <x v="1"/>
    <n v="46"/>
    <x v="3"/>
    <x v="2"/>
    <x v="2"/>
  </r>
  <r>
    <n v="984"/>
    <x v="0"/>
    <x v="33"/>
    <n v="2020"/>
    <x v="0"/>
    <s v=" "/>
    <s v=" "/>
    <x v="0"/>
    <x v="0"/>
    <x v="0"/>
    <n v="50"/>
    <x v="1"/>
    <x v="5"/>
    <x v="4"/>
  </r>
  <r>
    <n v="985"/>
    <x v="2"/>
    <x v="34"/>
    <n v="2018"/>
    <x v="13"/>
    <n v="2022"/>
    <n v="5"/>
    <x v="2"/>
    <x v="1"/>
    <x v="1"/>
    <n v="64"/>
    <x v="2"/>
    <x v="0"/>
    <x v="9"/>
  </r>
  <r>
    <n v="986"/>
    <x v="2"/>
    <x v="35"/>
    <n v="2018"/>
    <x v="0"/>
    <s v=" "/>
    <s v=" "/>
    <x v="0"/>
    <x v="0"/>
    <x v="0"/>
    <n v="29"/>
    <x v="0"/>
    <x v="1"/>
    <x v="1"/>
  </r>
  <r>
    <n v="987"/>
    <x v="2"/>
    <x v="36"/>
    <n v="2021"/>
    <x v="14"/>
    <n v="2024"/>
    <n v="4"/>
    <x v="1"/>
    <x v="1"/>
    <x v="0"/>
    <n v="27"/>
    <x v="0"/>
    <x v="1"/>
    <x v="2"/>
  </r>
  <r>
    <n v="988"/>
    <x v="4"/>
    <x v="37"/>
    <n v="2021"/>
    <x v="15"/>
    <n v="2023"/>
    <n v="3"/>
    <x v="4"/>
    <x v="1"/>
    <x v="0"/>
    <n v="31"/>
    <x v="4"/>
    <x v="2"/>
    <x v="3"/>
  </r>
  <r>
    <n v="989"/>
    <x v="0"/>
    <x v="38"/>
    <n v="2019"/>
    <x v="16"/>
    <n v="2022"/>
    <n v="4"/>
    <x v="7"/>
    <x v="1"/>
    <x v="1"/>
    <n v="24"/>
    <x v="0"/>
    <x v="3"/>
    <x v="4"/>
  </r>
  <r>
    <n v="990"/>
    <x v="5"/>
    <x v="39"/>
    <n v="2020"/>
    <x v="0"/>
    <s v=" "/>
    <s v=" "/>
    <x v="0"/>
    <x v="0"/>
    <x v="0"/>
    <n v="37"/>
    <x v="4"/>
    <x v="0"/>
    <x v="9"/>
  </r>
  <r>
    <n v="991"/>
    <x v="4"/>
    <x v="40"/>
    <n v="2020"/>
    <x v="0"/>
    <s v=" "/>
    <s v=" "/>
    <x v="0"/>
    <x v="0"/>
    <x v="1"/>
    <n v="23"/>
    <x v="0"/>
    <x v="4"/>
    <x v="0"/>
  </r>
  <r>
    <n v="992"/>
    <x v="4"/>
    <x v="41"/>
    <n v="2024"/>
    <x v="0"/>
    <s v=" "/>
    <s v=" "/>
    <x v="0"/>
    <x v="0"/>
    <x v="0"/>
    <n v="31"/>
    <x v="4"/>
    <x v="0"/>
    <x v="2"/>
  </r>
  <r>
    <n v="993"/>
    <x v="5"/>
    <x v="42"/>
    <n v="2024"/>
    <x v="0"/>
    <s v=" "/>
    <s v=" "/>
    <x v="0"/>
    <x v="0"/>
    <x v="1"/>
    <n v="52"/>
    <x v="1"/>
    <x v="0"/>
    <x v="3"/>
  </r>
  <r>
    <n v="994"/>
    <x v="2"/>
    <x v="43"/>
    <n v="2022"/>
    <x v="0"/>
    <s v=" "/>
    <s v=" "/>
    <x v="0"/>
    <x v="0"/>
    <x v="1"/>
    <n v="25"/>
    <x v="0"/>
    <x v="1"/>
    <x v="10"/>
  </r>
  <r>
    <n v="995"/>
    <x v="1"/>
    <x v="44"/>
    <n v="2023"/>
    <x v="0"/>
    <s v=" "/>
    <s v=" "/>
    <x v="0"/>
    <x v="0"/>
    <x v="0"/>
    <n v="46"/>
    <x v="3"/>
    <x v="0"/>
    <x v="4"/>
  </r>
  <r>
    <n v="996"/>
    <x v="1"/>
    <x v="45"/>
    <n v="2019"/>
    <x v="17"/>
    <n v="2021"/>
    <n v="3"/>
    <x v="5"/>
    <x v="1"/>
    <x v="1"/>
    <n v="24"/>
    <x v="0"/>
    <x v="2"/>
    <x v="9"/>
  </r>
  <r>
    <n v="997"/>
    <x v="1"/>
    <x v="46"/>
    <n v="2021"/>
    <x v="18"/>
    <n v="2024"/>
    <n v="4"/>
    <x v="5"/>
    <x v="1"/>
    <x v="1"/>
    <n v="38"/>
    <x v="4"/>
    <x v="5"/>
    <x v="0"/>
  </r>
  <r>
    <n v="998"/>
    <x v="3"/>
    <x v="47"/>
    <n v="2019"/>
    <x v="0"/>
    <s v=" "/>
    <s v=" "/>
    <x v="0"/>
    <x v="0"/>
    <x v="0"/>
    <n v="49"/>
    <x v="3"/>
    <x v="0"/>
    <x v="1"/>
  </r>
  <r>
    <n v="999"/>
    <x v="4"/>
    <x v="48"/>
    <n v="2024"/>
    <x v="0"/>
    <s v=" "/>
    <s v=" "/>
    <x v="0"/>
    <x v="0"/>
    <x v="1"/>
    <n v="31"/>
    <x v="4"/>
    <x v="1"/>
    <x v="2"/>
  </r>
  <r>
    <n v="1000"/>
    <x v="0"/>
    <x v="49"/>
    <n v="2018"/>
    <x v="19"/>
    <n v="2022"/>
    <n v="5"/>
    <x v="4"/>
    <x v="1"/>
    <x v="1"/>
    <n v="51"/>
    <x v="1"/>
    <x v="1"/>
    <x v="3"/>
  </r>
  <r>
    <n v="1001"/>
    <x v="0"/>
    <x v="0"/>
    <n v="2018"/>
    <x v="0"/>
    <s v=" "/>
    <s v=" "/>
    <x v="0"/>
    <x v="0"/>
    <x v="0"/>
    <n v="27"/>
    <x v="0"/>
    <x v="2"/>
    <x v="4"/>
  </r>
  <r>
    <n v="1002"/>
    <x v="1"/>
    <x v="1"/>
    <n v="2020"/>
    <x v="0"/>
    <s v=" "/>
    <s v=" "/>
    <x v="0"/>
    <x v="0"/>
    <x v="1"/>
    <n v="22"/>
    <x v="0"/>
    <x v="3"/>
    <x v="5"/>
  </r>
  <r>
    <n v="1003"/>
    <x v="1"/>
    <x v="2"/>
    <n v="2021"/>
    <x v="0"/>
    <s v=" "/>
    <s v=" "/>
    <x v="0"/>
    <x v="0"/>
    <x v="0"/>
    <n v="50"/>
    <x v="1"/>
    <x v="0"/>
    <x v="6"/>
  </r>
  <r>
    <n v="1004"/>
    <x v="1"/>
    <x v="3"/>
    <n v="2023"/>
    <x v="0"/>
    <s v=" "/>
    <s v=" "/>
    <x v="0"/>
    <x v="0"/>
    <x v="0"/>
    <n v="24"/>
    <x v="0"/>
    <x v="4"/>
    <x v="7"/>
  </r>
  <r>
    <n v="1005"/>
    <x v="1"/>
    <x v="4"/>
    <n v="2019"/>
    <x v="1"/>
    <n v="2021"/>
    <n v="3"/>
    <x v="7"/>
    <x v="1"/>
    <x v="0"/>
    <n v="50"/>
    <x v="1"/>
    <x v="0"/>
    <x v="8"/>
  </r>
  <r>
    <n v="1006"/>
    <x v="2"/>
    <x v="5"/>
    <n v="2022"/>
    <x v="2"/>
    <n v="2023"/>
    <n v="2"/>
    <x v="7"/>
    <x v="1"/>
    <x v="1"/>
    <n v="28"/>
    <x v="0"/>
    <x v="0"/>
    <x v="9"/>
  </r>
  <r>
    <n v="1007"/>
    <x v="3"/>
    <x v="6"/>
    <n v="2024"/>
    <x v="0"/>
    <s v=" "/>
    <s v=" "/>
    <x v="0"/>
    <x v="0"/>
    <x v="0"/>
    <n v="40"/>
    <x v="3"/>
    <x v="1"/>
    <x v="10"/>
  </r>
  <r>
    <n v="1008"/>
    <x v="0"/>
    <x v="7"/>
    <n v="2018"/>
    <x v="0"/>
    <s v=" "/>
    <s v=" "/>
    <x v="0"/>
    <x v="0"/>
    <x v="1"/>
    <n v="32"/>
    <x v="4"/>
    <x v="0"/>
    <x v="2"/>
  </r>
  <r>
    <n v="1009"/>
    <x v="1"/>
    <x v="8"/>
    <n v="2023"/>
    <x v="0"/>
    <s v=" "/>
    <s v=" "/>
    <x v="0"/>
    <x v="0"/>
    <x v="0"/>
    <n v="50"/>
    <x v="1"/>
    <x v="2"/>
    <x v="4"/>
  </r>
  <r>
    <n v="1010"/>
    <x v="4"/>
    <x v="9"/>
    <n v="2024"/>
    <x v="0"/>
    <s v=" "/>
    <s v=" "/>
    <x v="0"/>
    <x v="0"/>
    <x v="1"/>
    <n v="24"/>
    <x v="0"/>
    <x v="7"/>
    <x v="9"/>
  </r>
  <r>
    <n v="1011"/>
    <x v="5"/>
    <x v="10"/>
    <n v="2024"/>
    <x v="0"/>
    <s v=" "/>
    <s v=" "/>
    <x v="0"/>
    <x v="0"/>
    <x v="1"/>
    <n v="36"/>
    <x v="4"/>
    <x v="0"/>
    <x v="1"/>
  </r>
  <r>
    <n v="1012"/>
    <x v="3"/>
    <x v="11"/>
    <n v="2021"/>
    <x v="3"/>
    <n v="2024"/>
    <n v="4"/>
    <x v="7"/>
    <x v="1"/>
    <x v="0"/>
    <n v="49"/>
    <x v="3"/>
    <x v="1"/>
    <x v="2"/>
  </r>
  <r>
    <n v="1013"/>
    <x v="0"/>
    <x v="12"/>
    <n v="2018"/>
    <x v="4"/>
    <n v="2020"/>
    <n v="3"/>
    <x v="3"/>
    <x v="1"/>
    <x v="1"/>
    <n v="43"/>
    <x v="3"/>
    <x v="1"/>
    <x v="3"/>
  </r>
  <r>
    <n v="1014"/>
    <x v="1"/>
    <x v="13"/>
    <n v="2024"/>
    <x v="0"/>
    <s v=" "/>
    <s v=" "/>
    <x v="0"/>
    <x v="0"/>
    <x v="1"/>
    <n v="40"/>
    <x v="3"/>
    <x v="2"/>
    <x v="4"/>
  </r>
  <r>
    <n v="1015"/>
    <x v="1"/>
    <x v="14"/>
    <n v="2018"/>
    <x v="0"/>
    <s v=" "/>
    <s v=" "/>
    <x v="0"/>
    <x v="0"/>
    <x v="0"/>
    <n v="42"/>
    <x v="3"/>
    <x v="3"/>
    <x v="9"/>
  </r>
  <r>
    <n v="1016"/>
    <x v="0"/>
    <x v="15"/>
    <n v="2019"/>
    <x v="5"/>
    <n v="2022"/>
    <n v="4"/>
    <x v="4"/>
    <x v="1"/>
    <x v="1"/>
    <n v="35"/>
    <x v="4"/>
    <x v="0"/>
    <x v="0"/>
  </r>
  <r>
    <n v="1017"/>
    <x v="3"/>
    <x v="16"/>
    <n v="2019"/>
    <x v="6"/>
    <n v="2020"/>
    <n v="2"/>
    <x v="3"/>
    <x v="1"/>
    <x v="1"/>
    <n v="31"/>
    <x v="4"/>
    <x v="7"/>
    <x v="2"/>
  </r>
  <r>
    <n v="1018"/>
    <x v="5"/>
    <x v="17"/>
    <n v="2022"/>
    <x v="0"/>
    <s v=" "/>
    <s v=" "/>
    <x v="0"/>
    <x v="0"/>
    <x v="1"/>
    <n v="51"/>
    <x v="1"/>
    <x v="0"/>
    <x v="3"/>
  </r>
  <r>
    <n v="1019"/>
    <x v="0"/>
    <x v="18"/>
    <n v="2024"/>
    <x v="0"/>
    <s v=" "/>
    <s v=" "/>
    <x v="0"/>
    <x v="0"/>
    <x v="0"/>
    <n v="48"/>
    <x v="3"/>
    <x v="0"/>
    <x v="10"/>
  </r>
  <r>
    <n v="1020"/>
    <x v="3"/>
    <x v="19"/>
    <n v="2019"/>
    <x v="7"/>
    <n v="2022"/>
    <n v="4"/>
    <x v="5"/>
    <x v="1"/>
    <x v="1"/>
    <n v="41"/>
    <x v="3"/>
    <x v="1"/>
    <x v="4"/>
  </r>
  <r>
    <n v="1021"/>
    <x v="5"/>
    <x v="20"/>
    <n v="2021"/>
    <x v="8"/>
    <n v="2024"/>
    <n v="4"/>
    <x v="7"/>
    <x v="1"/>
    <x v="0"/>
    <n v="35"/>
    <x v="4"/>
    <x v="0"/>
    <x v="9"/>
  </r>
  <r>
    <n v="1022"/>
    <x v="2"/>
    <x v="21"/>
    <n v="2023"/>
    <x v="9"/>
    <n v="2024"/>
    <n v="2"/>
    <x v="4"/>
    <x v="1"/>
    <x v="0"/>
    <n v="24"/>
    <x v="0"/>
    <x v="2"/>
    <x v="0"/>
  </r>
  <r>
    <n v="1023"/>
    <x v="1"/>
    <x v="22"/>
    <n v="2023"/>
    <x v="0"/>
    <s v=" "/>
    <s v=" "/>
    <x v="0"/>
    <x v="0"/>
    <x v="0"/>
    <n v="41"/>
    <x v="3"/>
    <x v="5"/>
    <x v="1"/>
  </r>
  <r>
    <n v="1024"/>
    <x v="2"/>
    <x v="23"/>
    <n v="2024"/>
    <x v="0"/>
    <s v=" "/>
    <s v=" "/>
    <x v="0"/>
    <x v="0"/>
    <x v="1"/>
    <n v="40"/>
    <x v="3"/>
    <x v="0"/>
    <x v="2"/>
  </r>
  <r>
    <n v="1025"/>
    <x v="0"/>
    <x v="24"/>
    <n v="2019"/>
    <x v="0"/>
    <s v=" "/>
    <s v=" "/>
    <x v="0"/>
    <x v="0"/>
    <x v="0"/>
    <n v="48"/>
    <x v="3"/>
    <x v="1"/>
    <x v="3"/>
  </r>
  <r>
    <n v="1026"/>
    <x v="1"/>
    <x v="25"/>
    <n v="2022"/>
    <x v="0"/>
    <s v=" "/>
    <s v=" "/>
    <x v="0"/>
    <x v="0"/>
    <x v="1"/>
    <n v="52"/>
    <x v="1"/>
    <x v="1"/>
    <x v="4"/>
  </r>
  <r>
    <n v="1027"/>
    <x v="4"/>
    <x v="26"/>
    <n v="2020"/>
    <x v="10"/>
    <n v="2021"/>
    <n v="2"/>
    <x v="7"/>
    <x v="1"/>
    <x v="0"/>
    <n v="33"/>
    <x v="4"/>
    <x v="2"/>
    <x v="5"/>
  </r>
  <r>
    <n v="1028"/>
    <x v="2"/>
    <x v="27"/>
    <n v="2023"/>
    <x v="0"/>
    <s v=" "/>
    <s v=" "/>
    <x v="0"/>
    <x v="0"/>
    <x v="1"/>
    <n v="51"/>
    <x v="1"/>
    <x v="3"/>
    <x v="6"/>
  </r>
  <r>
    <n v="1029"/>
    <x v="0"/>
    <x v="28"/>
    <n v="2021"/>
    <x v="11"/>
    <n v="2022"/>
    <n v="2"/>
    <x v="3"/>
    <x v="1"/>
    <x v="1"/>
    <n v="46"/>
    <x v="3"/>
    <x v="0"/>
    <x v="7"/>
  </r>
  <r>
    <n v="1030"/>
    <x v="2"/>
    <x v="29"/>
    <n v="2018"/>
    <x v="12"/>
    <n v="2021"/>
    <n v="4"/>
    <x v="1"/>
    <x v="1"/>
    <x v="0"/>
    <n v="53"/>
    <x v="1"/>
    <x v="6"/>
    <x v="8"/>
  </r>
  <r>
    <n v="1031"/>
    <x v="5"/>
    <x v="30"/>
    <n v="2021"/>
    <x v="0"/>
    <s v=" "/>
    <s v=" "/>
    <x v="0"/>
    <x v="0"/>
    <x v="1"/>
    <n v="35"/>
    <x v="4"/>
    <x v="0"/>
    <x v="9"/>
  </r>
  <r>
    <n v="1032"/>
    <x v="0"/>
    <x v="31"/>
    <n v="2024"/>
    <x v="0"/>
    <s v=" "/>
    <s v=" "/>
    <x v="0"/>
    <x v="0"/>
    <x v="1"/>
    <n v="32"/>
    <x v="4"/>
    <x v="0"/>
    <x v="10"/>
  </r>
  <r>
    <n v="1033"/>
    <x v="5"/>
    <x v="32"/>
    <n v="2021"/>
    <x v="0"/>
    <s v=" "/>
    <s v=" "/>
    <x v="0"/>
    <x v="0"/>
    <x v="0"/>
    <n v="46"/>
    <x v="3"/>
    <x v="1"/>
    <x v="2"/>
  </r>
  <r>
    <n v="1034"/>
    <x v="0"/>
    <x v="33"/>
    <n v="2020"/>
    <x v="0"/>
    <s v=" "/>
    <s v=" "/>
    <x v="0"/>
    <x v="0"/>
    <x v="1"/>
    <n v="50"/>
    <x v="1"/>
    <x v="0"/>
    <x v="4"/>
  </r>
  <r>
    <n v="1035"/>
    <x v="2"/>
    <x v="34"/>
    <n v="2018"/>
    <x v="13"/>
    <n v="2022"/>
    <n v="5"/>
    <x v="2"/>
    <x v="1"/>
    <x v="1"/>
    <n v="61"/>
    <x v="2"/>
    <x v="2"/>
    <x v="9"/>
  </r>
  <r>
    <n v="1036"/>
    <x v="2"/>
    <x v="35"/>
    <n v="2018"/>
    <x v="0"/>
    <s v=" "/>
    <s v=" "/>
    <x v="0"/>
    <x v="0"/>
    <x v="1"/>
    <n v="62"/>
    <x v="2"/>
    <x v="7"/>
    <x v="1"/>
  </r>
  <r>
    <n v="1037"/>
    <x v="2"/>
    <x v="36"/>
    <n v="2021"/>
    <x v="14"/>
    <n v="2024"/>
    <n v="4"/>
    <x v="7"/>
    <x v="1"/>
    <x v="0"/>
    <n v="63"/>
    <x v="2"/>
    <x v="0"/>
    <x v="2"/>
  </r>
  <r>
    <n v="1038"/>
    <x v="4"/>
    <x v="37"/>
    <n v="2021"/>
    <x v="15"/>
    <n v="2023"/>
    <n v="3"/>
    <x v="4"/>
    <x v="1"/>
    <x v="1"/>
    <n v="64"/>
    <x v="2"/>
    <x v="1"/>
    <x v="3"/>
  </r>
  <r>
    <n v="1039"/>
    <x v="0"/>
    <x v="38"/>
    <n v="2019"/>
    <x v="16"/>
    <n v="2022"/>
    <n v="4"/>
    <x v="3"/>
    <x v="1"/>
    <x v="0"/>
    <n v="64"/>
    <x v="2"/>
    <x v="1"/>
    <x v="4"/>
  </r>
  <r>
    <n v="1040"/>
    <x v="5"/>
    <x v="39"/>
    <n v="2020"/>
    <x v="0"/>
    <s v=" "/>
    <s v=" "/>
    <x v="0"/>
    <x v="0"/>
    <x v="0"/>
    <n v="60"/>
    <x v="2"/>
    <x v="2"/>
    <x v="9"/>
  </r>
  <r>
    <n v="1041"/>
    <x v="4"/>
    <x v="40"/>
    <n v="2020"/>
    <x v="0"/>
    <s v=" "/>
    <s v=" "/>
    <x v="0"/>
    <x v="0"/>
    <x v="0"/>
    <n v="62"/>
    <x v="2"/>
    <x v="3"/>
    <x v="0"/>
  </r>
  <r>
    <n v="1042"/>
    <x v="4"/>
    <x v="41"/>
    <n v="2024"/>
    <x v="0"/>
    <s v=" "/>
    <s v=" "/>
    <x v="0"/>
    <x v="0"/>
    <x v="0"/>
    <n v="59"/>
    <x v="1"/>
    <x v="0"/>
    <x v="2"/>
  </r>
  <r>
    <n v="1043"/>
    <x v="5"/>
    <x v="42"/>
    <n v="2024"/>
    <x v="0"/>
    <s v=" "/>
    <s v=" "/>
    <x v="0"/>
    <x v="0"/>
    <x v="1"/>
    <n v="64"/>
    <x v="2"/>
    <x v="6"/>
    <x v="3"/>
  </r>
  <r>
    <n v="1044"/>
    <x v="2"/>
    <x v="43"/>
    <n v="2022"/>
    <x v="0"/>
    <s v=" "/>
    <s v=" "/>
    <x v="0"/>
    <x v="0"/>
    <x v="1"/>
    <n v="65"/>
    <x v="2"/>
    <x v="0"/>
    <x v="10"/>
  </r>
  <r>
    <n v="1045"/>
    <x v="1"/>
    <x v="44"/>
    <n v="2023"/>
    <x v="0"/>
    <s v=" "/>
    <s v=" "/>
    <x v="0"/>
    <x v="0"/>
    <x v="0"/>
    <n v="66"/>
    <x v="2"/>
    <x v="0"/>
    <x v="4"/>
  </r>
  <r>
    <n v="1046"/>
    <x v="1"/>
    <x v="45"/>
    <n v="2019"/>
    <x v="17"/>
    <n v="2021"/>
    <n v="3"/>
    <x v="5"/>
    <x v="1"/>
    <x v="0"/>
    <n v="64"/>
    <x v="2"/>
    <x v="1"/>
    <x v="9"/>
  </r>
  <r>
    <n v="1047"/>
    <x v="1"/>
    <x v="46"/>
    <n v="2021"/>
    <x v="18"/>
    <n v="2024"/>
    <n v="4"/>
    <x v="5"/>
    <x v="1"/>
    <x v="0"/>
    <n v="65"/>
    <x v="2"/>
    <x v="0"/>
    <x v="0"/>
  </r>
  <r>
    <n v="1048"/>
    <x v="3"/>
    <x v="47"/>
    <n v="2019"/>
    <x v="0"/>
    <s v=" "/>
    <s v=" "/>
    <x v="0"/>
    <x v="0"/>
    <x v="1"/>
    <n v="64"/>
    <x v="2"/>
    <x v="2"/>
    <x v="1"/>
  </r>
  <r>
    <n v="1049"/>
    <x v="4"/>
    <x v="48"/>
    <n v="2024"/>
    <x v="0"/>
    <s v=" "/>
    <s v=" "/>
    <x v="0"/>
    <x v="0"/>
    <x v="0"/>
    <n v="62"/>
    <x v="2"/>
    <x v="7"/>
    <x v="2"/>
  </r>
  <r>
    <n v="1050"/>
    <x v="0"/>
    <x v="49"/>
    <n v="2018"/>
    <x v="19"/>
    <n v="2022"/>
    <n v="5"/>
    <x v="4"/>
    <x v="1"/>
    <x v="0"/>
    <n v="63"/>
    <x v="2"/>
    <x v="0"/>
    <x v="3"/>
  </r>
  <r>
    <n v="1051"/>
    <x v="0"/>
    <x v="0"/>
    <n v="2018"/>
    <x v="0"/>
    <s v=" "/>
    <s v=" "/>
    <x v="0"/>
    <x v="0"/>
    <x v="1"/>
    <n v="64"/>
    <x v="2"/>
    <x v="1"/>
    <x v="4"/>
  </r>
  <r>
    <n v="1052"/>
    <x v="1"/>
    <x v="1"/>
    <n v="2020"/>
    <x v="0"/>
    <s v=" "/>
    <s v=" "/>
    <x v="0"/>
    <x v="0"/>
    <x v="0"/>
    <n v="64"/>
    <x v="2"/>
    <x v="1"/>
    <x v="5"/>
  </r>
  <r>
    <n v="1053"/>
    <x v="1"/>
    <x v="2"/>
    <n v="2021"/>
    <x v="0"/>
    <s v=" "/>
    <s v=" "/>
    <x v="0"/>
    <x v="0"/>
    <x v="1"/>
    <n v="50"/>
    <x v="1"/>
    <x v="2"/>
    <x v="6"/>
  </r>
  <r>
    <n v="1054"/>
    <x v="1"/>
    <x v="3"/>
    <n v="2023"/>
    <x v="0"/>
    <s v=" "/>
    <s v=" "/>
    <x v="0"/>
    <x v="0"/>
    <x v="1"/>
    <n v="24"/>
    <x v="0"/>
    <x v="3"/>
    <x v="7"/>
  </r>
  <r>
    <n v="1055"/>
    <x v="1"/>
    <x v="4"/>
    <n v="2019"/>
    <x v="1"/>
    <n v="2021"/>
    <n v="3"/>
    <x v="1"/>
    <x v="1"/>
    <x v="0"/>
    <n v="50"/>
    <x v="1"/>
    <x v="0"/>
    <x v="8"/>
  </r>
  <r>
    <n v="1056"/>
    <x v="2"/>
    <x v="5"/>
    <n v="2022"/>
    <x v="2"/>
    <n v="2023"/>
    <n v="2"/>
    <x v="7"/>
    <x v="1"/>
    <x v="0"/>
    <n v="28"/>
    <x v="0"/>
    <x v="6"/>
    <x v="9"/>
  </r>
  <r>
    <n v="1057"/>
    <x v="3"/>
    <x v="6"/>
    <n v="2024"/>
    <x v="0"/>
    <s v=" "/>
    <s v=" "/>
    <x v="0"/>
    <x v="0"/>
    <x v="0"/>
    <n v="40"/>
    <x v="3"/>
    <x v="0"/>
    <x v="10"/>
  </r>
  <r>
    <n v="1058"/>
    <x v="0"/>
    <x v="7"/>
    <n v="2018"/>
    <x v="0"/>
    <s v=" "/>
    <s v=" "/>
    <x v="0"/>
    <x v="0"/>
    <x v="1"/>
    <n v="32"/>
    <x v="4"/>
    <x v="0"/>
    <x v="2"/>
  </r>
  <r>
    <n v="1059"/>
    <x v="1"/>
    <x v="8"/>
    <n v="2023"/>
    <x v="0"/>
    <s v=" "/>
    <s v=" "/>
    <x v="0"/>
    <x v="0"/>
    <x v="1"/>
    <n v="50"/>
    <x v="1"/>
    <x v="1"/>
    <x v="4"/>
  </r>
  <r>
    <n v="1060"/>
    <x v="4"/>
    <x v="9"/>
    <n v="2024"/>
    <x v="0"/>
    <s v=" "/>
    <s v=" "/>
    <x v="0"/>
    <x v="0"/>
    <x v="0"/>
    <n v="24"/>
    <x v="0"/>
    <x v="0"/>
    <x v="9"/>
  </r>
  <r>
    <n v="1061"/>
    <x v="5"/>
    <x v="10"/>
    <n v="2024"/>
    <x v="0"/>
    <s v=" "/>
    <s v=" "/>
    <x v="0"/>
    <x v="0"/>
    <x v="1"/>
    <n v="36"/>
    <x v="4"/>
    <x v="2"/>
    <x v="1"/>
  </r>
  <r>
    <n v="1062"/>
    <x v="3"/>
    <x v="11"/>
    <n v="2021"/>
    <x v="3"/>
    <n v="2024"/>
    <n v="4"/>
    <x v="7"/>
    <x v="1"/>
    <x v="1"/>
    <n v="49"/>
    <x v="3"/>
    <x v="5"/>
    <x v="2"/>
  </r>
  <r>
    <n v="1063"/>
    <x v="0"/>
    <x v="12"/>
    <n v="2018"/>
    <x v="4"/>
    <n v="2020"/>
    <n v="3"/>
    <x v="3"/>
    <x v="1"/>
    <x v="0"/>
    <n v="43"/>
    <x v="3"/>
    <x v="0"/>
    <x v="3"/>
  </r>
  <r>
    <n v="1064"/>
    <x v="1"/>
    <x v="13"/>
    <n v="2024"/>
    <x v="0"/>
    <s v=" "/>
    <s v=" "/>
    <x v="0"/>
    <x v="0"/>
    <x v="0"/>
    <n v="40"/>
    <x v="3"/>
    <x v="1"/>
    <x v="4"/>
  </r>
  <r>
    <n v="1065"/>
    <x v="1"/>
    <x v="14"/>
    <n v="2018"/>
    <x v="0"/>
    <s v=" "/>
    <s v=" "/>
    <x v="0"/>
    <x v="0"/>
    <x v="0"/>
    <n v="42"/>
    <x v="3"/>
    <x v="1"/>
    <x v="9"/>
  </r>
  <r>
    <n v="1066"/>
    <x v="0"/>
    <x v="15"/>
    <n v="2019"/>
    <x v="5"/>
    <n v="2022"/>
    <n v="4"/>
    <x v="4"/>
    <x v="1"/>
    <x v="0"/>
    <n v="35"/>
    <x v="4"/>
    <x v="2"/>
    <x v="0"/>
  </r>
  <r>
    <n v="1067"/>
    <x v="3"/>
    <x v="16"/>
    <n v="2019"/>
    <x v="6"/>
    <n v="2020"/>
    <n v="2"/>
    <x v="3"/>
    <x v="1"/>
    <x v="1"/>
    <n v="31"/>
    <x v="4"/>
    <x v="3"/>
    <x v="2"/>
  </r>
  <r>
    <n v="1068"/>
    <x v="5"/>
    <x v="17"/>
    <n v="2022"/>
    <x v="0"/>
    <s v=" "/>
    <s v=" "/>
    <x v="0"/>
    <x v="0"/>
    <x v="1"/>
    <n v="51"/>
    <x v="1"/>
    <x v="0"/>
    <x v="3"/>
  </r>
  <r>
    <n v="1069"/>
    <x v="0"/>
    <x v="18"/>
    <n v="2024"/>
    <x v="0"/>
    <s v=" "/>
    <s v=" "/>
    <x v="0"/>
    <x v="0"/>
    <x v="1"/>
    <n v="48"/>
    <x v="3"/>
    <x v="6"/>
    <x v="10"/>
  </r>
  <r>
    <n v="1070"/>
    <x v="3"/>
    <x v="19"/>
    <n v="2019"/>
    <x v="7"/>
    <n v="2022"/>
    <n v="4"/>
    <x v="5"/>
    <x v="1"/>
    <x v="0"/>
    <n v="41"/>
    <x v="3"/>
    <x v="0"/>
    <x v="4"/>
  </r>
  <r>
    <n v="1071"/>
    <x v="5"/>
    <x v="20"/>
    <n v="2021"/>
    <x v="8"/>
    <n v="2024"/>
    <n v="4"/>
    <x v="7"/>
    <x v="1"/>
    <x v="1"/>
    <n v="35"/>
    <x v="4"/>
    <x v="0"/>
    <x v="9"/>
  </r>
  <r>
    <n v="1072"/>
    <x v="2"/>
    <x v="21"/>
    <n v="2023"/>
    <x v="9"/>
    <n v="2024"/>
    <n v="2"/>
    <x v="4"/>
    <x v="1"/>
    <x v="1"/>
    <n v="24"/>
    <x v="0"/>
    <x v="1"/>
    <x v="0"/>
  </r>
  <r>
    <n v="1073"/>
    <x v="1"/>
    <x v="22"/>
    <n v="2023"/>
    <x v="0"/>
    <s v=" "/>
    <s v=" "/>
    <x v="0"/>
    <x v="0"/>
    <x v="0"/>
    <n v="41"/>
    <x v="3"/>
    <x v="0"/>
    <x v="1"/>
  </r>
  <r>
    <n v="1074"/>
    <x v="2"/>
    <x v="23"/>
    <n v="2024"/>
    <x v="0"/>
    <s v=" "/>
    <s v=" "/>
    <x v="0"/>
    <x v="0"/>
    <x v="1"/>
    <n v="40"/>
    <x v="3"/>
    <x v="2"/>
    <x v="2"/>
  </r>
  <r>
    <n v="1075"/>
    <x v="0"/>
    <x v="24"/>
    <n v="2019"/>
    <x v="0"/>
    <s v=" "/>
    <s v=" "/>
    <x v="0"/>
    <x v="0"/>
    <x v="1"/>
    <n v="48"/>
    <x v="3"/>
    <x v="5"/>
    <x v="3"/>
  </r>
  <r>
    <n v="1076"/>
    <x v="1"/>
    <x v="25"/>
    <n v="2022"/>
    <x v="0"/>
    <s v=" "/>
    <s v=" "/>
    <x v="0"/>
    <x v="0"/>
    <x v="1"/>
    <n v="52"/>
    <x v="1"/>
    <x v="0"/>
    <x v="4"/>
  </r>
  <r>
    <n v="1077"/>
    <x v="4"/>
    <x v="26"/>
    <n v="2020"/>
    <x v="10"/>
    <n v="2021"/>
    <n v="2"/>
    <x v="6"/>
    <x v="1"/>
    <x v="0"/>
    <n v="33"/>
    <x v="4"/>
    <x v="1"/>
    <x v="5"/>
  </r>
  <r>
    <n v="1078"/>
    <x v="2"/>
    <x v="27"/>
    <n v="2023"/>
    <x v="0"/>
    <s v=" "/>
    <s v=" "/>
    <x v="0"/>
    <x v="0"/>
    <x v="0"/>
    <n v="51"/>
    <x v="1"/>
    <x v="1"/>
    <x v="6"/>
  </r>
  <r>
    <n v="1079"/>
    <x v="0"/>
    <x v="28"/>
    <n v="2021"/>
    <x v="11"/>
    <n v="2022"/>
    <n v="2"/>
    <x v="3"/>
    <x v="1"/>
    <x v="1"/>
    <n v="46"/>
    <x v="3"/>
    <x v="2"/>
    <x v="7"/>
  </r>
  <r>
    <n v="1080"/>
    <x v="2"/>
    <x v="29"/>
    <n v="2018"/>
    <x v="12"/>
    <n v="2021"/>
    <n v="4"/>
    <x v="1"/>
    <x v="1"/>
    <x v="1"/>
    <n v="53"/>
    <x v="1"/>
    <x v="3"/>
    <x v="8"/>
  </r>
  <r>
    <n v="1081"/>
    <x v="5"/>
    <x v="30"/>
    <n v="2021"/>
    <x v="0"/>
    <s v=" "/>
    <s v=" "/>
    <x v="0"/>
    <x v="0"/>
    <x v="0"/>
    <n v="35"/>
    <x v="4"/>
    <x v="0"/>
    <x v="9"/>
  </r>
  <r>
    <n v="1082"/>
    <x v="0"/>
    <x v="31"/>
    <n v="2024"/>
    <x v="0"/>
    <s v=" "/>
    <s v=" "/>
    <x v="0"/>
    <x v="0"/>
    <x v="1"/>
    <n v="32"/>
    <x v="4"/>
    <x v="4"/>
    <x v="10"/>
  </r>
  <r>
    <n v="1083"/>
    <x v="5"/>
    <x v="32"/>
    <n v="2021"/>
    <x v="0"/>
    <s v=" "/>
    <s v=" "/>
    <x v="0"/>
    <x v="0"/>
    <x v="1"/>
    <n v="46"/>
    <x v="3"/>
    <x v="0"/>
    <x v="2"/>
  </r>
  <r>
    <n v="1084"/>
    <x v="0"/>
    <x v="33"/>
    <n v="2020"/>
    <x v="0"/>
    <s v=" "/>
    <s v=" "/>
    <x v="0"/>
    <x v="0"/>
    <x v="1"/>
    <n v="50"/>
    <x v="1"/>
    <x v="0"/>
    <x v="4"/>
  </r>
  <r>
    <n v="1085"/>
    <x v="2"/>
    <x v="34"/>
    <n v="2018"/>
    <x v="13"/>
    <n v="2022"/>
    <n v="5"/>
    <x v="2"/>
    <x v="1"/>
    <x v="0"/>
    <n v="63"/>
    <x v="2"/>
    <x v="1"/>
    <x v="9"/>
  </r>
  <r>
    <n v="1086"/>
    <x v="2"/>
    <x v="35"/>
    <n v="2018"/>
    <x v="0"/>
    <s v=" "/>
    <s v=" "/>
    <x v="0"/>
    <x v="0"/>
    <x v="0"/>
    <n v="29"/>
    <x v="0"/>
    <x v="0"/>
    <x v="1"/>
  </r>
  <r>
    <n v="1087"/>
    <x v="2"/>
    <x v="36"/>
    <n v="2021"/>
    <x v="14"/>
    <n v="2024"/>
    <n v="4"/>
    <x v="1"/>
    <x v="1"/>
    <x v="1"/>
    <n v="27"/>
    <x v="0"/>
    <x v="2"/>
    <x v="2"/>
  </r>
  <r>
    <n v="1088"/>
    <x v="4"/>
    <x v="37"/>
    <n v="2021"/>
    <x v="15"/>
    <n v="2023"/>
    <n v="3"/>
    <x v="4"/>
    <x v="1"/>
    <x v="1"/>
    <n v="31"/>
    <x v="4"/>
    <x v="7"/>
    <x v="3"/>
  </r>
  <r>
    <n v="1089"/>
    <x v="0"/>
    <x v="38"/>
    <n v="2019"/>
    <x v="16"/>
    <n v="2022"/>
    <n v="4"/>
    <x v="3"/>
    <x v="1"/>
    <x v="1"/>
    <n v="24"/>
    <x v="0"/>
    <x v="0"/>
    <x v="4"/>
  </r>
  <r>
    <n v="1090"/>
    <x v="5"/>
    <x v="39"/>
    <n v="2020"/>
    <x v="0"/>
    <s v=" "/>
    <s v=" "/>
    <x v="0"/>
    <x v="0"/>
    <x v="0"/>
    <n v="37"/>
    <x v="4"/>
    <x v="1"/>
    <x v="9"/>
  </r>
  <r>
    <n v="1091"/>
    <x v="4"/>
    <x v="40"/>
    <n v="2020"/>
    <x v="0"/>
    <s v=" "/>
    <s v=" "/>
    <x v="0"/>
    <x v="0"/>
    <x v="0"/>
    <n v="23"/>
    <x v="0"/>
    <x v="1"/>
    <x v="0"/>
  </r>
  <r>
    <n v="1092"/>
    <x v="4"/>
    <x v="41"/>
    <n v="2024"/>
    <x v="0"/>
    <s v=" "/>
    <s v=" "/>
    <x v="0"/>
    <x v="0"/>
    <x v="0"/>
    <n v="31"/>
    <x v="4"/>
    <x v="2"/>
    <x v="2"/>
  </r>
  <r>
    <n v="1093"/>
    <x v="5"/>
    <x v="42"/>
    <n v="2024"/>
    <x v="0"/>
    <s v=" "/>
    <s v=" "/>
    <x v="0"/>
    <x v="0"/>
    <x v="1"/>
    <n v="52"/>
    <x v="1"/>
    <x v="3"/>
    <x v="3"/>
  </r>
  <r>
    <n v="1094"/>
    <x v="2"/>
    <x v="43"/>
    <n v="2022"/>
    <x v="0"/>
    <s v=" "/>
    <s v=" "/>
    <x v="0"/>
    <x v="0"/>
    <x v="1"/>
    <n v="25"/>
    <x v="0"/>
    <x v="0"/>
    <x v="10"/>
  </r>
  <r>
    <n v="1095"/>
    <x v="1"/>
    <x v="44"/>
    <n v="2023"/>
    <x v="0"/>
    <s v=" "/>
    <s v=" "/>
    <x v="0"/>
    <x v="0"/>
    <x v="0"/>
    <n v="46"/>
    <x v="3"/>
    <x v="6"/>
    <x v="4"/>
  </r>
  <r>
    <n v="1096"/>
    <x v="1"/>
    <x v="45"/>
    <n v="2019"/>
    <x v="17"/>
    <n v="2021"/>
    <n v="3"/>
    <x v="5"/>
    <x v="1"/>
    <x v="0"/>
    <n v="24"/>
    <x v="0"/>
    <x v="0"/>
    <x v="9"/>
  </r>
  <r>
    <n v="1097"/>
    <x v="1"/>
    <x v="46"/>
    <n v="2021"/>
    <x v="18"/>
    <n v="2024"/>
    <n v="4"/>
    <x v="5"/>
    <x v="1"/>
    <x v="0"/>
    <n v="38"/>
    <x v="4"/>
    <x v="0"/>
    <x v="9"/>
  </r>
  <r>
    <n v="1098"/>
    <x v="3"/>
    <x v="47"/>
    <n v="2019"/>
    <x v="0"/>
    <s v=" "/>
    <s v=" "/>
    <x v="0"/>
    <x v="0"/>
    <x v="0"/>
    <n v="49"/>
    <x v="3"/>
    <x v="1"/>
    <x v="0"/>
  </r>
  <r>
    <n v="1099"/>
    <x v="4"/>
    <x v="48"/>
    <n v="2024"/>
    <x v="0"/>
    <s v=" "/>
    <s v=" "/>
    <x v="0"/>
    <x v="0"/>
    <x v="0"/>
    <n v="31"/>
    <x v="4"/>
    <x v="0"/>
    <x v="1"/>
  </r>
  <r>
    <n v="1100"/>
    <x v="0"/>
    <x v="49"/>
    <n v="2018"/>
    <x v="19"/>
    <n v="2022"/>
    <n v="5"/>
    <x v="4"/>
    <x v="1"/>
    <x v="0"/>
    <n v="51"/>
    <x v="1"/>
    <x v="2"/>
    <x v="2"/>
  </r>
  <r>
    <n v="1101"/>
    <x v="0"/>
    <x v="0"/>
    <n v="2018"/>
    <x v="0"/>
    <s v=" "/>
    <s v=" "/>
    <x v="0"/>
    <x v="0"/>
    <x v="1"/>
    <n v="27"/>
    <x v="0"/>
    <x v="7"/>
    <x v="3"/>
  </r>
  <r>
    <n v="1102"/>
    <x v="1"/>
    <x v="1"/>
    <n v="2020"/>
    <x v="0"/>
    <s v=" "/>
    <s v=" "/>
    <x v="0"/>
    <x v="0"/>
    <x v="0"/>
    <n v="22"/>
    <x v="0"/>
    <x v="0"/>
    <x v="4"/>
  </r>
  <r>
    <n v="1103"/>
    <x v="1"/>
    <x v="2"/>
    <n v="2021"/>
    <x v="0"/>
    <s v=" "/>
    <s v=" "/>
    <x v="0"/>
    <x v="0"/>
    <x v="1"/>
    <n v="50"/>
    <x v="1"/>
    <x v="1"/>
    <x v="5"/>
  </r>
  <r>
    <n v="1104"/>
    <x v="1"/>
    <x v="3"/>
    <n v="2023"/>
    <x v="0"/>
    <s v=" "/>
    <s v=" "/>
    <x v="0"/>
    <x v="0"/>
    <x v="1"/>
    <n v="24"/>
    <x v="0"/>
    <x v="1"/>
    <x v="6"/>
  </r>
  <r>
    <n v="1105"/>
    <x v="1"/>
    <x v="4"/>
    <n v="2019"/>
    <x v="1"/>
    <n v="2021"/>
    <n v="3"/>
    <x v="1"/>
    <x v="1"/>
    <x v="0"/>
    <n v="50"/>
    <x v="1"/>
    <x v="2"/>
    <x v="7"/>
  </r>
  <r>
    <n v="1106"/>
    <x v="2"/>
    <x v="5"/>
    <n v="2022"/>
    <x v="2"/>
    <n v="2023"/>
    <n v="2"/>
    <x v="7"/>
    <x v="1"/>
    <x v="1"/>
    <n v="28"/>
    <x v="0"/>
    <x v="3"/>
    <x v="8"/>
  </r>
  <r>
    <n v="1107"/>
    <x v="3"/>
    <x v="6"/>
    <n v="2024"/>
    <x v="0"/>
    <s v=" "/>
    <s v=" "/>
    <x v="0"/>
    <x v="0"/>
    <x v="0"/>
    <n v="40"/>
    <x v="3"/>
    <x v="0"/>
    <x v="9"/>
  </r>
  <r>
    <n v="1108"/>
    <x v="0"/>
    <x v="7"/>
    <n v="2018"/>
    <x v="0"/>
    <s v=" "/>
    <s v=" "/>
    <x v="0"/>
    <x v="0"/>
    <x v="0"/>
    <n v="32"/>
    <x v="4"/>
    <x v="4"/>
    <x v="10"/>
  </r>
  <r>
    <n v="1109"/>
    <x v="1"/>
    <x v="8"/>
    <n v="2023"/>
    <x v="0"/>
    <s v=" "/>
    <s v=" "/>
    <x v="0"/>
    <x v="0"/>
    <x v="1"/>
    <n v="50"/>
    <x v="1"/>
    <x v="0"/>
    <x v="2"/>
  </r>
  <r>
    <n v="1110"/>
    <x v="4"/>
    <x v="9"/>
    <n v="2024"/>
    <x v="0"/>
    <s v=" "/>
    <s v=" "/>
    <x v="0"/>
    <x v="0"/>
    <x v="0"/>
    <n v="24"/>
    <x v="0"/>
    <x v="0"/>
    <x v="4"/>
  </r>
  <r>
    <n v="1111"/>
    <x v="5"/>
    <x v="10"/>
    <n v="2024"/>
    <x v="0"/>
    <s v=" "/>
    <s v=" "/>
    <x v="0"/>
    <x v="0"/>
    <x v="1"/>
    <n v="36"/>
    <x v="4"/>
    <x v="1"/>
    <x v="9"/>
  </r>
  <r>
    <n v="1112"/>
    <x v="3"/>
    <x v="11"/>
    <n v="2021"/>
    <x v="3"/>
    <n v="2024"/>
    <n v="4"/>
    <x v="7"/>
    <x v="1"/>
    <x v="1"/>
    <n v="49"/>
    <x v="3"/>
    <x v="0"/>
    <x v="1"/>
  </r>
  <r>
    <n v="1113"/>
    <x v="0"/>
    <x v="12"/>
    <n v="2018"/>
    <x v="4"/>
    <n v="2020"/>
    <n v="3"/>
    <x v="3"/>
    <x v="1"/>
    <x v="0"/>
    <n v="43"/>
    <x v="3"/>
    <x v="2"/>
    <x v="2"/>
  </r>
  <r>
    <n v="1114"/>
    <x v="1"/>
    <x v="13"/>
    <n v="2024"/>
    <x v="0"/>
    <s v=" "/>
    <s v=" "/>
    <x v="0"/>
    <x v="0"/>
    <x v="0"/>
    <n v="40"/>
    <x v="3"/>
    <x v="5"/>
    <x v="3"/>
  </r>
  <r>
    <n v="1115"/>
    <x v="1"/>
    <x v="14"/>
    <n v="2018"/>
    <x v="0"/>
    <s v=" "/>
    <s v=" "/>
    <x v="0"/>
    <x v="0"/>
    <x v="0"/>
    <n v="42"/>
    <x v="3"/>
    <x v="0"/>
    <x v="4"/>
  </r>
  <r>
    <n v="1116"/>
    <x v="0"/>
    <x v="15"/>
    <n v="2019"/>
    <x v="5"/>
    <n v="2022"/>
    <n v="4"/>
    <x v="4"/>
    <x v="1"/>
    <x v="0"/>
    <n v="35"/>
    <x v="4"/>
    <x v="1"/>
    <x v="9"/>
  </r>
  <r>
    <n v="1117"/>
    <x v="3"/>
    <x v="16"/>
    <n v="2019"/>
    <x v="6"/>
    <n v="2020"/>
    <n v="2"/>
    <x v="7"/>
    <x v="1"/>
    <x v="0"/>
    <n v="31"/>
    <x v="4"/>
    <x v="1"/>
    <x v="0"/>
  </r>
  <r>
    <n v="1118"/>
    <x v="5"/>
    <x v="17"/>
    <n v="2022"/>
    <x v="0"/>
    <s v=" "/>
    <s v=" "/>
    <x v="0"/>
    <x v="0"/>
    <x v="1"/>
    <n v="51"/>
    <x v="1"/>
    <x v="2"/>
    <x v="2"/>
  </r>
  <r>
    <n v="1119"/>
    <x v="0"/>
    <x v="18"/>
    <n v="2024"/>
    <x v="0"/>
    <s v=" "/>
    <s v=" "/>
    <x v="0"/>
    <x v="0"/>
    <x v="1"/>
    <n v="48"/>
    <x v="3"/>
    <x v="3"/>
    <x v="3"/>
  </r>
  <r>
    <n v="1120"/>
    <x v="3"/>
    <x v="19"/>
    <n v="2019"/>
    <x v="7"/>
    <n v="2022"/>
    <n v="4"/>
    <x v="5"/>
    <x v="1"/>
    <x v="1"/>
    <n v="41"/>
    <x v="3"/>
    <x v="0"/>
    <x v="10"/>
  </r>
  <r>
    <n v="1121"/>
    <x v="5"/>
    <x v="20"/>
    <n v="2021"/>
    <x v="8"/>
    <n v="2024"/>
    <n v="4"/>
    <x v="7"/>
    <x v="1"/>
    <x v="1"/>
    <n v="35"/>
    <x v="4"/>
    <x v="6"/>
    <x v="4"/>
  </r>
  <r>
    <n v="1122"/>
    <x v="2"/>
    <x v="21"/>
    <n v="2023"/>
    <x v="9"/>
    <n v="2024"/>
    <n v="2"/>
    <x v="4"/>
    <x v="1"/>
    <x v="1"/>
    <n v="24"/>
    <x v="0"/>
    <x v="0"/>
    <x v="9"/>
  </r>
  <r>
    <n v="1123"/>
    <x v="1"/>
    <x v="22"/>
    <n v="2023"/>
    <x v="0"/>
    <s v=" "/>
    <s v=" "/>
    <x v="0"/>
    <x v="0"/>
    <x v="0"/>
    <n v="41"/>
    <x v="3"/>
    <x v="0"/>
    <x v="0"/>
  </r>
  <r>
    <n v="1124"/>
    <x v="2"/>
    <x v="23"/>
    <n v="2024"/>
    <x v="0"/>
    <s v=" "/>
    <s v=" "/>
    <x v="0"/>
    <x v="0"/>
    <x v="1"/>
    <n v="40"/>
    <x v="3"/>
    <x v="1"/>
    <x v="1"/>
  </r>
  <r>
    <n v="1125"/>
    <x v="0"/>
    <x v="24"/>
    <n v="2019"/>
    <x v="0"/>
    <s v=" "/>
    <s v=" "/>
    <x v="0"/>
    <x v="0"/>
    <x v="1"/>
    <n v="48"/>
    <x v="3"/>
    <x v="0"/>
    <x v="2"/>
  </r>
  <r>
    <n v="1126"/>
    <x v="1"/>
    <x v="25"/>
    <n v="2022"/>
    <x v="0"/>
    <s v=" "/>
    <s v=" "/>
    <x v="0"/>
    <x v="0"/>
    <x v="1"/>
    <n v="52"/>
    <x v="1"/>
    <x v="2"/>
    <x v="3"/>
  </r>
  <r>
    <n v="1127"/>
    <x v="4"/>
    <x v="26"/>
    <n v="2020"/>
    <x v="10"/>
    <n v="2021"/>
    <n v="2"/>
    <x v="6"/>
    <x v="1"/>
    <x v="0"/>
    <n v="33"/>
    <x v="4"/>
    <x v="7"/>
    <x v="4"/>
  </r>
  <r>
    <n v="1128"/>
    <x v="2"/>
    <x v="27"/>
    <n v="2023"/>
    <x v="0"/>
    <s v=" "/>
    <s v=" "/>
    <x v="0"/>
    <x v="0"/>
    <x v="0"/>
    <n v="51"/>
    <x v="1"/>
    <x v="0"/>
    <x v="5"/>
  </r>
  <r>
    <n v="1129"/>
    <x v="0"/>
    <x v="28"/>
    <n v="2021"/>
    <x v="11"/>
    <n v="2022"/>
    <n v="2"/>
    <x v="3"/>
    <x v="1"/>
    <x v="1"/>
    <n v="46"/>
    <x v="3"/>
    <x v="1"/>
    <x v="6"/>
  </r>
  <r>
    <n v="1130"/>
    <x v="2"/>
    <x v="29"/>
    <n v="2018"/>
    <x v="12"/>
    <n v="2021"/>
    <n v="4"/>
    <x v="1"/>
    <x v="1"/>
    <x v="0"/>
    <n v="53"/>
    <x v="1"/>
    <x v="1"/>
    <x v="7"/>
  </r>
  <r>
    <n v="1131"/>
    <x v="5"/>
    <x v="30"/>
    <n v="2021"/>
    <x v="0"/>
    <s v=" "/>
    <s v=" "/>
    <x v="0"/>
    <x v="0"/>
    <x v="0"/>
    <n v="35"/>
    <x v="4"/>
    <x v="2"/>
    <x v="8"/>
  </r>
  <r>
    <n v="1132"/>
    <x v="0"/>
    <x v="31"/>
    <n v="2024"/>
    <x v="0"/>
    <s v=" "/>
    <s v=" "/>
    <x v="0"/>
    <x v="0"/>
    <x v="1"/>
    <n v="32"/>
    <x v="4"/>
    <x v="3"/>
    <x v="9"/>
  </r>
  <r>
    <n v="1133"/>
    <x v="5"/>
    <x v="32"/>
    <n v="2021"/>
    <x v="0"/>
    <s v=" "/>
    <s v=" "/>
    <x v="0"/>
    <x v="0"/>
    <x v="0"/>
    <n v="46"/>
    <x v="3"/>
    <x v="0"/>
    <x v="10"/>
  </r>
  <r>
    <n v="1134"/>
    <x v="0"/>
    <x v="33"/>
    <n v="2020"/>
    <x v="0"/>
    <s v=" "/>
    <s v=" "/>
    <x v="0"/>
    <x v="0"/>
    <x v="0"/>
    <n v="50"/>
    <x v="1"/>
    <x v="6"/>
    <x v="2"/>
  </r>
  <r>
    <n v="1135"/>
    <x v="2"/>
    <x v="34"/>
    <n v="2018"/>
    <x v="13"/>
    <n v="2022"/>
    <n v="5"/>
    <x v="2"/>
    <x v="1"/>
    <x v="0"/>
    <n v="62"/>
    <x v="2"/>
    <x v="0"/>
    <x v="4"/>
  </r>
  <r>
    <n v="1136"/>
    <x v="2"/>
    <x v="35"/>
    <n v="2018"/>
    <x v="0"/>
    <s v=" "/>
    <s v=" "/>
    <x v="0"/>
    <x v="0"/>
    <x v="1"/>
    <n v="29"/>
    <x v="0"/>
    <x v="0"/>
    <x v="9"/>
  </r>
  <r>
    <n v="1137"/>
    <x v="2"/>
    <x v="36"/>
    <n v="2021"/>
    <x v="14"/>
    <n v="2024"/>
    <n v="4"/>
    <x v="1"/>
    <x v="1"/>
    <x v="0"/>
    <n v="27"/>
    <x v="0"/>
    <x v="1"/>
    <x v="1"/>
  </r>
  <r>
    <n v="1138"/>
    <x v="4"/>
    <x v="37"/>
    <n v="2021"/>
    <x v="15"/>
    <n v="2023"/>
    <n v="3"/>
    <x v="4"/>
    <x v="1"/>
    <x v="1"/>
    <n v="31"/>
    <x v="4"/>
    <x v="0"/>
    <x v="2"/>
  </r>
  <r>
    <n v="1139"/>
    <x v="0"/>
    <x v="38"/>
    <n v="2019"/>
    <x v="16"/>
    <n v="2022"/>
    <n v="4"/>
    <x v="7"/>
    <x v="1"/>
    <x v="1"/>
    <n v="24"/>
    <x v="0"/>
    <x v="2"/>
    <x v="3"/>
  </r>
  <r>
    <n v="1140"/>
    <x v="5"/>
    <x v="39"/>
    <n v="2020"/>
    <x v="0"/>
    <s v=" "/>
    <s v=" "/>
    <x v="0"/>
    <x v="0"/>
    <x v="1"/>
    <n v="37"/>
    <x v="4"/>
    <x v="5"/>
    <x v="4"/>
  </r>
  <r>
    <n v="1141"/>
    <x v="4"/>
    <x v="40"/>
    <n v="2020"/>
    <x v="0"/>
    <s v=" "/>
    <s v=" "/>
    <x v="0"/>
    <x v="0"/>
    <x v="0"/>
    <n v="23"/>
    <x v="0"/>
    <x v="0"/>
    <x v="9"/>
  </r>
  <r>
    <n v="1142"/>
    <x v="4"/>
    <x v="41"/>
    <n v="2024"/>
    <x v="0"/>
    <s v=" "/>
    <s v=" "/>
    <x v="0"/>
    <x v="0"/>
    <x v="0"/>
    <n v="31"/>
    <x v="4"/>
    <x v="1"/>
    <x v="0"/>
  </r>
  <r>
    <n v="1143"/>
    <x v="5"/>
    <x v="42"/>
    <n v="2024"/>
    <x v="0"/>
    <s v=" "/>
    <s v=" "/>
    <x v="0"/>
    <x v="0"/>
    <x v="1"/>
    <n v="52"/>
    <x v="1"/>
    <x v="1"/>
    <x v="2"/>
  </r>
  <r>
    <n v="1144"/>
    <x v="2"/>
    <x v="43"/>
    <n v="2022"/>
    <x v="0"/>
    <s v=" "/>
    <s v=" "/>
    <x v="0"/>
    <x v="0"/>
    <x v="1"/>
    <n v="25"/>
    <x v="0"/>
    <x v="2"/>
    <x v="3"/>
  </r>
  <r>
    <n v="1145"/>
    <x v="1"/>
    <x v="44"/>
    <n v="2023"/>
    <x v="0"/>
    <s v=" "/>
    <s v=" "/>
    <x v="0"/>
    <x v="0"/>
    <x v="0"/>
    <n v="46"/>
    <x v="3"/>
    <x v="3"/>
    <x v="10"/>
  </r>
  <r>
    <n v="1146"/>
    <x v="1"/>
    <x v="45"/>
    <n v="2019"/>
    <x v="17"/>
    <n v="2021"/>
    <n v="3"/>
    <x v="5"/>
    <x v="1"/>
    <x v="0"/>
    <n v="24"/>
    <x v="0"/>
    <x v="0"/>
    <x v="4"/>
  </r>
  <r>
    <n v="1147"/>
    <x v="1"/>
    <x v="46"/>
    <n v="2021"/>
    <x v="18"/>
    <n v="2024"/>
    <n v="4"/>
    <x v="5"/>
    <x v="1"/>
    <x v="0"/>
    <n v="38"/>
    <x v="4"/>
    <x v="6"/>
    <x v="9"/>
  </r>
  <r>
    <n v="1148"/>
    <x v="3"/>
    <x v="47"/>
    <n v="2019"/>
    <x v="0"/>
    <s v=" "/>
    <s v=" "/>
    <x v="0"/>
    <x v="0"/>
    <x v="0"/>
    <n v="49"/>
    <x v="3"/>
    <x v="0"/>
    <x v="0"/>
  </r>
  <r>
    <n v="1149"/>
    <x v="4"/>
    <x v="48"/>
    <n v="2024"/>
    <x v="0"/>
    <s v=" "/>
    <s v=" "/>
    <x v="0"/>
    <x v="0"/>
    <x v="1"/>
    <n v="31"/>
    <x v="4"/>
    <x v="0"/>
    <x v="1"/>
  </r>
  <r>
    <n v="1150"/>
    <x v="0"/>
    <x v="49"/>
    <n v="2018"/>
    <x v="19"/>
    <n v="2022"/>
    <n v="5"/>
    <x v="4"/>
    <x v="1"/>
    <x v="0"/>
    <n v="51"/>
    <x v="1"/>
    <x v="1"/>
    <x v="2"/>
  </r>
  <r>
    <n v="1151"/>
    <x v="0"/>
    <x v="0"/>
    <n v="2018"/>
    <x v="0"/>
    <s v=" "/>
    <s v=" "/>
    <x v="0"/>
    <x v="0"/>
    <x v="1"/>
    <n v="27"/>
    <x v="0"/>
    <x v="0"/>
    <x v="3"/>
  </r>
  <r>
    <n v="1152"/>
    <x v="1"/>
    <x v="1"/>
    <n v="2020"/>
    <x v="0"/>
    <s v=" "/>
    <s v=" "/>
    <x v="0"/>
    <x v="0"/>
    <x v="1"/>
    <n v="22"/>
    <x v="0"/>
    <x v="2"/>
    <x v="4"/>
  </r>
  <r>
    <n v="1153"/>
    <x v="1"/>
    <x v="2"/>
    <n v="2021"/>
    <x v="0"/>
    <s v=" "/>
    <s v=" "/>
    <x v="0"/>
    <x v="0"/>
    <x v="0"/>
    <n v="50"/>
    <x v="1"/>
    <x v="5"/>
    <x v="5"/>
  </r>
  <r>
    <n v="1154"/>
    <x v="1"/>
    <x v="3"/>
    <n v="2023"/>
    <x v="0"/>
    <s v=" "/>
    <s v=" "/>
    <x v="0"/>
    <x v="0"/>
    <x v="0"/>
    <n v="24"/>
    <x v="0"/>
    <x v="0"/>
    <x v="6"/>
  </r>
  <r>
    <n v="1155"/>
    <x v="1"/>
    <x v="4"/>
    <n v="2019"/>
    <x v="1"/>
    <n v="2021"/>
    <n v="3"/>
    <x v="7"/>
    <x v="1"/>
    <x v="0"/>
    <n v="50"/>
    <x v="1"/>
    <x v="1"/>
    <x v="7"/>
  </r>
  <r>
    <n v="1156"/>
    <x v="2"/>
    <x v="5"/>
    <n v="2022"/>
    <x v="2"/>
    <n v="2023"/>
    <n v="2"/>
    <x v="7"/>
    <x v="1"/>
    <x v="1"/>
    <n v="28"/>
    <x v="0"/>
    <x v="1"/>
    <x v="8"/>
  </r>
  <r>
    <n v="1157"/>
    <x v="3"/>
    <x v="6"/>
    <n v="2024"/>
    <x v="0"/>
    <s v=" "/>
    <s v=" "/>
    <x v="0"/>
    <x v="0"/>
    <x v="0"/>
    <n v="40"/>
    <x v="3"/>
    <x v="2"/>
    <x v="9"/>
  </r>
  <r>
    <n v="1158"/>
    <x v="0"/>
    <x v="7"/>
    <n v="2018"/>
    <x v="0"/>
    <s v=" "/>
    <s v=" "/>
    <x v="0"/>
    <x v="0"/>
    <x v="1"/>
    <n v="32"/>
    <x v="4"/>
    <x v="3"/>
    <x v="10"/>
  </r>
  <r>
    <n v="1159"/>
    <x v="1"/>
    <x v="8"/>
    <n v="2023"/>
    <x v="0"/>
    <s v=" "/>
    <s v=" "/>
    <x v="0"/>
    <x v="0"/>
    <x v="0"/>
    <n v="50"/>
    <x v="1"/>
    <x v="0"/>
    <x v="2"/>
  </r>
  <r>
    <n v="1160"/>
    <x v="4"/>
    <x v="9"/>
    <n v="2024"/>
    <x v="0"/>
    <s v=" "/>
    <s v=" "/>
    <x v="0"/>
    <x v="0"/>
    <x v="0"/>
    <n v="24"/>
    <x v="0"/>
    <x v="4"/>
    <x v="4"/>
  </r>
  <r>
    <n v="1161"/>
    <x v="5"/>
    <x v="10"/>
    <n v="2024"/>
    <x v="0"/>
    <s v=" "/>
    <s v=" "/>
    <x v="0"/>
    <x v="0"/>
    <x v="1"/>
    <n v="36"/>
    <x v="4"/>
    <x v="0"/>
    <x v="9"/>
  </r>
  <r>
    <n v="1162"/>
    <x v="3"/>
    <x v="11"/>
    <n v="2021"/>
    <x v="3"/>
    <n v="2024"/>
    <n v="4"/>
    <x v="7"/>
    <x v="1"/>
    <x v="1"/>
    <n v="49"/>
    <x v="3"/>
    <x v="0"/>
    <x v="1"/>
  </r>
  <r>
    <n v="1163"/>
    <x v="0"/>
    <x v="12"/>
    <n v="2018"/>
    <x v="4"/>
    <n v="2020"/>
    <n v="3"/>
    <x v="3"/>
    <x v="1"/>
    <x v="0"/>
    <n v="43"/>
    <x v="3"/>
    <x v="1"/>
    <x v="2"/>
  </r>
  <r>
    <n v="1164"/>
    <x v="1"/>
    <x v="13"/>
    <n v="2024"/>
    <x v="0"/>
    <s v=" "/>
    <s v=" "/>
    <x v="0"/>
    <x v="0"/>
    <x v="1"/>
    <n v="40"/>
    <x v="3"/>
    <x v="0"/>
    <x v="3"/>
  </r>
  <r>
    <n v="1165"/>
    <x v="1"/>
    <x v="14"/>
    <n v="2018"/>
    <x v="0"/>
    <s v=" "/>
    <s v=" "/>
    <x v="0"/>
    <x v="0"/>
    <x v="0"/>
    <n v="42"/>
    <x v="3"/>
    <x v="2"/>
    <x v="4"/>
  </r>
  <r>
    <n v="1166"/>
    <x v="0"/>
    <x v="15"/>
    <n v="2019"/>
    <x v="5"/>
    <n v="2022"/>
    <n v="4"/>
    <x v="4"/>
    <x v="1"/>
    <x v="0"/>
    <n v="35"/>
    <x v="4"/>
    <x v="7"/>
    <x v="9"/>
  </r>
  <r>
    <n v="1167"/>
    <x v="3"/>
    <x v="16"/>
    <n v="2019"/>
    <x v="6"/>
    <n v="2020"/>
    <n v="2"/>
    <x v="3"/>
    <x v="1"/>
    <x v="0"/>
    <n v="31"/>
    <x v="4"/>
    <x v="0"/>
    <x v="0"/>
  </r>
  <r>
    <n v="1168"/>
    <x v="5"/>
    <x v="17"/>
    <n v="2022"/>
    <x v="0"/>
    <s v=" "/>
    <s v=" "/>
    <x v="0"/>
    <x v="0"/>
    <x v="1"/>
    <n v="51"/>
    <x v="1"/>
    <x v="1"/>
    <x v="2"/>
  </r>
  <r>
    <n v="1169"/>
    <x v="0"/>
    <x v="18"/>
    <n v="2024"/>
    <x v="0"/>
    <s v=" "/>
    <s v=" "/>
    <x v="0"/>
    <x v="0"/>
    <x v="0"/>
    <n v="48"/>
    <x v="3"/>
    <x v="1"/>
    <x v="3"/>
  </r>
  <r>
    <n v="1170"/>
    <x v="3"/>
    <x v="19"/>
    <n v="2019"/>
    <x v="7"/>
    <n v="2022"/>
    <n v="4"/>
    <x v="5"/>
    <x v="1"/>
    <x v="1"/>
    <n v="41"/>
    <x v="3"/>
    <x v="2"/>
    <x v="10"/>
  </r>
  <r>
    <n v="1171"/>
    <x v="5"/>
    <x v="20"/>
    <n v="2021"/>
    <x v="8"/>
    <n v="2024"/>
    <n v="4"/>
    <x v="7"/>
    <x v="1"/>
    <x v="0"/>
    <n v="35"/>
    <x v="4"/>
    <x v="3"/>
    <x v="4"/>
  </r>
  <r>
    <n v="1172"/>
    <x v="2"/>
    <x v="21"/>
    <n v="2023"/>
    <x v="9"/>
    <n v="2024"/>
    <n v="2"/>
    <x v="4"/>
    <x v="1"/>
    <x v="1"/>
    <n v="24"/>
    <x v="0"/>
    <x v="0"/>
    <x v="9"/>
  </r>
  <r>
    <n v="1173"/>
    <x v="1"/>
    <x v="22"/>
    <n v="2023"/>
    <x v="0"/>
    <s v=" "/>
    <s v=" "/>
    <x v="0"/>
    <x v="0"/>
    <x v="1"/>
    <n v="41"/>
    <x v="3"/>
    <x v="4"/>
    <x v="4"/>
  </r>
  <r>
    <n v="1174"/>
    <x v="2"/>
    <x v="23"/>
    <n v="2024"/>
    <x v="0"/>
    <s v=" "/>
    <s v=" "/>
    <x v="0"/>
    <x v="0"/>
    <x v="0"/>
    <n v="40"/>
    <x v="3"/>
    <x v="0"/>
    <x v="9"/>
  </r>
  <r>
    <n v="1175"/>
    <x v="0"/>
    <x v="24"/>
    <n v="2019"/>
    <x v="0"/>
    <s v=" "/>
    <s v=" "/>
    <x v="0"/>
    <x v="0"/>
    <x v="1"/>
    <n v="48"/>
    <x v="3"/>
    <x v="0"/>
    <x v="0"/>
  </r>
  <r>
    <n v="1176"/>
    <x v="1"/>
    <x v="25"/>
    <n v="2022"/>
    <x v="0"/>
    <s v=" "/>
    <s v=" "/>
    <x v="0"/>
    <x v="0"/>
    <x v="1"/>
    <n v="52"/>
    <x v="1"/>
    <x v="1"/>
    <x v="2"/>
  </r>
  <r>
    <n v="1177"/>
    <x v="4"/>
    <x v="26"/>
    <n v="2020"/>
    <x v="10"/>
    <n v="2021"/>
    <n v="2"/>
    <x v="6"/>
    <x v="1"/>
    <x v="0"/>
    <n v="33"/>
    <x v="4"/>
    <x v="0"/>
    <x v="3"/>
  </r>
  <r>
    <n v="1178"/>
    <x v="2"/>
    <x v="27"/>
    <n v="2023"/>
    <x v="0"/>
    <s v=" "/>
    <s v=" "/>
    <x v="0"/>
    <x v="0"/>
    <x v="0"/>
    <n v="51"/>
    <x v="1"/>
    <x v="2"/>
    <x v="10"/>
  </r>
  <r>
    <n v="1179"/>
    <x v="0"/>
    <x v="28"/>
    <n v="2021"/>
    <x v="11"/>
    <n v="2022"/>
    <n v="2"/>
    <x v="3"/>
    <x v="1"/>
    <x v="1"/>
    <n v="46"/>
    <x v="3"/>
    <x v="5"/>
    <x v="4"/>
  </r>
  <r>
    <n v="1180"/>
    <x v="2"/>
    <x v="29"/>
    <n v="2018"/>
    <x v="12"/>
    <n v="2021"/>
    <n v="4"/>
    <x v="1"/>
    <x v="1"/>
    <x v="1"/>
    <n v="53"/>
    <x v="1"/>
    <x v="0"/>
    <x v="9"/>
  </r>
  <r>
    <n v="1181"/>
    <x v="5"/>
    <x v="30"/>
    <n v="2021"/>
    <x v="0"/>
    <s v=" "/>
    <s v=" "/>
    <x v="0"/>
    <x v="0"/>
    <x v="0"/>
    <n v="35"/>
    <x v="4"/>
    <x v="1"/>
    <x v="0"/>
  </r>
  <r>
    <n v="1182"/>
    <x v="0"/>
    <x v="31"/>
    <n v="2024"/>
    <x v="0"/>
    <s v=" "/>
    <s v=" "/>
    <x v="0"/>
    <x v="0"/>
    <x v="1"/>
    <n v="32"/>
    <x v="4"/>
    <x v="1"/>
    <x v="1"/>
  </r>
  <r>
    <n v="1183"/>
    <x v="5"/>
    <x v="32"/>
    <n v="2021"/>
    <x v="0"/>
    <s v=" "/>
    <s v=" "/>
    <x v="0"/>
    <x v="0"/>
    <x v="0"/>
    <n v="46"/>
    <x v="3"/>
    <x v="2"/>
    <x v="2"/>
  </r>
  <r>
    <n v="1184"/>
    <x v="0"/>
    <x v="33"/>
    <n v="2020"/>
    <x v="0"/>
    <s v=" "/>
    <s v=" "/>
    <x v="0"/>
    <x v="0"/>
    <x v="0"/>
    <n v="50"/>
    <x v="1"/>
    <x v="3"/>
    <x v="3"/>
  </r>
  <r>
    <n v="1185"/>
    <x v="2"/>
    <x v="34"/>
    <n v="2018"/>
    <x v="13"/>
    <n v="2022"/>
    <n v="5"/>
    <x v="2"/>
    <x v="1"/>
    <x v="0"/>
    <n v="63"/>
    <x v="2"/>
    <x v="0"/>
    <x v="4"/>
  </r>
  <r>
    <n v="1186"/>
    <x v="2"/>
    <x v="35"/>
    <n v="2018"/>
    <x v="0"/>
    <s v=" "/>
    <s v=" "/>
    <x v="0"/>
    <x v="0"/>
    <x v="1"/>
    <n v="29"/>
    <x v="0"/>
    <x v="4"/>
    <x v="5"/>
  </r>
  <r>
    <n v="1187"/>
    <x v="2"/>
    <x v="36"/>
    <n v="2021"/>
    <x v="14"/>
    <n v="2024"/>
    <n v="4"/>
    <x v="7"/>
    <x v="1"/>
    <x v="0"/>
    <n v="27"/>
    <x v="0"/>
    <x v="0"/>
    <x v="6"/>
  </r>
  <r>
    <n v="1188"/>
    <x v="4"/>
    <x v="37"/>
    <n v="2021"/>
    <x v="15"/>
    <n v="2023"/>
    <n v="3"/>
    <x v="4"/>
    <x v="1"/>
    <x v="1"/>
    <n v="31"/>
    <x v="4"/>
    <x v="0"/>
    <x v="7"/>
  </r>
  <r>
    <n v="1189"/>
    <x v="0"/>
    <x v="38"/>
    <n v="2019"/>
    <x v="16"/>
    <n v="2022"/>
    <n v="4"/>
    <x v="3"/>
    <x v="1"/>
    <x v="0"/>
    <n v="24"/>
    <x v="0"/>
    <x v="1"/>
    <x v="8"/>
  </r>
  <r>
    <n v="1190"/>
    <x v="5"/>
    <x v="39"/>
    <n v="2020"/>
    <x v="0"/>
    <s v=" "/>
    <s v=" "/>
    <x v="0"/>
    <x v="0"/>
    <x v="1"/>
    <n v="37"/>
    <x v="4"/>
    <x v="0"/>
    <x v="9"/>
  </r>
  <r>
    <n v="1191"/>
    <x v="4"/>
    <x v="40"/>
    <n v="2020"/>
    <x v="0"/>
    <s v=" "/>
    <s v=" "/>
    <x v="0"/>
    <x v="0"/>
    <x v="1"/>
    <n v="23"/>
    <x v="0"/>
    <x v="2"/>
    <x v="10"/>
  </r>
  <r>
    <n v="1192"/>
    <x v="4"/>
    <x v="41"/>
    <n v="2024"/>
    <x v="0"/>
    <s v=" "/>
    <s v=" "/>
    <x v="0"/>
    <x v="0"/>
    <x v="0"/>
    <n v="31"/>
    <x v="4"/>
    <x v="7"/>
    <x v="2"/>
  </r>
  <r>
    <n v="1193"/>
    <x v="5"/>
    <x v="42"/>
    <n v="2024"/>
    <x v="0"/>
    <s v=" "/>
    <s v=" "/>
    <x v="0"/>
    <x v="0"/>
    <x v="1"/>
    <n v="52"/>
    <x v="1"/>
    <x v="0"/>
    <x v="4"/>
  </r>
  <r>
    <n v="1194"/>
    <x v="2"/>
    <x v="43"/>
    <n v="2022"/>
    <x v="0"/>
    <s v=" "/>
    <s v=" "/>
    <x v="0"/>
    <x v="0"/>
    <x v="1"/>
    <n v="25"/>
    <x v="0"/>
    <x v="1"/>
    <x v="9"/>
  </r>
  <r>
    <n v="1195"/>
    <x v="1"/>
    <x v="44"/>
    <n v="2023"/>
    <x v="0"/>
    <s v=" "/>
    <s v=" "/>
    <x v="0"/>
    <x v="0"/>
    <x v="0"/>
    <n v="46"/>
    <x v="3"/>
    <x v="1"/>
    <x v="1"/>
  </r>
  <r>
    <n v="1196"/>
    <x v="1"/>
    <x v="45"/>
    <n v="2019"/>
    <x v="17"/>
    <n v="2021"/>
    <n v="3"/>
    <x v="5"/>
    <x v="1"/>
    <x v="0"/>
    <n v="24"/>
    <x v="0"/>
    <x v="2"/>
    <x v="2"/>
  </r>
  <r>
    <n v="1197"/>
    <x v="1"/>
    <x v="46"/>
    <n v="2021"/>
    <x v="18"/>
    <n v="2024"/>
    <n v="4"/>
    <x v="7"/>
    <x v="1"/>
    <x v="0"/>
    <n v="38"/>
    <x v="4"/>
    <x v="3"/>
    <x v="3"/>
  </r>
  <r>
    <n v="1198"/>
    <x v="3"/>
    <x v="47"/>
    <n v="2019"/>
    <x v="0"/>
    <s v=" "/>
    <s v=" "/>
    <x v="0"/>
    <x v="0"/>
    <x v="1"/>
    <n v="49"/>
    <x v="3"/>
    <x v="0"/>
    <x v="4"/>
  </r>
  <r>
    <n v="1199"/>
    <x v="4"/>
    <x v="48"/>
    <n v="2024"/>
    <x v="0"/>
    <s v=" "/>
    <s v=" "/>
    <x v="0"/>
    <x v="0"/>
    <x v="1"/>
    <n v="31"/>
    <x v="4"/>
    <x v="4"/>
    <x v="9"/>
  </r>
  <r>
    <n v="1200"/>
    <x v="0"/>
    <x v="49"/>
    <n v="2018"/>
    <x v="19"/>
    <n v="2022"/>
    <n v="5"/>
    <x v="4"/>
    <x v="1"/>
    <x v="0"/>
    <n v="51"/>
    <x v="1"/>
    <x v="0"/>
    <x v="0"/>
  </r>
  <r>
    <n v="1201"/>
    <x v="0"/>
    <x v="0"/>
    <n v="2018"/>
    <x v="0"/>
    <s v=" "/>
    <s v=" "/>
    <x v="0"/>
    <x v="0"/>
    <x v="1"/>
    <n v="27"/>
    <x v="0"/>
    <x v="0"/>
    <x v="2"/>
  </r>
  <r>
    <n v="1202"/>
    <x v="1"/>
    <x v="1"/>
    <n v="2020"/>
    <x v="0"/>
    <s v=" "/>
    <s v=" "/>
    <x v="0"/>
    <x v="0"/>
    <x v="0"/>
    <n v="22"/>
    <x v="0"/>
    <x v="1"/>
    <x v="3"/>
  </r>
  <r>
    <n v="1203"/>
    <x v="1"/>
    <x v="2"/>
    <n v="2021"/>
    <x v="0"/>
    <s v=" "/>
    <s v=" "/>
    <x v="0"/>
    <x v="0"/>
    <x v="0"/>
    <n v="50"/>
    <x v="1"/>
    <x v="0"/>
    <x v="10"/>
  </r>
  <r>
    <n v="1204"/>
    <x v="1"/>
    <x v="3"/>
    <n v="2023"/>
    <x v="0"/>
    <s v=" "/>
    <s v=" "/>
    <x v="0"/>
    <x v="0"/>
    <x v="0"/>
    <n v="24"/>
    <x v="0"/>
    <x v="2"/>
    <x v="4"/>
  </r>
  <r>
    <n v="1205"/>
    <x v="1"/>
    <x v="4"/>
    <n v="2019"/>
    <x v="1"/>
    <n v="2021"/>
    <n v="3"/>
    <x v="1"/>
    <x v="1"/>
    <x v="1"/>
    <n v="50"/>
    <x v="1"/>
    <x v="5"/>
    <x v="9"/>
  </r>
  <r>
    <n v="1206"/>
    <x v="2"/>
    <x v="5"/>
    <n v="2022"/>
    <x v="2"/>
    <n v="2023"/>
    <n v="2"/>
    <x v="7"/>
    <x v="1"/>
    <x v="0"/>
    <n v="28"/>
    <x v="0"/>
    <x v="0"/>
    <x v="0"/>
  </r>
  <r>
    <n v="1207"/>
    <x v="3"/>
    <x v="6"/>
    <n v="2024"/>
    <x v="0"/>
    <s v=" "/>
    <s v=" "/>
    <x v="0"/>
    <x v="0"/>
    <x v="1"/>
    <n v="40"/>
    <x v="3"/>
    <x v="1"/>
    <x v="1"/>
  </r>
  <r>
    <n v="1208"/>
    <x v="0"/>
    <x v="7"/>
    <n v="2018"/>
    <x v="0"/>
    <s v=" "/>
    <s v=" "/>
    <x v="0"/>
    <x v="0"/>
    <x v="0"/>
    <n v="32"/>
    <x v="4"/>
    <x v="1"/>
    <x v="2"/>
  </r>
  <r>
    <n v="1209"/>
    <x v="1"/>
    <x v="8"/>
    <n v="2023"/>
    <x v="0"/>
    <s v=" "/>
    <s v=" "/>
    <x v="0"/>
    <x v="0"/>
    <x v="1"/>
    <n v="50"/>
    <x v="1"/>
    <x v="2"/>
    <x v="3"/>
  </r>
  <r>
    <n v="1210"/>
    <x v="4"/>
    <x v="9"/>
    <n v="2024"/>
    <x v="0"/>
    <s v=" "/>
    <s v=" "/>
    <x v="0"/>
    <x v="0"/>
    <x v="1"/>
    <n v="24"/>
    <x v="0"/>
    <x v="3"/>
    <x v="4"/>
  </r>
  <r>
    <n v="1211"/>
    <x v="5"/>
    <x v="10"/>
    <n v="2024"/>
    <x v="0"/>
    <s v=" "/>
    <s v=" "/>
    <x v="0"/>
    <x v="0"/>
    <x v="0"/>
    <n v="36"/>
    <x v="4"/>
    <x v="0"/>
    <x v="5"/>
  </r>
  <r>
    <n v="1212"/>
    <x v="3"/>
    <x v="11"/>
    <n v="2021"/>
    <x v="3"/>
    <n v="2024"/>
    <n v="4"/>
    <x v="7"/>
    <x v="1"/>
    <x v="1"/>
    <n v="49"/>
    <x v="3"/>
    <x v="6"/>
    <x v="6"/>
  </r>
  <r>
    <n v="1213"/>
    <x v="0"/>
    <x v="12"/>
    <n v="2018"/>
    <x v="4"/>
    <n v="2020"/>
    <n v="3"/>
    <x v="7"/>
    <x v="1"/>
    <x v="1"/>
    <n v="43"/>
    <x v="3"/>
    <x v="0"/>
    <x v="7"/>
  </r>
  <r>
    <n v="1214"/>
    <x v="1"/>
    <x v="13"/>
    <n v="2024"/>
    <x v="0"/>
    <s v=" "/>
    <s v=" "/>
    <x v="0"/>
    <x v="0"/>
    <x v="0"/>
    <n v="40"/>
    <x v="3"/>
    <x v="0"/>
    <x v="8"/>
  </r>
  <r>
    <n v="1215"/>
    <x v="1"/>
    <x v="14"/>
    <n v="2018"/>
    <x v="0"/>
    <s v=" "/>
    <s v=" "/>
    <x v="0"/>
    <x v="0"/>
    <x v="0"/>
    <n v="42"/>
    <x v="3"/>
    <x v="1"/>
    <x v="9"/>
  </r>
  <r>
    <n v="1216"/>
    <x v="0"/>
    <x v="15"/>
    <n v="2019"/>
    <x v="5"/>
    <n v="2022"/>
    <n v="4"/>
    <x v="4"/>
    <x v="1"/>
    <x v="0"/>
    <n v="35"/>
    <x v="4"/>
    <x v="0"/>
    <x v="10"/>
  </r>
  <r>
    <n v="1217"/>
    <x v="3"/>
    <x v="16"/>
    <n v="2019"/>
    <x v="6"/>
    <n v="2020"/>
    <n v="2"/>
    <x v="3"/>
    <x v="1"/>
    <x v="1"/>
    <n v="31"/>
    <x v="4"/>
    <x v="2"/>
    <x v="2"/>
  </r>
  <r>
    <n v="1218"/>
    <x v="5"/>
    <x v="17"/>
    <n v="2022"/>
    <x v="0"/>
    <s v=" "/>
    <s v=" "/>
    <x v="0"/>
    <x v="0"/>
    <x v="1"/>
    <n v="51"/>
    <x v="1"/>
    <x v="5"/>
    <x v="4"/>
  </r>
  <r>
    <n v="1219"/>
    <x v="0"/>
    <x v="18"/>
    <n v="2024"/>
    <x v="0"/>
    <s v=" "/>
    <s v=" "/>
    <x v="0"/>
    <x v="0"/>
    <x v="0"/>
    <n v="48"/>
    <x v="3"/>
    <x v="0"/>
    <x v="9"/>
  </r>
  <r>
    <n v="1220"/>
    <x v="3"/>
    <x v="19"/>
    <n v="2019"/>
    <x v="7"/>
    <n v="2022"/>
    <n v="4"/>
    <x v="5"/>
    <x v="1"/>
    <x v="1"/>
    <n v="41"/>
    <x v="3"/>
    <x v="1"/>
    <x v="1"/>
  </r>
  <r>
    <n v="1221"/>
    <x v="5"/>
    <x v="20"/>
    <n v="2021"/>
    <x v="8"/>
    <n v="2024"/>
    <n v="4"/>
    <x v="7"/>
    <x v="1"/>
    <x v="0"/>
    <n v="35"/>
    <x v="4"/>
    <x v="1"/>
    <x v="2"/>
  </r>
  <r>
    <n v="1222"/>
    <x v="2"/>
    <x v="21"/>
    <n v="2023"/>
    <x v="9"/>
    <n v="2024"/>
    <n v="2"/>
    <x v="4"/>
    <x v="1"/>
    <x v="0"/>
    <n v="24"/>
    <x v="0"/>
    <x v="2"/>
    <x v="3"/>
  </r>
  <r>
    <n v="1223"/>
    <x v="1"/>
    <x v="22"/>
    <n v="2023"/>
    <x v="0"/>
    <s v=" "/>
    <s v=" "/>
    <x v="0"/>
    <x v="0"/>
    <x v="0"/>
    <n v="41"/>
    <x v="3"/>
    <x v="3"/>
    <x v="4"/>
  </r>
  <r>
    <n v="1224"/>
    <x v="2"/>
    <x v="23"/>
    <n v="2024"/>
    <x v="0"/>
    <s v=" "/>
    <s v=" "/>
    <x v="0"/>
    <x v="0"/>
    <x v="1"/>
    <n v="40"/>
    <x v="3"/>
    <x v="0"/>
    <x v="9"/>
  </r>
  <r>
    <n v="1225"/>
    <x v="0"/>
    <x v="24"/>
    <n v="2019"/>
    <x v="0"/>
    <s v=" "/>
    <s v=" "/>
    <x v="0"/>
    <x v="0"/>
    <x v="0"/>
    <n v="48"/>
    <x v="3"/>
    <x v="6"/>
    <x v="0"/>
  </r>
  <r>
    <n v="1226"/>
    <x v="1"/>
    <x v="25"/>
    <n v="2022"/>
    <x v="0"/>
    <s v=" "/>
    <s v=" "/>
    <x v="0"/>
    <x v="0"/>
    <x v="1"/>
    <n v="52"/>
    <x v="1"/>
    <x v="0"/>
    <x v="2"/>
  </r>
  <r>
    <n v="1227"/>
    <x v="4"/>
    <x v="26"/>
    <n v="2020"/>
    <x v="10"/>
    <n v="2021"/>
    <n v="2"/>
    <x v="6"/>
    <x v="1"/>
    <x v="0"/>
    <n v="33"/>
    <x v="4"/>
    <x v="0"/>
    <x v="3"/>
  </r>
  <r>
    <n v="1228"/>
    <x v="2"/>
    <x v="27"/>
    <n v="2023"/>
    <x v="0"/>
    <s v=" "/>
    <s v=" "/>
    <x v="0"/>
    <x v="0"/>
    <x v="1"/>
    <n v="51"/>
    <x v="1"/>
    <x v="1"/>
    <x v="10"/>
  </r>
  <r>
    <n v="1229"/>
    <x v="0"/>
    <x v="28"/>
    <n v="2021"/>
    <x v="11"/>
    <n v="2022"/>
    <n v="2"/>
    <x v="7"/>
    <x v="1"/>
    <x v="1"/>
    <n v="46"/>
    <x v="3"/>
    <x v="0"/>
    <x v="4"/>
  </r>
  <r>
    <n v="1230"/>
    <x v="2"/>
    <x v="29"/>
    <n v="2018"/>
    <x v="12"/>
    <n v="2021"/>
    <n v="4"/>
    <x v="1"/>
    <x v="1"/>
    <x v="0"/>
    <n v="53"/>
    <x v="1"/>
    <x v="2"/>
    <x v="9"/>
  </r>
  <r>
    <n v="1231"/>
    <x v="5"/>
    <x v="30"/>
    <n v="2021"/>
    <x v="0"/>
    <s v=" "/>
    <s v=" "/>
    <x v="0"/>
    <x v="0"/>
    <x v="1"/>
    <n v="35"/>
    <x v="4"/>
    <x v="7"/>
    <x v="0"/>
  </r>
  <r>
    <n v="1232"/>
    <x v="0"/>
    <x v="31"/>
    <n v="2024"/>
    <x v="0"/>
    <s v=" "/>
    <s v=" "/>
    <x v="0"/>
    <x v="0"/>
    <x v="1"/>
    <n v="32"/>
    <x v="4"/>
    <x v="0"/>
    <x v="1"/>
  </r>
  <r>
    <n v="1233"/>
    <x v="5"/>
    <x v="32"/>
    <n v="2021"/>
    <x v="0"/>
    <s v=" "/>
    <s v=" "/>
    <x v="0"/>
    <x v="0"/>
    <x v="0"/>
    <n v="46"/>
    <x v="3"/>
    <x v="1"/>
    <x v="2"/>
  </r>
  <r>
    <n v="1234"/>
    <x v="0"/>
    <x v="33"/>
    <n v="2020"/>
    <x v="0"/>
    <s v=" "/>
    <s v=" "/>
    <x v="0"/>
    <x v="0"/>
    <x v="1"/>
    <n v="50"/>
    <x v="1"/>
    <x v="1"/>
    <x v="3"/>
  </r>
  <r>
    <n v="1235"/>
    <x v="2"/>
    <x v="34"/>
    <n v="2018"/>
    <x v="13"/>
    <n v="2022"/>
    <n v="5"/>
    <x v="2"/>
    <x v="1"/>
    <x v="1"/>
    <n v="65"/>
    <x v="2"/>
    <x v="2"/>
    <x v="4"/>
  </r>
  <r>
    <n v="1236"/>
    <x v="2"/>
    <x v="35"/>
    <n v="2018"/>
    <x v="0"/>
    <s v=" "/>
    <s v=" "/>
    <x v="0"/>
    <x v="0"/>
    <x v="0"/>
    <n v="29"/>
    <x v="0"/>
    <x v="3"/>
    <x v="5"/>
  </r>
  <r>
    <n v="1237"/>
    <x v="2"/>
    <x v="36"/>
    <n v="2021"/>
    <x v="14"/>
    <n v="2024"/>
    <n v="4"/>
    <x v="1"/>
    <x v="1"/>
    <x v="1"/>
    <n v="27"/>
    <x v="0"/>
    <x v="0"/>
    <x v="6"/>
  </r>
  <r>
    <n v="1238"/>
    <x v="4"/>
    <x v="37"/>
    <n v="2021"/>
    <x v="15"/>
    <n v="2023"/>
    <n v="3"/>
    <x v="4"/>
    <x v="1"/>
    <x v="0"/>
    <n v="31"/>
    <x v="4"/>
    <x v="7"/>
    <x v="7"/>
  </r>
  <r>
    <n v="1239"/>
    <x v="0"/>
    <x v="38"/>
    <n v="2019"/>
    <x v="16"/>
    <n v="2022"/>
    <n v="4"/>
    <x v="3"/>
    <x v="1"/>
    <x v="0"/>
    <n v="24"/>
    <x v="0"/>
    <x v="0"/>
    <x v="8"/>
  </r>
  <r>
    <n v="1240"/>
    <x v="5"/>
    <x v="39"/>
    <n v="2020"/>
    <x v="0"/>
    <s v=" "/>
    <s v=" "/>
    <x v="0"/>
    <x v="0"/>
    <x v="0"/>
    <n v="37"/>
    <x v="4"/>
    <x v="0"/>
    <x v="9"/>
  </r>
  <r>
    <n v="1241"/>
    <x v="4"/>
    <x v="40"/>
    <n v="2020"/>
    <x v="0"/>
    <s v=" "/>
    <s v=" "/>
    <x v="0"/>
    <x v="0"/>
    <x v="1"/>
    <n v="23"/>
    <x v="0"/>
    <x v="1"/>
    <x v="10"/>
  </r>
  <r>
    <n v="1242"/>
    <x v="4"/>
    <x v="41"/>
    <n v="2024"/>
    <x v="0"/>
    <s v=" "/>
    <s v=" "/>
    <x v="0"/>
    <x v="0"/>
    <x v="0"/>
    <n v="31"/>
    <x v="4"/>
    <x v="0"/>
    <x v="2"/>
  </r>
  <r>
    <n v="1243"/>
    <x v="5"/>
    <x v="42"/>
    <n v="2024"/>
    <x v="0"/>
    <s v=" "/>
    <s v=" "/>
    <x v="0"/>
    <x v="0"/>
    <x v="1"/>
    <n v="52"/>
    <x v="1"/>
    <x v="2"/>
    <x v="4"/>
  </r>
  <r>
    <n v="1244"/>
    <x v="2"/>
    <x v="43"/>
    <n v="2022"/>
    <x v="0"/>
    <s v=" "/>
    <s v=" "/>
    <x v="0"/>
    <x v="0"/>
    <x v="0"/>
    <n v="25"/>
    <x v="0"/>
    <x v="7"/>
    <x v="9"/>
  </r>
  <r>
    <n v="1245"/>
    <x v="1"/>
    <x v="44"/>
    <n v="2023"/>
    <x v="0"/>
    <s v=" "/>
    <s v=" "/>
    <x v="0"/>
    <x v="0"/>
    <x v="1"/>
    <n v="46"/>
    <x v="3"/>
    <x v="0"/>
    <x v="1"/>
  </r>
  <r>
    <n v="1246"/>
    <x v="1"/>
    <x v="45"/>
    <n v="2019"/>
    <x v="17"/>
    <n v="2021"/>
    <n v="3"/>
    <x v="5"/>
    <x v="1"/>
    <x v="1"/>
    <n v="24"/>
    <x v="0"/>
    <x v="1"/>
    <x v="2"/>
  </r>
  <r>
    <n v="1247"/>
    <x v="1"/>
    <x v="46"/>
    <n v="2021"/>
    <x v="18"/>
    <n v="2024"/>
    <n v="4"/>
    <x v="5"/>
    <x v="1"/>
    <x v="0"/>
    <n v="38"/>
    <x v="4"/>
    <x v="1"/>
    <x v="3"/>
  </r>
  <r>
    <n v="1248"/>
    <x v="3"/>
    <x v="47"/>
    <n v="2019"/>
    <x v="0"/>
    <s v=" "/>
    <s v=" "/>
    <x v="0"/>
    <x v="0"/>
    <x v="1"/>
    <n v="49"/>
    <x v="3"/>
    <x v="2"/>
    <x v="4"/>
  </r>
  <r>
    <n v="1249"/>
    <x v="4"/>
    <x v="48"/>
    <n v="2024"/>
    <x v="0"/>
    <s v=" "/>
    <s v=" "/>
    <x v="0"/>
    <x v="0"/>
    <x v="1"/>
    <n v="31"/>
    <x v="4"/>
    <x v="3"/>
    <x v="9"/>
  </r>
  <r>
    <n v="1250"/>
    <x v="0"/>
    <x v="49"/>
    <n v="2018"/>
    <x v="19"/>
    <n v="2022"/>
    <n v="5"/>
    <x v="4"/>
    <x v="1"/>
    <x v="0"/>
    <n v="51"/>
    <x v="1"/>
    <x v="0"/>
    <x v="0"/>
  </r>
  <r>
    <n v="1251"/>
    <x v="0"/>
    <x v="0"/>
    <n v="2018"/>
    <x v="0"/>
    <s v=" "/>
    <s v=" "/>
    <x v="0"/>
    <x v="0"/>
    <x v="1"/>
    <n v="27"/>
    <x v="0"/>
    <x v="4"/>
    <x v="2"/>
  </r>
  <r>
    <n v="1252"/>
    <x v="1"/>
    <x v="1"/>
    <n v="2020"/>
    <x v="0"/>
    <s v=" "/>
    <s v=" "/>
    <x v="0"/>
    <x v="0"/>
    <x v="1"/>
    <n v="22"/>
    <x v="0"/>
    <x v="0"/>
    <x v="3"/>
  </r>
  <r>
    <n v="1253"/>
    <x v="1"/>
    <x v="2"/>
    <n v="2021"/>
    <x v="0"/>
    <s v=" "/>
    <s v=" "/>
    <x v="0"/>
    <x v="0"/>
    <x v="1"/>
    <n v="50"/>
    <x v="1"/>
    <x v="0"/>
    <x v="10"/>
  </r>
  <r>
    <n v="1254"/>
    <x v="1"/>
    <x v="3"/>
    <n v="2023"/>
    <x v="0"/>
    <s v=" "/>
    <s v=" "/>
    <x v="0"/>
    <x v="0"/>
    <x v="0"/>
    <n v="24"/>
    <x v="0"/>
    <x v="1"/>
    <x v="4"/>
  </r>
  <r>
    <n v="1255"/>
    <x v="1"/>
    <x v="4"/>
    <n v="2019"/>
    <x v="1"/>
    <n v="2021"/>
    <n v="3"/>
    <x v="1"/>
    <x v="1"/>
    <x v="1"/>
    <n v="50"/>
    <x v="1"/>
    <x v="0"/>
    <x v="9"/>
  </r>
  <r>
    <n v="1256"/>
    <x v="2"/>
    <x v="5"/>
    <n v="2022"/>
    <x v="2"/>
    <n v="2023"/>
    <n v="2"/>
    <x v="7"/>
    <x v="1"/>
    <x v="0"/>
    <n v="28"/>
    <x v="0"/>
    <x v="2"/>
    <x v="0"/>
  </r>
  <r>
    <n v="1257"/>
    <x v="3"/>
    <x v="6"/>
    <n v="2024"/>
    <x v="0"/>
    <s v=" "/>
    <s v=" "/>
    <x v="0"/>
    <x v="0"/>
    <x v="0"/>
    <n v="40"/>
    <x v="3"/>
    <x v="5"/>
    <x v="1"/>
  </r>
  <r>
    <n v="1258"/>
    <x v="0"/>
    <x v="7"/>
    <n v="2018"/>
    <x v="0"/>
    <s v=" "/>
    <s v=" "/>
    <x v="0"/>
    <x v="0"/>
    <x v="0"/>
    <n v="32"/>
    <x v="4"/>
    <x v="0"/>
    <x v="2"/>
  </r>
  <r>
    <n v="1259"/>
    <x v="1"/>
    <x v="8"/>
    <n v="2023"/>
    <x v="0"/>
    <s v=" "/>
    <s v=" "/>
    <x v="0"/>
    <x v="0"/>
    <x v="1"/>
    <n v="50"/>
    <x v="1"/>
    <x v="1"/>
    <x v="3"/>
  </r>
  <r>
    <n v="1260"/>
    <x v="4"/>
    <x v="9"/>
    <n v="2024"/>
    <x v="0"/>
    <s v=" "/>
    <s v=" "/>
    <x v="0"/>
    <x v="0"/>
    <x v="0"/>
    <n v="24"/>
    <x v="0"/>
    <x v="1"/>
    <x v="4"/>
  </r>
  <r>
    <n v="1261"/>
    <x v="5"/>
    <x v="10"/>
    <n v="2024"/>
    <x v="0"/>
    <s v=" "/>
    <s v=" "/>
    <x v="0"/>
    <x v="0"/>
    <x v="1"/>
    <n v="36"/>
    <x v="4"/>
    <x v="2"/>
    <x v="5"/>
  </r>
  <r>
    <n v="1262"/>
    <x v="3"/>
    <x v="11"/>
    <n v="2021"/>
    <x v="3"/>
    <n v="2024"/>
    <n v="4"/>
    <x v="7"/>
    <x v="1"/>
    <x v="0"/>
    <n v="49"/>
    <x v="3"/>
    <x v="3"/>
    <x v="6"/>
  </r>
  <r>
    <n v="1263"/>
    <x v="0"/>
    <x v="12"/>
    <n v="2018"/>
    <x v="4"/>
    <n v="2020"/>
    <n v="3"/>
    <x v="3"/>
    <x v="1"/>
    <x v="1"/>
    <n v="43"/>
    <x v="3"/>
    <x v="0"/>
    <x v="7"/>
  </r>
  <r>
    <n v="1264"/>
    <x v="1"/>
    <x v="13"/>
    <n v="2024"/>
    <x v="0"/>
    <s v=" "/>
    <s v=" "/>
    <x v="0"/>
    <x v="0"/>
    <x v="1"/>
    <n v="40"/>
    <x v="3"/>
    <x v="4"/>
    <x v="8"/>
  </r>
  <r>
    <n v="1265"/>
    <x v="1"/>
    <x v="14"/>
    <n v="2018"/>
    <x v="0"/>
    <s v=" "/>
    <s v=" "/>
    <x v="0"/>
    <x v="0"/>
    <x v="0"/>
    <n v="42"/>
    <x v="3"/>
    <x v="0"/>
    <x v="9"/>
  </r>
  <r>
    <n v="1266"/>
    <x v="0"/>
    <x v="15"/>
    <n v="2019"/>
    <x v="5"/>
    <n v="2022"/>
    <n v="4"/>
    <x v="4"/>
    <x v="1"/>
    <x v="1"/>
    <n v="35"/>
    <x v="4"/>
    <x v="0"/>
    <x v="10"/>
  </r>
  <r>
    <n v="1267"/>
    <x v="3"/>
    <x v="16"/>
    <n v="2019"/>
    <x v="6"/>
    <n v="2020"/>
    <n v="2"/>
    <x v="7"/>
    <x v="1"/>
    <x v="1"/>
    <n v="31"/>
    <x v="4"/>
    <x v="1"/>
    <x v="2"/>
  </r>
  <r>
    <n v="1268"/>
    <x v="5"/>
    <x v="17"/>
    <n v="2022"/>
    <x v="0"/>
    <s v=" "/>
    <s v=" "/>
    <x v="0"/>
    <x v="0"/>
    <x v="0"/>
    <n v="51"/>
    <x v="1"/>
    <x v="0"/>
    <x v="4"/>
  </r>
  <r>
    <n v="1269"/>
    <x v="0"/>
    <x v="18"/>
    <n v="2024"/>
    <x v="0"/>
    <s v=" "/>
    <s v=" "/>
    <x v="0"/>
    <x v="0"/>
    <x v="1"/>
    <n v="48"/>
    <x v="3"/>
    <x v="2"/>
    <x v="9"/>
  </r>
  <r>
    <n v="1270"/>
    <x v="3"/>
    <x v="19"/>
    <n v="2019"/>
    <x v="7"/>
    <n v="2022"/>
    <n v="4"/>
    <x v="5"/>
    <x v="1"/>
    <x v="1"/>
    <n v="41"/>
    <x v="3"/>
    <x v="5"/>
    <x v="1"/>
  </r>
  <r>
    <n v="1271"/>
    <x v="5"/>
    <x v="20"/>
    <n v="2021"/>
    <x v="8"/>
    <n v="2024"/>
    <n v="4"/>
    <x v="7"/>
    <x v="1"/>
    <x v="1"/>
    <n v="35"/>
    <x v="4"/>
    <x v="0"/>
    <x v="2"/>
  </r>
  <r>
    <n v="1272"/>
    <x v="2"/>
    <x v="21"/>
    <n v="2023"/>
    <x v="9"/>
    <n v="2024"/>
    <n v="2"/>
    <x v="4"/>
    <x v="1"/>
    <x v="0"/>
    <n v="24"/>
    <x v="0"/>
    <x v="1"/>
    <x v="3"/>
  </r>
  <r>
    <n v="1273"/>
    <x v="1"/>
    <x v="22"/>
    <n v="2023"/>
    <x v="0"/>
    <s v=" "/>
    <s v=" "/>
    <x v="0"/>
    <x v="0"/>
    <x v="1"/>
    <n v="41"/>
    <x v="3"/>
    <x v="1"/>
    <x v="4"/>
  </r>
  <r>
    <n v="1274"/>
    <x v="2"/>
    <x v="23"/>
    <n v="2024"/>
    <x v="0"/>
    <s v=" "/>
    <s v=" "/>
    <x v="0"/>
    <x v="0"/>
    <x v="0"/>
    <n v="40"/>
    <x v="3"/>
    <x v="2"/>
    <x v="9"/>
  </r>
  <r>
    <n v="1275"/>
    <x v="0"/>
    <x v="24"/>
    <n v="2019"/>
    <x v="0"/>
    <s v=" "/>
    <s v=" "/>
    <x v="0"/>
    <x v="0"/>
    <x v="0"/>
    <n v="48"/>
    <x v="3"/>
    <x v="3"/>
    <x v="0"/>
  </r>
  <r>
    <n v="1276"/>
    <x v="1"/>
    <x v="25"/>
    <n v="2022"/>
    <x v="0"/>
    <s v=" "/>
    <s v=" "/>
    <x v="0"/>
    <x v="0"/>
    <x v="0"/>
    <n v="52"/>
    <x v="1"/>
    <x v="0"/>
    <x v="2"/>
  </r>
  <r>
    <n v="1277"/>
    <x v="4"/>
    <x v="26"/>
    <n v="2020"/>
    <x v="10"/>
    <n v="2021"/>
    <n v="2"/>
    <x v="7"/>
    <x v="1"/>
    <x v="0"/>
    <n v="33"/>
    <x v="4"/>
    <x v="7"/>
    <x v="3"/>
  </r>
  <r>
    <n v="1278"/>
    <x v="2"/>
    <x v="27"/>
    <n v="2023"/>
    <x v="0"/>
    <s v=" "/>
    <s v=" "/>
    <x v="0"/>
    <x v="0"/>
    <x v="1"/>
    <n v="51"/>
    <x v="1"/>
    <x v="0"/>
    <x v="10"/>
  </r>
  <r>
    <n v="1279"/>
    <x v="0"/>
    <x v="28"/>
    <n v="2021"/>
    <x v="11"/>
    <n v="2022"/>
    <n v="2"/>
    <x v="3"/>
    <x v="1"/>
    <x v="1"/>
    <n v="46"/>
    <x v="3"/>
    <x v="0"/>
    <x v="4"/>
  </r>
  <r>
    <n v="1280"/>
    <x v="2"/>
    <x v="29"/>
    <n v="2018"/>
    <x v="12"/>
    <n v="2021"/>
    <n v="4"/>
    <x v="1"/>
    <x v="1"/>
    <x v="0"/>
    <n v="53"/>
    <x v="1"/>
    <x v="1"/>
    <x v="9"/>
  </r>
  <r>
    <n v="1281"/>
    <x v="5"/>
    <x v="30"/>
    <n v="2021"/>
    <x v="0"/>
    <s v=" "/>
    <s v=" "/>
    <x v="0"/>
    <x v="0"/>
    <x v="0"/>
    <n v="35"/>
    <x v="4"/>
    <x v="0"/>
    <x v="0"/>
  </r>
  <r>
    <n v="1282"/>
    <x v="0"/>
    <x v="31"/>
    <n v="2024"/>
    <x v="0"/>
    <s v=" "/>
    <s v=" "/>
    <x v="0"/>
    <x v="0"/>
    <x v="0"/>
    <n v="32"/>
    <x v="4"/>
    <x v="2"/>
    <x v="1"/>
  </r>
  <r>
    <n v="1283"/>
    <x v="5"/>
    <x v="32"/>
    <n v="2021"/>
    <x v="0"/>
    <s v=" "/>
    <s v=" "/>
    <x v="0"/>
    <x v="0"/>
    <x v="1"/>
    <n v="46"/>
    <x v="3"/>
    <x v="5"/>
    <x v="2"/>
  </r>
  <r>
    <n v="1284"/>
    <x v="0"/>
    <x v="33"/>
    <n v="2020"/>
    <x v="0"/>
    <s v=" "/>
    <s v=" "/>
    <x v="0"/>
    <x v="0"/>
    <x v="0"/>
    <n v="50"/>
    <x v="1"/>
    <x v="0"/>
    <x v="3"/>
  </r>
  <r>
    <n v="1285"/>
    <x v="2"/>
    <x v="34"/>
    <n v="2018"/>
    <x v="13"/>
    <n v="2022"/>
    <n v="5"/>
    <x v="2"/>
    <x v="1"/>
    <x v="0"/>
    <n v="66"/>
    <x v="2"/>
    <x v="1"/>
    <x v="4"/>
  </r>
  <r>
    <n v="1286"/>
    <x v="2"/>
    <x v="35"/>
    <n v="2018"/>
    <x v="0"/>
    <s v=" "/>
    <s v=" "/>
    <x v="0"/>
    <x v="0"/>
    <x v="1"/>
    <n v="29"/>
    <x v="0"/>
    <x v="1"/>
    <x v="5"/>
  </r>
  <r>
    <n v="1287"/>
    <x v="2"/>
    <x v="36"/>
    <n v="2021"/>
    <x v="14"/>
    <n v="2024"/>
    <n v="4"/>
    <x v="1"/>
    <x v="1"/>
    <x v="0"/>
    <n v="27"/>
    <x v="0"/>
    <x v="2"/>
    <x v="6"/>
  </r>
  <r>
    <n v="1288"/>
    <x v="4"/>
    <x v="37"/>
    <n v="2021"/>
    <x v="15"/>
    <n v="2023"/>
    <n v="3"/>
    <x v="4"/>
    <x v="1"/>
    <x v="1"/>
    <n v="31"/>
    <x v="4"/>
    <x v="3"/>
    <x v="7"/>
  </r>
  <r>
    <n v="1289"/>
    <x v="0"/>
    <x v="38"/>
    <n v="2019"/>
    <x v="16"/>
    <n v="2022"/>
    <n v="4"/>
    <x v="3"/>
    <x v="1"/>
    <x v="1"/>
    <n v="24"/>
    <x v="0"/>
    <x v="0"/>
    <x v="8"/>
  </r>
  <r>
    <n v="1290"/>
    <x v="5"/>
    <x v="39"/>
    <n v="2020"/>
    <x v="0"/>
    <s v=" "/>
    <s v=" "/>
    <x v="0"/>
    <x v="0"/>
    <x v="0"/>
    <n v="37"/>
    <x v="4"/>
    <x v="4"/>
    <x v="9"/>
  </r>
  <r>
    <n v="1291"/>
    <x v="4"/>
    <x v="40"/>
    <n v="2020"/>
    <x v="0"/>
    <s v=" "/>
    <s v=" "/>
    <x v="0"/>
    <x v="0"/>
    <x v="0"/>
    <n v="23"/>
    <x v="0"/>
    <x v="0"/>
    <x v="10"/>
  </r>
  <r>
    <n v="1292"/>
    <x v="4"/>
    <x v="41"/>
    <n v="2024"/>
    <x v="0"/>
    <s v=" "/>
    <s v=" "/>
    <x v="0"/>
    <x v="0"/>
    <x v="0"/>
    <n v="31"/>
    <x v="4"/>
    <x v="0"/>
    <x v="2"/>
  </r>
  <r>
    <n v="1293"/>
    <x v="5"/>
    <x v="42"/>
    <n v="2024"/>
    <x v="0"/>
    <s v=" "/>
    <s v=" "/>
    <x v="0"/>
    <x v="0"/>
    <x v="1"/>
    <n v="52"/>
    <x v="1"/>
    <x v="1"/>
    <x v="4"/>
  </r>
  <r>
    <n v="1294"/>
    <x v="2"/>
    <x v="43"/>
    <n v="2022"/>
    <x v="0"/>
    <s v=" "/>
    <s v=" "/>
    <x v="0"/>
    <x v="0"/>
    <x v="1"/>
    <n v="25"/>
    <x v="0"/>
    <x v="0"/>
    <x v="9"/>
  </r>
  <r>
    <n v="1295"/>
    <x v="1"/>
    <x v="44"/>
    <n v="2023"/>
    <x v="0"/>
    <s v=" "/>
    <s v=" "/>
    <x v="0"/>
    <x v="0"/>
    <x v="0"/>
    <n v="46"/>
    <x v="3"/>
    <x v="2"/>
    <x v="1"/>
  </r>
  <r>
    <n v="1296"/>
    <x v="1"/>
    <x v="45"/>
    <n v="2019"/>
    <x v="17"/>
    <n v="2021"/>
    <n v="3"/>
    <x v="5"/>
    <x v="1"/>
    <x v="1"/>
    <n v="24"/>
    <x v="0"/>
    <x v="7"/>
    <x v="2"/>
  </r>
  <r>
    <n v="1297"/>
    <x v="1"/>
    <x v="46"/>
    <n v="2021"/>
    <x v="18"/>
    <n v="2024"/>
    <n v="4"/>
    <x v="5"/>
    <x v="1"/>
    <x v="1"/>
    <n v="38"/>
    <x v="4"/>
    <x v="0"/>
    <x v="3"/>
  </r>
  <r>
    <n v="1298"/>
    <x v="3"/>
    <x v="47"/>
    <n v="2019"/>
    <x v="0"/>
    <s v=" "/>
    <s v=" "/>
    <x v="0"/>
    <x v="0"/>
    <x v="0"/>
    <n v="49"/>
    <x v="3"/>
    <x v="1"/>
    <x v="4"/>
  </r>
  <r>
    <n v="1299"/>
    <x v="4"/>
    <x v="48"/>
    <n v="2024"/>
    <x v="0"/>
    <s v=" "/>
    <s v=" "/>
    <x v="0"/>
    <x v="0"/>
    <x v="0"/>
    <n v="31"/>
    <x v="4"/>
    <x v="1"/>
    <x v="9"/>
  </r>
  <r>
    <n v="1300"/>
    <x v="0"/>
    <x v="49"/>
    <n v="2018"/>
    <x v="19"/>
    <n v="2022"/>
    <n v="5"/>
    <x v="4"/>
    <x v="1"/>
    <x v="0"/>
    <n v="51"/>
    <x v="1"/>
    <x v="2"/>
    <x v="0"/>
  </r>
  <r>
    <n v="1301"/>
    <x v="0"/>
    <x v="0"/>
    <n v="2018"/>
    <x v="0"/>
    <s v=" "/>
    <s v=" "/>
    <x v="0"/>
    <x v="0"/>
    <x v="0"/>
    <n v="27"/>
    <x v="0"/>
    <x v="3"/>
    <x v="2"/>
  </r>
  <r>
    <n v="1302"/>
    <x v="1"/>
    <x v="1"/>
    <n v="2020"/>
    <x v="0"/>
    <s v=" "/>
    <s v=" "/>
    <x v="0"/>
    <x v="0"/>
    <x v="1"/>
    <n v="22"/>
    <x v="0"/>
    <x v="0"/>
    <x v="3"/>
  </r>
  <r>
    <n v="1303"/>
    <x v="1"/>
    <x v="2"/>
    <n v="2021"/>
    <x v="0"/>
    <s v=" "/>
    <s v=" "/>
    <x v="0"/>
    <x v="0"/>
    <x v="1"/>
    <n v="50"/>
    <x v="1"/>
    <x v="6"/>
    <x v="10"/>
  </r>
  <r>
    <n v="1304"/>
    <x v="1"/>
    <x v="3"/>
    <n v="2023"/>
    <x v="0"/>
    <s v=" "/>
    <s v=" "/>
    <x v="0"/>
    <x v="0"/>
    <x v="1"/>
    <n v="24"/>
    <x v="0"/>
    <x v="0"/>
    <x v="4"/>
  </r>
  <r>
    <n v="1305"/>
    <x v="1"/>
    <x v="4"/>
    <n v="2019"/>
    <x v="1"/>
    <n v="2021"/>
    <n v="3"/>
    <x v="1"/>
    <x v="1"/>
    <x v="0"/>
    <n v="50"/>
    <x v="1"/>
    <x v="0"/>
    <x v="9"/>
  </r>
  <r>
    <n v="1306"/>
    <x v="2"/>
    <x v="5"/>
    <n v="2022"/>
    <x v="2"/>
    <n v="2023"/>
    <n v="2"/>
    <x v="7"/>
    <x v="1"/>
    <x v="1"/>
    <n v="28"/>
    <x v="0"/>
    <x v="1"/>
    <x v="0"/>
  </r>
  <r>
    <n v="1307"/>
    <x v="3"/>
    <x v="6"/>
    <n v="2024"/>
    <x v="0"/>
    <s v=" "/>
    <s v=" "/>
    <x v="0"/>
    <x v="0"/>
    <x v="1"/>
    <n v="40"/>
    <x v="3"/>
    <x v="0"/>
    <x v="1"/>
  </r>
  <r>
    <n v="1308"/>
    <x v="0"/>
    <x v="7"/>
    <n v="2018"/>
    <x v="0"/>
    <s v=" "/>
    <s v=" "/>
    <x v="0"/>
    <x v="0"/>
    <x v="0"/>
    <n v="32"/>
    <x v="4"/>
    <x v="2"/>
    <x v="2"/>
  </r>
  <r>
    <n v="1309"/>
    <x v="1"/>
    <x v="8"/>
    <n v="2023"/>
    <x v="0"/>
    <s v=" "/>
    <s v=" "/>
    <x v="0"/>
    <x v="0"/>
    <x v="1"/>
    <n v="50"/>
    <x v="1"/>
    <x v="5"/>
    <x v="3"/>
  </r>
  <r>
    <n v="1310"/>
    <x v="4"/>
    <x v="9"/>
    <n v="2024"/>
    <x v="0"/>
    <s v=" "/>
    <s v=" "/>
    <x v="0"/>
    <x v="0"/>
    <x v="1"/>
    <n v="24"/>
    <x v="0"/>
    <x v="0"/>
    <x v="4"/>
  </r>
  <r>
    <n v="1311"/>
    <x v="5"/>
    <x v="10"/>
    <n v="2024"/>
    <x v="0"/>
    <s v=" "/>
    <s v=" "/>
    <x v="0"/>
    <x v="0"/>
    <x v="1"/>
    <n v="36"/>
    <x v="4"/>
    <x v="1"/>
    <x v="5"/>
  </r>
  <r>
    <n v="1312"/>
    <x v="3"/>
    <x v="11"/>
    <n v="2021"/>
    <x v="3"/>
    <n v="2024"/>
    <n v="4"/>
    <x v="7"/>
    <x v="1"/>
    <x v="0"/>
    <n v="49"/>
    <x v="3"/>
    <x v="1"/>
    <x v="6"/>
  </r>
  <r>
    <n v="1313"/>
    <x v="0"/>
    <x v="12"/>
    <n v="2018"/>
    <x v="4"/>
    <n v="2020"/>
    <n v="3"/>
    <x v="3"/>
    <x v="1"/>
    <x v="0"/>
    <n v="43"/>
    <x v="3"/>
    <x v="2"/>
    <x v="7"/>
  </r>
  <r>
    <n v="1314"/>
    <x v="1"/>
    <x v="13"/>
    <n v="2024"/>
    <x v="0"/>
    <s v=" "/>
    <s v=" "/>
    <x v="0"/>
    <x v="0"/>
    <x v="1"/>
    <n v="40"/>
    <x v="3"/>
    <x v="3"/>
    <x v="8"/>
  </r>
  <r>
    <n v="1315"/>
    <x v="1"/>
    <x v="14"/>
    <n v="2018"/>
    <x v="0"/>
    <s v=" "/>
    <s v=" "/>
    <x v="0"/>
    <x v="0"/>
    <x v="1"/>
    <n v="42"/>
    <x v="3"/>
    <x v="0"/>
    <x v="9"/>
  </r>
  <r>
    <n v="1316"/>
    <x v="0"/>
    <x v="15"/>
    <n v="2019"/>
    <x v="5"/>
    <n v="2022"/>
    <n v="4"/>
    <x v="4"/>
    <x v="1"/>
    <x v="0"/>
    <n v="35"/>
    <x v="4"/>
    <x v="7"/>
    <x v="10"/>
  </r>
  <r>
    <n v="1317"/>
    <x v="3"/>
    <x v="16"/>
    <n v="2019"/>
    <x v="6"/>
    <n v="2020"/>
    <n v="2"/>
    <x v="3"/>
    <x v="1"/>
    <x v="1"/>
    <n v="31"/>
    <x v="4"/>
    <x v="0"/>
    <x v="2"/>
  </r>
  <r>
    <n v="1318"/>
    <x v="5"/>
    <x v="17"/>
    <n v="2022"/>
    <x v="0"/>
    <s v=" "/>
    <s v=" "/>
    <x v="0"/>
    <x v="0"/>
    <x v="1"/>
    <n v="51"/>
    <x v="1"/>
    <x v="0"/>
    <x v="4"/>
  </r>
  <r>
    <n v="1319"/>
    <x v="0"/>
    <x v="18"/>
    <n v="2024"/>
    <x v="0"/>
    <s v=" "/>
    <s v=" "/>
    <x v="0"/>
    <x v="0"/>
    <x v="1"/>
    <n v="48"/>
    <x v="3"/>
    <x v="1"/>
    <x v="9"/>
  </r>
  <r>
    <n v="1320"/>
    <x v="3"/>
    <x v="19"/>
    <n v="2019"/>
    <x v="7"/>
    <n v="2022"/>
    <n v="4"/>
    <x v="5"/>
    <x v="1"/>
    <x v="0"/>
    <n v="41"/>
    <x v="3"/>
    <x v="0"/>
    <x v="1"/>
  </r>
  <r>
    <n v="1321"/>
    <x v="5"/>
    <x v="20"/>
    <n v="2021"/>
    <x v="8"/>
    <n v="2024"/>
    <n v="4"/>
    <x v="7"/>
    <x v="1"/>
    <x v="0"/>
    <n v="35"/>
    <x v="4"/>
    <x v="2"/>
    <x v="2"/>
  </r>
  <r>
    <n v="1322"/>
    <x v="2"/>
    <x v="21"/>
    <n v="2023"/>
    <x v="9"/>
    <n v="2024"/>
    <n v="2"/>
    <x v="4"/>
    <x v="1"/>
    <x v="1"/>
    <n v="24"/>
    <x v="0"/>
    <x v="7"/>
    <x v="3"/>
  </r>
  <r>
    <n v="1323"/>
    <x v="1"/>
    <x v="22"/>
    <n v="2023"/>
    <x v="0"/>
    <s v=" "/>
    <s v=" "/>
    <x v="0"/>
    <x v="0"/>
    <x v="1"/>
    <n v="41"/>
    <x v="3"/>
    <x v="0"/>
    <x v="4"/>
  </r>
  <r>
    <n v="1324"/>
    <x v="2"/>
    <x v="23"/>
    <n v="2024"/>
    <x v="0"/>
    <s v=" "/>
    <s v=" "/>
    <x v="0"/>
    <x v="0"/>
    <x v="1"/>
    <n v="40"/>
    <x v="3"/>
    <x v="1"/>
    <x v="9"/>
  </r>
  <r>
    <n v="1325"/>
    <x v="0"/>
    <x v="24"/>
    <n v="2019"/>
    <x v="0"/>
    <s v=" "/>
    <s v=" "/>
    <x v="0"/>
    <x v="0"/>
    <x v="0"/>
    <n v="48"/>
    <x v="3"/>
    <x v="1"/>
    <x v="0"/>
  </r>
  <r>
    <n v="1326"/>
    <x v="1"/>
    <x v="25"/>
    <n v="2022"/>
    <x v="0"/>
    <s v=" "/>
    <s v=" "/>
    <x v="0"/>
    <x v="0"/>
    <x v="0"/>
    <n v="52"/>
    <x v="1"/>
    <x v="2"/>
    <x v="2"/>
  </r>
  <r>
    <n v="1327"/>
    <x v="4"/>
    <x v="26"/>
    <n v="2020"/>
    <x v="10"/>
    <n v="2021"/>
    <n v="2"/>
    <x v="6"/>
    <x v="1"/>
    <x v="0"/>
    <n v="33"/>
    <x v="4"/>
    <x v="3"/>
    <x v="3"/>
  </r>
  <r>
    <n v="1328"/>
    <x v="2"/>
    <x v="27"/>
    <n v="2023"/>
    <x v="0"/>
    <s v=" "/>
    <s v=" "/>
    <x v="0"/>
    <x v="0"/>
    <x v="1"/>
    <n v="51"/>
    <x v="1"/>
    <x v="0"/>
    <x v="10"/>
  </r>
  <r>
    <n v="1329"/>
    <x v="0"/>
    <x v="28"/>
    <n v="2021"/>
    <x v="11"/>
    <n v="2022"/>
    <n v="2"/>
    <x v="3"/>
    <x v="1"/>
    <x v="1"/>
    <n v="46"/>
    <x v="3"/>
    <x v="6"/>
    <x v="4"/>
  </r>
  <r>
    <n v="1330"/>
    <x v="2"/>
    <x v="29"/>
    <n v="2018"/>
    <x v="12"/>
    <n v="2021"/>
    <n v="4"/>
    <x v="1"/>
    <x v="1"/>
    <x v="0"/>
    <n v="53"/>
    <x v="1"/>
    <x v="0"/>
    <x v="9"/>
  </r>
  <r>
    <n v="1331"/>
    <x v="5"/>
    <x v="30"/>
    <n v="2021"/>
    <x v="0"/>
    <s v=" "/>
    <s v=" "/>
    <x v="0"/>
    <x v="0"/>
    <x v="0"/>
    <n v="35"/>
    <x v="4"/>
    <x v="0"/>
    <x v="0"/>
  </r>
  <r>
    <n v="1332"/>
    <x v="0"/>
    <x v="31"/>
    <n v="2024"/>
    <x v="0"/>
    <s v=" "/>
    <s v=" "/>
    <x v="0"/>
    <x v="0"/>
    <x v="0"/>
    <n v="32"/>
    <x v="4"/>
    <x v="1"/>
    <x v="1"/>
  </r>
  <r>
    <n v="1333"/>
    <x v="5"/>
    <x v="32"/>
    <n v="2021"/>
    <x v="0"/>
    <s v=" "/>
    <s v=" "/>
    <x v="0"/>
    <x v="0"/>
    <x v="0"/>
    <n v="46"/>
    <x v="3"/>
    <x v="0"/>
    <x v="2"/>
  </r>
  <r>
    <n v="1334"/>
    <x v="0"/>
    <x v="33"/>
    <n v="2020"/>
    <x v="0"/>
    <s v=" "/>
    <s v=" "/>
    <x v="0"/>
    <x v="0"/>
    <x v="0"/>
    <n v="50"/>
    <x v="1"/>
    <x v="2"/>
    <x v="3"/>
  </r>
  <r>
    <n v="1335"/>
    <x v="2"/>
    <x v="34"/>
    <n v="2018"/>
    <x v="13"/>
    <n v="2022"/>
    <n v="5"/>
    <x v="2"/>
    <x v="1"/>
    <x v="0"/>
    <n v="64"/>
    <x v="2"/>
    <x v="5"/>
    <x v="4"/>
  </r>
  <r>
    <n v="1336"/>
    <x v="2"/>
    <x v="35"/>
    <n v="2018"/>
    <x v="0"/>
    <s v=" "/>
    <s v=" "/>
    <x v="0"/>
    <x v="0"/>
    <x v="1"/>
    <n v="29"/>
    <x v="0"/>
    <x v="0"/>
    <x v="5"/>
  </r>
  <r>
    <n v="1337"/>
    <x v="2"/>
    <x v="36"/>
    <n v="2021"/>
    <x v="14"/>
    <n v="2024"/>
    <n v="4"/>
    <x v="1"/>
    <x v="1"/>
    <x v="0"/>
    <n v="27"/>
    <x v="0"/>
    <x v="1"/>
    <x v="6"/>
  </r>
  <r>
    <n v="1338"/>
    <x v="4"/>
    <x v="37"/>
    <n v="2021"/>
    <x v="15"/>
    <n v="2023"/>
    <n v="3"/>
    <x v="4"/>
    <x v="1"/>
    <x v="1"/>
    <n v="31"/>
    <x v="4"/>
    <x v="1"/>
    <x v="7"/>
  </r>
  <r>
    <n v="1339"/>
    <x v="0"/>
    <x v="38"/>
    <n v="2019"/>
    <x v="16"/>
    <n v="2022"/>
    <n v="4"/>
    <x v="3"/>
    <x v="1"/>
    <x v="1"/>
    <n v="24"/>
    <x v="0"/>
    <x v="2"/>
    <x v="8"/>
  </r>
  <r>
    <n v="1340"/>
    <x v="5"/>
    <x v="39"/>
    <n v="2020"/>
    <x v="0"/>
    <s v=" "/>
    <s v=" "/>
    <x v="0"/>
    <x v="0"/>
    <x v="0"/>
    <n v="37"/>
    <x v="4"/>
    <x v="3"/>
    <x v="9"/>
  </r>
  <r>
    <n v="1341"/>
    <x v="4"/>
    <x v="40"/>
    <n v="2020"/>
    <x v="0"/>
    <s v=" "/>
    <s v=" "/>
    <x v="0"/>
    <x v="0"/>
    <x v="1"/>
    <n v="23"/>
    <x v="0"/>
    <x v="0"/>
    <x v="10"/>
  </r>
  <r>
    <n v="1342"/>
    <x v="4"/>
    <x v="41"/>
    <n v="2024"/>
    <x v="0"/>
    <s v=" "/>
    <s v=" "/>
    <x v="0"/>
    <x v="0"/>
    <x v="0"/>
    <n v="31"/>
    <x v="4"/>
    <x v="4"/>
    <x v="2"/>
  </r>
  <r>
    <n v="1343"/>
    <x v="5"/>
    <x v="42"/>
    <n v="2024"/>
    <x v="0"/>
    <s v=" "/>
    <s v=" "/>
    <x v="0"/>
    <x v="0"/>
    <x v="0"/>
    <n v="52"/>
    <x v="1"/>
    <x v="0"/>
    <x v="4"/>
  </r>
  <r>
    <n v="1344"/>
    <x v="2"/>
    <x v="43"/>
    <n v="2022"/>
    <x v="0"/>
    <s v=" "/>
    <s v=" "/>
    <x v="0"/>
    <x v="0"/>
    <x v="1"/>
    <n v="25"/>
    <x v="0"/>
    <x v="0"/>
    <x v="9"/>
  </r>
  <r>
    <n v="1345"/>
    <x v="1"/>
    <x v="44"/>
    <n v="2023"/>
    <x v="0"/>
    <s v=" "/>
    <s v=" "/>
    <x v="0"/>
    <x v="0"/>
    <x v="0"/>
    <n v="46"/>
    <x v="3"/>
    <x v="1"/>
    <x v="1"/>
  </r>
  <r>
    <n v="1346"/>
    <x v="1"/>
    <x v="45"/>
    <n v="2019"/>
    <x v="17"/>
    <n v="2021"/>
    <n v="3"/>
    <x v="5"/>
    <x v="1"/>
    <x v="1"/>
    <n v="24"/>
    <x v="0"/>
    <x v="0"/>
    <x v="2"/>
  </r>
  <r>
    <n v="1347"/>
    <x v="1"/>
    <x v="46"/>
    <n v="2021"/>
    <x v="18"/>
    <n v="2024"/>
    <n v="4"/>
    <x v="7"/>
    <x v="1"/>
    <x v="1"/>
    <n v="38"/>
    <x v="4"/>
    <x v="2"/>
    <x v="3"/>
  </r>
  <r>
    <n v="1348"/>
    <x v="3"/>
    <x v="47"/>
    <n v="2019"/>
    <x v="0"/>
    <s v=" "/>
    <s v=" "/>
    <x v="0"/>
    <x v="0"/>
    <x v="0"/>
    <n v="49"/>
    <x v="3"/>
    <x v="5"/>
    <x v="4"/>
  </r>
  <r>
    <n v="1349"/>
    <x v="4"/>
    <x v="48"/>
    <n v="2024"/>
    <x v="0"/>
    <s v=" "/>
    <s v=" "/>
    <x v="0"/>
    <x v="0"/>
    <x v="0"/>
    <n v="31"/>
    <x v="4"/>
    <x v="0"/>
    <x v="9"/>
  </r>
  <r>
    <n v="1350"/>
    <x v="0"/>
    <x v="49"/>
    <n v="2018"/>
    <x v="19"/>
    <n v="2022"/>
    <n v="5"/>
    <x v="4"/>
    <x v="1"/>
    <x v="0"/>
    <n v="51"/>
    <x v="1"/>
    <x v="1"/>
    <x v="0"/>
  </r>
  <r>
    <n v="1351"/>
    <x v="0"/>
    <x v="0"/>
    <n v="2018"/>
    <x v="0"/>
    <s v=" "/>
    <s v=" "/>
    <x v="0"/>
    <x v="0"/>
    <x v="0"/>
    <n v="27"/>
    <x v="0"/>
    <x v="1"/>
    <x v="2"/>
  </r>
  <r>
    <n v="1352"/>
    <x v="1"/>
    <x v="1"/>
    <n v="2020"/>
    <x v="0"/>
    <s v=" "/>
    <s v=" "/>
    <x v="0"/>
    <x v="0"/>
    <x v="0"/>
    <n v="22"/>
    <x v="0"/>
    <x v="2"/>
    <x v="3"/>
  </r>
  <r>
    <n v="1353"/>
    <x v="1"/>
    <x v="2"/>
    <n v="2021"/>
    <x v="0"/>
    <s v=" "/>
    <s v=" "/>
    <x v="0"/>
    <x v="0"/>
    <x v="1"/>
    <n v="50"/>
    <x v="1"/>
    <x v="3"/>
    <x v="10"/>
  </r>
  <r>
    <n v="1354"/>
    <x v="1"/>
    <x v="3"/>
    <n v="2023"/>
    <x v="0"/>
    <s v=" "/>
    <s v=" "/>
    <x v="0"/>
    <x v="0"/>
    <x v="1"/>
    <n v="24"/>
    <x v="0"/>
    <x v="0"/>
    <x v="4"/>
  </r>
  <r>
    <n v="1355"/>
    <x v="1"/>
    <x v="4"/>
    <n v="2019"/>
    <x v="1"/>
    <n v="2021"/>
    <n v="3"/>
    <x v="1"/>
    <x v="1"/>
    <x v="1"/>
    <n v="50"/>
    <x v="1"/>
    <x v="6"/>
    <x v="9"/>
  </r>
  <r>
    <n v="1356"/>
    <x v="2"/>
    <x v="5"/>
    <n v="2022"/>
    <x v="2"/>
    <n v="2023"/>
    <n v="2"/>
    <x v="7"/>
    <x v="1"/>
    <x v="1"/>
    <n v="28"/>
    <x v="0"/>
    <x v="0"/>
    <x v="0"/>
  </r>
  <r>
    <n v="1357"/>
    <x v="3"/>
    <x v="6"/>
    <n v="2024"/>
    <x v="0"/>
    <s v=" "/>
    <s v=" "/>
    <x v="0"/>
    <x v="0"/>
    <x v="1"/>
    <n v="40"/>
    <x v="3"/>
    <x v="0"/>
    <x v="1"/>
  </r>
  <r>
    <n v="1358"/>
    <x v="0"/>
    <x v="7"/>
    <n v="2018"/>
    <x v="0"/>
    <s v=" "/>
    <s v=" "/>
    <x v="0"/>
    <x v="0"/>
    <x v="0"/>
    <n v="32"/>
    <x v="4"/>
    <x v="1"/>
    <x v="2"/>
  </r>
  <r>
    <n v="1359"/>
    <x v="1"/>
    <x v="8"/>
    <n v="2023"/>
    <x v="0"/>
    <s v=" "/>
    <s v=" "/>
    <x v="0"/>
    <x v="0"/>
    <x v="1"/>
    <n v="50"/>
    <x v="1"/>
    <x v="0"/>
    <x v="3"/>
  </r>
  <r>
    <n v="1360"/>
    <x v="4"/>
    <x v="9"/>
    <n v="2024"/>
    <x v="0"/>
    <s v=" "/>
    <s v=" "/>
    <x v="0"/>
    <x v="0"/>
    <x v="1"/>
    <n v="24"/>
    <x v="0"/>
    <x v="2"/>
    <x v="4"/>
  </r>
  <r>
    <n v="1361"/>
    <x v="5"/>
    <x v="10"/>
    <n v="2024"/>
    <x v="0"/>
    <s v=" "/>
    <s v=" "/>
    <x v="0"/>
    <x v="0"/>
    <x v="1"/>
    <n v="36"/>
    <x v="4"/>
    <x v="5"/>
    <x v="5"/>
  </r>
  <r>
    <n v="1362"/>
    <x v="3"/>
    <x v="11"/>
    <n v="2021"/>
    <x v="3"/>
    <n v="2024"/>
    <n v="4"/>
    <x v="7"/>
    <x v="1"/>
    <x v="0"/>
    <n v="49"/>
    <x v="3"/>
    <x v="0"/>
    <x v="6"/>
  </r>
  <r>
    <n v="1363"/>
    <x v="0"/>
    <x v="12"/>
    <n v="2018"/>
    <x v="4"/>
    <n v="2020"/>
    <n v="3"/>
    <x v="7"/>
    <x v="1"/>
    <x v="0"/>
    <n v="43"/>
    <x v="3"/>
    <x v="1"/>
    <x v="7"/>
  </r>
  <r>
    <n v="1364"/>
    <x v="1"/>
    <x v="13"/>
    <n v="2024"/>
    <x v="0"/>
    <s v=" "/>
    <s v=" "/>
    <x v="0"/>
    <x v="0"/>
    <x v="1"/>
    <n v="40"/>
    <x v="3"/>
    <x v="1"/>
    <x v="8"/>
  </r>
  <r>
    <n v="1365"/>
    <x v="1"/>
    <x v="14"/>
    <n v="2018"/>
    <x v="0"/>
    <s v=" "/>
    <s v=" "/>
    <x v="0"/>
    <x v="0"/>
    <x v="0"/>
    <n v="42"/>
    <x v="3"/>
    <x v="2"/>
    <x v="9"/>
  </r>
  <r>
    <n v="1366"/>
    <x v="0"/>
    <x v="15"/>
    <n v="2019"/>
    <x v="5"/>
    <n v="2022"/>
    <n v="4"/>
    <x v="4"/>
    <x v="1"/>
    <x v="0"/>
    <n v="35"/>
    <x v="4"/>
    <x v="3"/>
    <x v="10"/>
  </r>
  <r>
    <n v="1367"/>
    <x v="3"/>
    <x v="16"/>
    <n v="2019"/>
    <x v="6"/>
    <n v="2020"/>
    <n v="2"/>
    <x v="3"/>
    <x v="1"/>
    <x v="1"/>
    <n v="31"/>
    <x v="4"/>
    <x v="0"/>
    <x v="2"/>
  </r>
  <r>
    <n v="1368"/>
    <x v="5"/>
    <x v="17"/>
    <n v="2022"/>
    <x v="0"/>
    <s v=" "/>
    <s v=" "/>
    <x v="0"/>
    <x v="0"/>
    <x v="0"/>
    <n v="51"/>
    <x v="1"/>
    <x v="6"/>
    <x v="4"/>
  </r>
  <r>
    <n v="1369"/>
    <x v="0"/>
    <x v="18"/>
    <n v="2024"/>
    <x v="0"/>
    <s v=" "/>
    <s v=" "/>
    <x v="0"/>
    <x v="0"/>
    <x v="0"/>
    <n v="48"/>
    <x v="3"/>
    <x v="0"/>
    <x v="9"/>
  </r>
  <r>
    <n v="1370"/>
    <x v="3"/>
    <x v="19"/>
    <n v="2019"/>
    <x v="7"/>
    <n v="2022"/>
    <n v="4"/>
    <x v="5"/>
    <x v="1"/>
    <x v="0"/>
    <n v="41"/>
    <x v="3"/>
    <x v="0"/>
    <x v="1"/>
  </r>
  <r>
    <n v="1371"/>
    <x v="5"/>
    <x v="20"/>
    <n v="2021"/>
    <x v="8"/>
    <n v="2024"/>
    <n v="4"/>
    <x v="7"/>
    <x v="1"/>
    <x v="1"/>
    <n v="35"/>
    <x v="4"/>
    <x v="1"/>
    <x v="2"/>
  </r>
  <r>
    <n v="1372"/>
    <x v="2"/>
    <x v="21"/>
    <n v="2023"/>
    <x v="9"/>
    <n v="2024"/>
    <n v="2"/>
    <x v="4"/>
    <x v="1"/>
    <x v="0"/>
    <n v="24"/>
    <x v="0"/>
    <x v="0"/>
    <x v="3"/>
  </r>
  <r>
    <n v="1373"/>
    <x v="1"/>
    <x v="22"/>
    <n v="2023"/>
    <x v="0"/>
    <s v=" "/>
    <s v=" "/>
    <x v="0"/>
    <x v="0"/>
    <x v="1"/>
    <n v="41"/>
    <x v="3"/>
    <x v="2"/>
    <x v="4"/>
  </r>
  <r>
    <n v="1374"/>
    <x v="2"/>
    <x v="23"/>
    <n v="2024"/>
    <x v="0"/>
    <s v=" "/>
    <s v=" "/>
    <x v="0"/>
    <x v="0"/>
    <x v="1"/>
    <n v="40"/>
    <x v="3"/>
    <x v="5"/>
    <x v="9"/>
  </r>
  <r>
    <n v="1375"/>
    <x v="0"/>
    <x v="24"/>
    <n v="2019"/>
    <x v="0"/>
    <s v=" "/>
    <s v=" "/>
    <x v="0"/>
    <x v="0"/>
    <x v="1"/>
    <n v="48"/>
    <x v="3"/>
    <x v="0"/>
    <x v="0"/>
  </r>
  <r>
    <n v="1376"/>
    <x v="1"/>
    <x v="25"/>
    <n v="2022"/>
    <x v="0"/>
    <s v=" "/>
    <s v=" "/>
    <x v="0"/>
    <x v="0"/>
    <x v="0"/>
    <n v="52"/>
    <x v="1"/>
    <x v="1"/>
    <x v="2"/>
  </r>
  <r>
    <n v="1377"/>
    <x v="4"/>
    <x v="26"/>
    <n v="2020"/>
    <x v="10"/>
    <n v="2021"/>
    <n v="2"/>
    <x v="6"/>
    <x v="1"/>
    <x v="0"/>
    <n v="33"/>
    <x v="4"/>
    <x v="1"/>
    <x v="3"/>
  </r>
  <r>
    <n v="1378"/>
    <x v="2"/>
    <x v="27"/>
    <n v="2023"/>
    <x v="0"/>
    <s v=" "/>
    <s v=" "/>
    <x v="0"/>
    <x v="0"/>
    <x v="1"/>
    <n v="51"/>
    <x v="1"/>
    <x v="2"/>
    <x v="10"/>
  </r>
  <r>
    <n v="1379"/>
    <x v="0"/>
    <x v="28"/>
    <n v="2021"/>
    <x v="11"/>
    <n v="2022"/>
    <n v="2"/>
    <x v="7"/>
    <x v="1"/>
    <x v="1"/>
    <n v="46"/>
    <x v="3"/>
    <x v="3"/>
    <x v="4"/>
  </r>
  <r>
    <n v="1380"/>
    <x v="2"/>
    <x v="29"/>
    <n v="2018"/>
    <x v="12"/>
    <n v="2021"/>
    <n v="4"/>
    <x v="1"/>
    <x v="1"/>
    <x v="0"/>
    <n v="53"/>
    <x v="1"/>
    <x v="0"/>
    <x v="9"/>
  </r>
  <r>
    <n v="1381"/>
    <x v="5"/>
    <x v="30"/>
    <n v="2021"/>
    <x v="0"/>
    <s v=" "/>
    <s v=" "/>
    <x v="0"/>
    <x v="0"/>
    <x v="0"/>
    <n v="35"/>
    <x v="4"/>
    <x v="4"/>
    <x v="0"/>
  </r>
  <r>
    <n v="1382"/>
    <x v="0"/>
    <x v="31"/>
    <n v="2024"/>
    <x v="0"/>
    <s v=" "/>
    <s v=" "/>
    <x v="0"/>
    <x v="0"/>
    <x v="0"/>
    <n v="32"/>
    <x v="4"/>
    <x v="0"/>
    <x v="1"/>
  </r>
  <r>
    <n v="1383"/>
    <x v="5"/>
    <x v="32"/>
    <n v="2021"/>
    <x v="0"/>
    <s v=" "/>
    <s v=" "/>
    <x v="0"/>
    <x v="0"/>
    <x v="0"/>
    <n v="46"/>
    <x v="3"/>
    <x v="0"/>
    <x v="2"/>
  </r>
  <r>
    <n v="1384"/>
    <x v="0"/>
    <x v="33"/>
    <n v="2020"/>
    <x v="0"/>
    <s v=" "/>
    <s v=" "/>
    <x v="0"/>
    <x v="0"/>
    <x v="1"/>
    <n v="50"/>
    <x v="1"/>
    <x v="1"/>
    <x v="3"/>
  </r>
  <r>
    <n v="1385"/>
    <x v="2"/>
    <x v="34"/>
    <n v="2018"/>
    <x v="13"/>
    <n v="2022"/>
    <n v="5"/>
    <x v="2"/>
    <x v="1"/>
    <x v="0"/>
    <n v="64"/>
    <x v="2"/>
    <x v="0"/>
    <x v="4"/>
  </r>
  <r>
    <n v="1386"/>
    <x v="2"/>
    <x v="35"/>
    <n v="2018"/>
    <x v="0"/>
    <s v=" "/>
    <s v=" "/>
    <x v="0"/>
    <x v="0"/>
    <x v="1"/>
    <n v="29"/>
    <x v="0"/>
    <x v="2"/>
    <x v="5"/>
  </r>
  <r>
    <n v="1387"/>
    <x v="2"/>
    <x v="36"/>
    <n v="2021"/>
    <x v="14"/>
    <n v="2024"/>
    <n v="4"/>
    <x v="1"/>
    <x v="1"/>
    <x v="1"/>
    <n v="27"/>
    <x v="0"/>
    <x v="7"/>
    <x v="6"/>
  </r>
  <r>
    <n v="1388"/>
    <x v="4"/>
    <x v="37"/>
    <n v="2021"/>
    <x v="15"/>
    <n v="2023"/>
    <n v="3"/>
    <x v="4"/>
    <x v="1"/>
    <x v="0"/>
    <n v="31"/>
    <x v="4"/>
    <x v="0"/>
    <x v="7"/>
  </r>
  <r>
    <n v="1389"/>
    <x v="0"/>
    <x v="38"/>
    <n v="2019"/>
    <x v="16"/>
    <n v="2022"/>
    <n v="4"/>
    <x v="7"/>
    <x v="1"/>
    <x v="0"/>
    <n v="24"/>
    <x v="0"/>
    <x v="1"/>
    <x v="8"/>
  </r>
  <r>
    <n v="1390"/>
    <x v="5"/>
    <x v="39"/>
    <n v="2020"/>
    <x v="0"/>
    <s v=" "/>
    <s v=" "/>
    <x v="0"/>
    <x v="0"/>
    <x v="0"/>
    <n v="37"/>
    <x v="4"/>
    <x v="1"/>
    <x v="9"/>
  </r>
  <r>
    <n v="1391"/>
    <x v="4"/>
    <x v="40"/>
    <n v="2020"/>
    <x v="0"/>
    <s v=" "/>
    <s v=" "/>
    <x v="0"/>
    <x v="0"/>
    <x v="1"/>
    <n v="23"/>
    <x v="0"/>
    <x v="2"/>
    <x v="10"/>
  </r>
  <r>
    <n v="1392"/>
    <x v="4"/>
    <x v="41"/>
    <n v="2024"/>
    <x v="0"/>
    <s v=" "/>
    <s v=" "/>
    <x v="0"/>
    <x v="0"/>
    <x v="0"/>
    <n v="31"/>
    <x v="4"/>
    <x v="3"/>
    <x v="2"/>
  </r>
  <r>
    <n v="1393"/>
    <x v="5"/>
    <x v="42"/>
    <n v="2024"/>
    <x v="0"/>
    <s v=" "/>
    <s v=" "/>
    <x v="0"/>
    <x v="0"/>
    <x v="1"/>
    <n v="52"/>
    <x v="1"/>
    <x v="0"/>
    <x v="4"/>
  </r>
  <r>
    <n v="1394"/>
    <x v="2"/>
    <x v="43"/>
    <n v="2022"/>
    <x v="0"/>
    <s v=" "/>
    <s v=" "/>
    <x v="0"/>
    <x v="0"/>
    <x v="0"/>
    <n v="25"/>
    <x v="0"/>
    <x v="4"/>
    <x v="9"/>
  </r>
  <r>
    <n v="1395"/>
    <x v="1"/>
    <x v="44"/>
    <n v="2023"/>
    <x v="0"/>
    <s v=" "/>
    <s v=" "/>
    <x v="0"/>
    <x v="0"/>
    <x v="0"/>
    <n v="46"/>
    <x v="3"/>
    <x v="0"/>
    <x v="1"/>
  </r>
  <r>
    <n v="1396"/>
    <x v="1"/>
    <x v="45"/>
    <n v="2019"/>
    <x v="17"/>
    <n v="2021"/>
    <n v="3"/>
    <x v="5"/>
    <x v="1"/>
    <x v="1"/>
    <n v="24"/>
    <x v="0"/>
    <x v="0"/>
    <x v="2"/>
  </r>
  <r>
    <n v="1397"/>
    <x v="1"/>
    <x v="46"/>
    <n v="2021"/>
    <x v="18"/>
    <n v="2024"/>
    <n v="4"/>
    <x v="5"/>
    <x v="1"/>
    <x v="1"/>
    <n v="38"/>
    <x v="4"/>
    <x v="1"/>
    <x v="3"/>
  </r>
  <r>
    <n v="1398"/>
    <x v="3"/>
    <x v="47"/>
    <n v="2019"/>
    <x v="0"/>
    <s v=" "/>
    <s v=" "/>
    <x v="0"/>
    <x v="0"/>
    <x v="0"/>
    <n v="49"/>
    <x v="3"/>
    <x v="0"/>
    <x v="4"/>
  </r>
  <r>
    <n v="1399"/>
    <x v="4"/>
    <x v="48"/>
    <n v="2024"/>
    <x v="0"/>
    <s v=" "/>
    <s v=" "/>
    <x v="0"/>
    <x v="0"/>
    <x v="1"/>
    <n v="31"/>
    <x v="4"/>
    <x v="2"/>
    <x v="9"/>
  </r>
  <r>
    <n v="1400"/>
    <x v="0"/>
    <x v="49"/>
    <n v="2018"/>
    <x v="19"/>
    <n v="2022"/>
    <n v="5"/>
    <x v="4"/>
    <x v="1"/>
    <x v="0"/>
    <n v="51"/>
    <x v="1"/>
    <x v="5"/>
    <x v="0"/>
  </r>
  <r>
    <n v="1401"/>
    <x v="0"/>
    <x v="0"/>
    <n v="2018"/>
    <x v="0"/>
    <s v=" "/>
    <s v=" "/>
    <x v="0"/>
    <x v="0"/>
    <x v="0"/>
    <n v="27"/>
    <x v="0"/>
    <x v="0"/>
    <x v="2"/>
  </r>
  <r>
    <n v="1402"/>
    <x v="1"/>
    <x v="1"/>
    <n v="2020"/>
    <x v="0"/>
    <s v=" "/>
    <s v=" "/>
    <x v="0"/>
    <x v="0"/>
    <x v="0"/>
    <n v="22"/>
    <x v="0"/>
    <x v="1"/>
    <x v="3"/>
  </r>
  <r>
    <n v="1403"/>
    <x v="1"/>
    <x v="2"/>
    <n v="2021"/>
    <x v="0"/>
    <s v=" "/>
    <s v=" "/>
    <x v="0"/>
    <x v="0"/>
    <x v="1"/>
    <n v="50"/>
    <x v="1"/>
    <x v="1"/>
    <x v="10"/>
  </r>
  <r>
    <n v="1404"/>
    <x v="1"/>
    <x v="3"/>
    <n v="2023"/>
    <x v="0"/>
    <s v=" "/>
    <s v=" "/>
    <x v="0"/>
    <x v="0"/>
    <x v="0"/>
    <n v="24"/>
    <x v="0"/>
    <x v="2"/>
    <x v="4"/>
  </r>
  <r>
    <n v="1405"/>
    <x v="1"/>
    <x v="4"/>
    <n v="2019"/>
    <x v="1"/>
    <n v="2021"/>
    <n v="3"/>
    <x v="7"/>
    <x v="1"/>
    <x v="1"/>
    <n v="50"/>
    <x v="1"/>
    <x v="3"/>
    <x v="9"/>
  </r>
  <r>
    <n v="1406"/>
    <x v="2"/>
    <x v="5"/>
    <n v="2022"/>
    <x v="2"/>
    <n v="2023"/>
    <n v="2"/>
    <x v="7"/>
    <x v="1"/>
    <x v="0"/>
    <n v="28"/>
    <x v="0"/>
    <x v="0"/>
    <x v="0"/>
  </r>
  <r>
    <n v="1407"/>
    <x v="3"/>
    <x v="6"/>
    <n v="2024"/>
    <x v="0"/>
    <s v=" "/>
    <s v=" "/>
    <x v="0"/>
    <x v="0"/>
    <x v="1"/>
    <n v="40"/>
    <x v="3"/>
    <x v="4"/>
    <x v="1"/>
  </r>
  <r>
    <n v="1408"/>
    <x v="0"/>
    <x v="7"/>
    <n v="2018"/>
    <x v="0"/>
    <s v=" "/>
    <s v=" "/>
    <x v="0"/>
    <x v="0"/>
    <x v="1"/>
    <n v="32"/>
    <x v="4"/>
    <x v="0"/>
    <x v="2"/>
  </r>
  <r>
    <n v="1409"/>
    <x v="1"/>
    <x v="8"/>
    <n v="2023"/>
    <x v="0"/>
    <s v=" "/>
    <s v=" "/>
    <x v="0"/>
    <x v="0"/>
    <x v="0"/>
    <n v="50"/>
    <x v="1"/>
    <x v="0"/>
    <x v="3"/>
  </r>
  <r>
    <n v="1410"/>
    <x v="4"/>
    <x v="9"/>
    <n v="2024"/>
    <x v="0"/>
    <s v=" "/>
    <s v=" "/>
    <x v="0"/>
    <x v="0"/>
    <x v="1"/>
    <n v="24"/>
    <x v="0"/>
    <x v="1"/>
    <x v="4"/>
  </r>
  <r>
    <n v="1411"/>
    <x v="5"/>
    <x v="10"/>
    <n v="2024"/>
    <x v="0"/>
    <s v=" "/>
    <s v=" "/>
    <x v="0"/>
    <x v="0"/>
    <x v="1"/>
    <n v="36"/>
    <x v="4"/>
    <x v="0"/>
    <x v="5"/>
  </r>
  <r>
    <n v="1412"/>
    <x v="3"/>
    <x v="11"/>
    <n v="2021"/>
    <x v="3"/>
    <n v="2024"/>
    <n v="4"/>
    <x v="7"/>
    <x v="1"/>
    <x v="0"/>
    <n v="49"/>
    <x v="3"/>
    <x v="2"/>
    <x v="6"/>
  </r>
  <r>
    <n v="1413"/>
    <x v="0"/>
    <x v="12"/>
    <n v="2018"/>
    <x v="4"/>
    <n v="2020"/>
    <n v="3"/>
    <x v="3"/>
    <x v="1"/>
    <x v="0"/>
    <n v="43"/>
    <x v="3"/>
    <x v="5"/>
    <x v="7"/>
  </r>
  <r>
    <n v="1414"/>
    <x v="1"/>
    <x v="13"/>
    <n v="2024"/>
    <x v="0"/>
    <s v=" "/>
    <s v=" "/>
    <x v="0"/>
    <x v="0"/>
    <x v="1"/>
    <n v="40"/>
    <x v="3"/>
    <x v="0"/>
    <x v="8"/>
  </r>
  <r>
    <n v="1415"/>
    <x v="1"/>
    <x v="14"/>
    <n v="2018"/>
    <x v="0"/>
    <s v=" "/>
    <s v=" "/>
    <x v="0"/>
    <x v="0"/>
    <x v="1"/>
    <n v="42"/>
    <x v="3"/>
    <x v="1"/>
    <x v="9"/>
  </r>
  <r>
    <n v="1416"/>
    <x v="0"/>
    <x v="15"/>
    <n v="2019"/>
    <x v="5"/>
    <n v="2022"/>
    <n v="4"/>
    <x v="4"/>
    <x v="1"/>
    <x v="0"/>
    <n v="35"/>
    <x v="4"/>
    <x v="1"/>
    <x v="10"/>
  </r>
  <r>
    <n v="1417"/>
    <x v="3"/>
    <x v="16"/>
    <n v="2019"/>
    <x v="6"/>
    <n v="2020"/>
    <n v="2"/>
    <x v="3"/>
    <x v="1"/>
    <x v="1"/>
    <n v="31"/>
    <x v="4"/>
    <x v="2"/>
    <x v="2"/>
  </r>
  <r>
    <n v="1418"/>
    <x v="5"/>
    <x v="17"/>
    <n v="2022"/>
    <x v="0"/>
    <s v=" "/>
    <s v=" "/>
    <x v="0"/>
    <x v="0"/>
    <x v="0"/>
    <n v="51"/>
    <x v="1"/>
    <x v="3"/>
    <x v="4"/>
  </r>
  <r>
    <n v="1419"/>
    <x v="0"/>
    <x v="18"/>
    <n v="2024"/>
    <x v="0"/>
    <s v=" "/>
    <s v=" "/>
    <x v="0"/>
    <x v="0"/>
    <x v="0"/>
    <n v="48"/>
    <x v="3"/>
    <x v="0"/>
    <x v="9"/>
  </r>
  <r>
    <n v="1420"/>
    <x v="3"/>
    <x v="19"/>
    <n v="2019"/>
    <x v="7"/>
    <n v="2022"/>
    <n v="4"/>
    <x v="5"/>
    <x v="1"/>
    <x v="0"/>
    <n v="41"/>
    <x v="3"/>
    <x v="6"/>
    <x v="1"/>
  </r>
  <r>
    <n v="1421"/>
    <x v="5"/>
    <x v="20"/>
    <n v="2021"/>
    <x v="8"/>
    <n v="2024"/>
    <n v="4"/>
    <x v="7"/>
    <x v="1"/>
    <x v="1"/>
    <n v="35"/>
    <x v="4"/>
    <x v="0"/>
    <x v="2"/>
  </r>
  <r>
    <n v="1422"/>
    <x v="2"/>
    <x v="21"/>
    <n v="2023"/>
    <x v="9"/>
    <n v="2024"/>
    <n v="2"/>
    <x v="4"/>
    <x v="1"/>
    <x v="0"/>
    <n v="24"/>
    <x v="0"/>
    <x v="0"/>
    <x v="3"/>
  </r>
  <r>
    <n v="1423"/>
    <x v="1"/>
    <x v="22"/>
    <n v="2023"/>
    <x v="0"/>
    <s v=" "/>
    <s v=" "/>
    <x v="0"/>
    <x v="0"/>
    <x v="1"/>
    <n v="41"/>
    <x v="3"/>
    <x v="1"/>
    <x v="4"/>
  </r>
  <r>
    <n v="1424"/>
    <x v="2"/>
    <x v="23"/>
    <n v="2024"/>
    <x v="0"/>
    <s v=" "/>
    <s v=" "/>
    <x v="0"/>
    <x v="0"/>
    <x v="0"/>
    <n v="40"/>
    <x v="3"/>
    <x v="0"/>
    <x v="9"/>
  </r>
  <r>
    <n v="1425"/>
    <x v="0"/>
    <x v="24"/>
    <n v="2019"/>
    <x v="0"/>
    <s v=" "/>
    <s v=" "/>
    <x v="0"/>
    <x v="0"/>
    <x v="1"/>
    <n v="48"/>
    <x v="3"/>
    <x v="2"/>
    <x v="0"/>
  </r>
  <r>
    <n v="1426"/>
    <x v="1"/>
    <x v="25"/>
    <n v="2022"/>
    <x v="0"/>
    <s v=" "/>
    <s v=" "/>
    <x v="0"/>
    <x v="0"/>
    <x v="1"/>
    <n v="52"/>
    <x v="1"/>
    <x v="5"/>
    <x v="2"/>
  </r>
  <r>
    <n v="1427"/>
    <x v="4"/>
    <x v="26"/>
    <n v="2020"/>
    <x v="10"/>
    <n v="2021"/>
    <n v="2"/>
    <x v="7"/>
    <x v="1"/>
    <x v="0"/>
    <n v="33"/>
    <x v="4"/>
    <x v="0"/>
    <x v="3"/>
  </r>
  <r>
    <n v="1428"/>
    <x v="2"/>
    <x v="27"/>
    <n v="2023"/>
    <x v="0"/>
    <s v=" "/>
    <s v=" "/>
    <x v="0"/>
    <x v="0"/>
    <x v="1"/>
    <n v="51"/>
    <x v="1"/>
    <x v="1"/>
    <x v="10"/>
  </r>
  <r>
    <n v="1429"/>
    <x v="0"/>
    <x v="28"/>
    <n v="2021"/>
    <x v="11"/>
    <n v="2022"/>
    <n v="2"/>
    <x v="3"/>
    <x v="1"/>
    <x v="1"/>
    <n v="46"/>
    <x v="3"/>
    <x v="1"/>
    <x v="4"/>
  </r>
  <r>
    <n v="1430"/>
    <x v="2"/>
    <x v="29"/>
    <n v="2018"/>
    <x v="12"/>
    <n v="2021"/>
    <n v="4"/>
    <x v="1"/>
    <x v="1"/>
    <x v="0"/>
    <n v="53"/>
    <x v="1"/>
    <x v="2"/>
    <x v="9"/>
  </r>
  <r>
    <n v="1431"/>
    <x v="5"/>
    <x v="30"/>
    <n v="2021"/>
    <x v="0"/>
    <s v=" "/>
    <s v=" "/>
    <x v="0"/>
    <x v="0"/>
    <x v="0"/>
    <n v="35"/>
    <x v="4"/>
    <x v="3"/>
    <x v="0"/>
  </r>
  <r>
    <n v="1432"/>
    <x v="0"/>
    <x v="31"/>
    <n v="2024"/>
    <x v="0"/>
    <s v=" "/>
    <s v=" "/>
    <x v="0"/>
    <x v="0"/>
    <x v="0"/>
    <n v="32"/>
    <x v="4"/>
    <x v="0"/>
    <x v="1"/>
  </r>
  <r>
    <n v="1433"/>
    <x v="5"/>
    <x v="32"/>
    <n v="2021"/>
    <x v="0"/>
    <s v=" "/>
    <s v=" "/>
    <x v="0"/>
    <x v="0"/>
    <x v="1"/>
    <n v="46"/>
    <x v="3"/>
    <x v="6"/>
    <x v="2"/>
  </r>
  <r>
    <n v="1434"/>
    <x v="0"/>
    <x v="33"/>
    <n v="2020"/>
    <x v="0"/>
    <s v=" "/>
    <s v=" "/>
    <x v="0"/>
    <x v="0"/>
    <x v="1"/>
    <n v="50"/>
    <x v="1"/>
    <x v="0"/>
    <x v="3"/>
  </r>
  <r>
    <n v="1435"/>
    <x v="2"/>
    <x v="34"/>
    <n v="2018"/>
    <x v="13"/>
    <n v="2022"/>
    <n v="5"/>
    <x v="2"/>
    <x v="1"/>
    <x v="0"/>
    <n v="63"/>
    <x v="2"/>
    <x v="0"/>
    <x v="4"/>
  </r>
  <r>
    <n v="1436"/>
    <x v="2"/>
    <x v="35"/>
    <n v="2018"/>
    <x v="0"/>
    <s v=" "/>
    <s v=" "/>
    <x v="0"/>
    <x v="0"/>
    <x v="1"/>
    <n v="29"/>
    <x v="0"/>
    <x v="1"/>
    <x v="5"/>
  </r>
  <r>
    <n v="1437"/>
    <x v="2"/>
    <x v="36"/>
    <n v="2021"/>
    <x v="14"/>
    <n v="2024"/>
    <n v="4"/>
    <x v="7"/>
    <x v="1"/>
    <x v="0"/>
    <n v="27"/>
    <x v="0"/>
    <x v="0"/>
    <x v="6"/>
  </r>
  <r>
    <n v="1438"/>
    <x v="4"/>
    <x v="37"/>
    <n v="2021"/>
    <x v="15"/>
    <n v="2023"/>
    <n v="3"/>
    <x v="4"/>
    <x v="1"/>
    <x v="0"/>
    <n v="31"/>
    <x v="4"/>
    <x v="2"/>
    <x v="7"/>
  </r>
  <r>
    <n v="1439"/>
    <x v="0"/>
    <x v="38"/>
    <n v="2019"/>
    <x v="16"/>
    <n v="2022"/>
    <n v="4"/>
    <x v="3"/>
    <x v="1"/>
    <x v="0"/>
    <n v="24"/>
    <x v="0"/>
    <x v="7"/>
    <x v="8"/>
  </r>
  <r>
    <n v="1440"/>
    <x v="5"/>
    <x v="39"/>
    <n v="2020"/>
    <x v="0"/>
    <s v=" "/>
    <s v=" "/>
    <x v="0"/>
    <x v="0"/>
    <x v="1"/>
    <n v="37"/>
    <x v="4"/>
    <x v="0"/>
    <x v="9"/>
  </r>
  <r>
    <n v="1441"/>
    <x v="4"/>
    <x v="40"/>
    <n v="2020"/>
    <x v="0"/>
    <s v=" "/>
    <s v=" "/>
    <x v="0"/>
    <x v="0"/>
    <x v="0"/>
    <n v="23"/>
    <x v="0"/>
    <x v="1"/>
    <x v="10"/>
  </r>
  <r>
    <n v="1442"/>
    <x v="4"/>
    <x v="41"/>
    <n v="2024"/>
    <x v="0"/>
    <s v=" "/>
    <s v=" "/>
    <x v="0"/>
    <x v="0"/>
    <x v="1"/>
    <n v="31"/>
    <x v="4"/>
    <x v="1"/>
    <x v="2"/>
  </r>
  <r>
    <n v="1443"/>
    <x v="5"/>
    <x v="42"/>
    <n v="2024"/>
    <x v="0"/>
    <s v=" "/>
    <s v=" "/>
    <x v="0"/>
    <x v="0"/>
    <x v="0"/>
    <n v="52"/>
    <x v="1"/>
    <x v="2"/>
    <x v="4"/>
  </r>
  <r>
    <n v="1444"/>
    <x v="2"/>
    <x v="43"/>
    <n v="2022"/>
    <x v="0"/>
    <s v=" "/>
    <s v=" "/>
    <x v="0"/>
    <x v="0"/>
    <x v="1"/>
    <n v="25"/>
    <x v="0"/>
    <x v="3"/>
    <x v="9"/>
  </r>
  <r>
    <n v="1445"/>
    <x v="1"/>
    <x v="44"/>
    <n v="2023"/>
    <x v="0"/>
    <s v=" "/>
    <s v=" "/>
    <x v="0"/>
    <x v="0"/>
    <x v="1"/>
    <n v="46"/>
    <x v="3"/>
    <x v="0"/>
    <x v="1"/>
  </r>
  <r>
    <n v="1446"/>
    <x v="1"/>
    <x v="45"/>
    <n v="2019"/>
    <x v="17"/>
    <n v="2021"/>
    <n v="3"/>
    <x v="5"/>
    <x v="1"/>
    <x v="0"/>
    <n v="24"/>
    <x v="0"/>
    <x v="7"/>
    <x v="2"/>
  </r>
  <r>
    <n v="1447"/>
    <x v="1"/>
    <x v="46"/>
    <n v="2021"/>
    <x v="18"/>
    <n v="2024"/>
    <n v="4"/>
    <x v="5"/>
    <x v="1"/>
    <x v="1"/>
    <n v="38"/>
    <x v="4"/>
    <x v="0"/>
    <x v="3"/>
  </r>
  <r>
    <n v="1448"/>
    <x v="3"/>
    <x v="47"/>
    <n v="2019"/>
    <x v="0"/>
    <s v=" "/>
    <s v=" "/>
    <x v="0"/>
    <x v="0"/>
    <x v="1"/>
    <n v="49"/>
    <x v="3"/>
    <x v="0"/>
    <x v="4"/>
  </r>
  <r>
    <n v="1449"/>
    <x v="4"/>
    <x v="48"/>
    <n v="2024"/>
    <x v="0"/>
    <s v=" "/>
    <s v=" "/>
    <x v="0"/>
    <x v="0"/>
    <x v="0"/>
    <n v="31"/>
    <x v="4"/>
    <x v="1"/>
    <x v="9"/>
  </r>
  <r>
    <n v="1450"/>
    <x v="0"/>
    <x v="49"/>
    <n v="2018"/>
    <x v="19"/>
    <n v="2022"/>
    <n v="5"/>
    <x v="4"/>
    <x v="1"/>
    <x v="0"/>
    <n v="51"/>
    <x v="1"/>
    <x v="0"/>
    <x v="0"/>
  </r>
  <r>
    <n v="1451"/>
    <x v="0"/>
    <x v="0"/>
    <n v="2018"/>
    <x v="0"/>
    <s v=" "/>
    <s v=" "/>
    <x v="0"/>
    <x v="0"/>
    <x v="0"/>
    <n v="27"/>
    <x v="0"/>
    <x v="2"/>
    <x v="2"/>
  </r>
  <r>
    <n v="1452"/>
    <x v="1"/>
    <x v="1"/>
    <n v="2020"/>
    <x v="0"/>
    <s v=" "/>
    <s v=" "/>
    <x v="0"/>
    <x v="0"/>
    <x v="1"/>
    <n v="22"/>
    <x v="0"/>
    <x v="7"/>
    <x v="3"/>
  </r>
  <r>
    <n v="1453"/>
    <x v="1"/>
    <x v="2"/>
    <n v="2021"/>
    <x v="0"/>
    <s v=" "/>
    <s v=" "/>
    <x v="0"/>
    <x v="0"/>
    <x v="1"/>
    <n v="50"/>
    <x v="1"/>
    <x v="0"/>
    <x v="10"/>
  </r>
  <r>
    <n v="1454"/>
    <x v="1"/>
    <x v="3"/>
    <n v="2023"/>
    <x v="0"/>
    <s v=" "/>
    <s v=" "/>
    <x v="0"/>
    <x v="0"/>
    <x v="0"/>
    <n v="24"/>
    <x v="0"/>
    <x v="1"/>
    <x v="4"/>
  </r>
  <r>
    <n v="1455"/>
    <x v="1"/>
    <x v="4"/>
    <n v="2019"/>
    <x v="1"/>
    <n v="2021"/>
    <n v="3"/>
    <x v="1"/>
    <x v="1"/>
    <x v="1"/>
    <n v="50"/>
    <x v="1"/>
    <x v="1"/>
    <x v="9"/>
  </r>
  <r>
    <n v="1456"/>
    <x v="2"/>
    <x v="5"/>
    <n v="2022"/>
    <x v="2"/>
    <n v="2023"/>
    <n v="2"/>
    <x v="7"/>
    <x v="1"/>
    <x v="0"/>
    <n v="28"/>
    <x v="0"/>
    <x v="2"/>
    <x v="0"/>
  </r>
  <r>
    <n v="1457"/>
    <x v="3"/>
    <x v="6"/>
    <n v="2024"/>
    <x v="0"/>
    <s v=" "/>
    <s v=" "/>
    <x v="0"/>
    <x v="0"/>
    <x v="0"/>
    <n v="40"/>
    <x v="3"/>
    <x v="3"/>
    <x v="1"/>
  </r>
  <r>
    <n v="1458"/>
    <x v="0"/>
    <x v="7"/>
    <n v="2018"/>
    <x v="0"/>
    <s v=" "/>
    <s v=" "/>
    <x v="0"/>
    <x v="0"/>
    <x v="0"/>
    <n v="32"/>
    <x v="4"/>
    <x v="0"/>
    <x v="2"/>
  </r>
  <r>
    <n v="1459"/>
    <x v="1"/>
    <x v="8"/>
    <n v="2023"/>
    <x v="0"/>
    <s v=" "/>
    <s v=" "/>
    <x v="0"/>
    <x v="0"/>
    <x v="1"/>
    <n v="50"/>
    <x v="1"/>
    <x v="6"/>
    <x v="3"/>
  </r>
  <r>
    <n v="1460"/>
    <x v="4"/>
    <x v="9"/>
    <n v="2024"/>
    <x v="0"/>
    <s v=" "/>
    <s v=" "/>
    <x v="0"/>
    <x v="0"/>
    <x v="0"/>
    <n v="24"/>
    <x v="0"/>
    <x v="0"/>
    <x v="4"/>
  </r>
  <r>
    <n v="1461"/>
    <x v="5"/>
    <x v="10"/>
    <n v="2024"/>
    <x v="0"/>
    <s v=" "/>
    <s v=" "/>
    <x v="0"/>
    <x v="0"/>
    <x v="1"/>
    <n v="36"/>
    <x v="4"/>
    <x v="0"/>
    <x v="5"/>
  </r>
  <r>
    <n v="1462"/>
    <x v="3"/>
    <x v="11"/>
    <n v="2021"/>
    <x v="3"/>
    <n v="2024"/>
    <n v="4"/>
    <x v="7"/>
    <x v="1"/>
    <x v="0"/>
    <n v="49"/>
    <x v="3"/>
    <x v="1"/>
    <x v="6"/>
  </r>
  <r>
    <n v="1463"/>
    <x v="0"/>
    <x v="12"/>
    <n v="2018"/>
    <x v="4"/>
    <n v="2020"/>
    <n v="3"/>
    <x v="3"/>
    <x v="1"/>
    <x v="1"/>
    <n v="43"/>
    <x v="3"/>
    <x v="0"/>
    <x v="7"/>
  </r>
  <r>
    <n v="1464"/>
    <x v="1"/>
    <x v="13"/>
    <n v="2024"/>
    <x v="0"/>
    <s v=" "/>
    <s v=" "/>
    <x v="0"/>
    <x v="0"/>
    <x v="1"/>
    <n v="40"/>
    <x v="3"/>
    <x v="2"/>
    <x v="8"/>
  </r>
  <r>
    <n v="1465"/>
    <x v="1"/>
    <x v="14"/>
    <n v="2018"/>
    <x v="0"/>
    <s v=" "/>
    <s v=" "/>
    <x v="0"/>
    <x v="0"/>
    <x v="0"/>
    <n v="42"/>
    <x v="3"/>
    <x v="5"/>
    <x v="9"/>
  </r>
  <r>
    <n v="1466"/>
    <x v="0"/>
    <x v="15"/>
    <n v="2019"/>
    <x v="5"/>
    <n v="2022"/>
    <n v="4"/>
    <x v="4"/>
    <x v="1"/>
    <x v="1"/>
    <n v="35"/>
    <x v="4"/>
    <x v="0"/>
    <x v="10"/>
  </r>
  <r>
    <n v="1467"/>
    <x v="3"/>
    <x v="16"/>
    <n v="2019"/>
    <x v="6"/>
    <n v="2020"/>
    <n v="2"/>
    <x v="3"/>
    <x v="1"/>
    <x v="1"/>
    <n v="31"/>
    <x v="4"/>
    <x v="1"/>
    <x v="2"/>
  </r>
  <r>
    <n v="1468"/>
    <x v="5"/>
    <x v="17"/>
    <n v="2022"/>
    <x v="0"/>
    <s v=" "/>
    <s v=" "/>
    <x v="0"/>
    <x v="0"/>
    <x v="0"/>
    <n v="51"/>
    <x v="1"/>
    <x v="1"/>
    <x v="4"/>
  </r>
  <r>
    <n v="1469"/>
    <x v="0"/>
    <x v="18"/>
    <n v="2024"/>
    <x v="0"/>
    <s v=" "/>
    <s v=" "/>
    <x v="0"/>
    <x v="0"/>
    <x v="1"/>
    <n v="48"/>
    <x v="3"/>
    <x v="2"/>
    <x v="9"/>
  </r>
  <r>
    <n v="1470"/>
    <x v="3"/>
    <x v="19"/>
    <n v="2019"/>
    <x v="7"/>
    <n v="2022"/>
    <n v="4"/>
    <x v="5"/>
    <x v="1"/>
    <x v="1"/>
    <n v="41"/>
    <x v="3"/>
    <x v="3"/>
    <x v="1"/>
  </r>
  <r>
    <n v="1471"/>
    <x v="5"/>
    <x v="20"/>
    <n v="2021"/>
    <x v="8"/>
    <n v="2024"/>
    <n v="4"/>
    <x v="7"/>
    <x v="1"/>
    <x v="0"/>
    <n v="35"/>
    <x v="4"/>
    <x v="0"/>
    <x v="2"/>
  </r>
  <r>
    <n v="1472"/>
    <x v="2"/>
    <x v="21"/>
    <n v="2023"/>
    <x v="9"/>
    <n v="2024"/>
    <n v="2"/>
    <x v="4"/>
    <x v="1"/>
    <x v="1"/>
    <n v="24"/>
    <x v="0"/>
    <x v="7"/>
    <x v="3"/>
  </r>
  <r>
    <n v="1473"/>
    <x v="1"/>
    <x v="22"/>
    <n v="2023"/>
    <x v="0"/>
    <s v=" "/>
    <s v=" "/>
    <x v="0"/>
    <x v="0"/>
    <x v="0"/>
    <n v="41"/>
    <x v="3"/>
    <x v="0"/>
    <x v="4"/>
  </r>
  <r>
    <n v="1474"/>
    <x v="2"/>
    <x v="23"/>
    <n v="2024"/>
    <x v="0"/>
    <s v=" "/>
    <s v=" "/>
    <x v="0"/>
    <x v="0"/>
    <x v="0"/>
    <n v="40"/>
    <x v="3"/>
    <x v="0"/>
    <x v="9"/>
  </r>
  <r>
    <n v="1475"/>
    <x v="0"/>
    <x v="24"/>
    <n v="2019"/>
    <x v="0"/>
    <s v=" "/>
    <s v=" "/>
    <x v="0"/>
    <x v="0"/>
    <x v="0"/>
    <n v="48"/>
    <x v="3"/>
    <x v="1"/>
    <x v="0"/>
  </r>
  <r>
    <n v="1476"/>
    <x v="1"/>
    <x v="25"/>
    <n v="2022"/>
    <x v="0"/>
    <s v=" "/>
    <s v=" "/>
    <x v="0"/>
    <x v="0"/>
    <x v="1"/>
    <n v="52"/>
    <x v="1"/>
    <x v="0"/>
    <x v="2"/>
  </r>
  <r>
    <n v="1477"/>
    <x v="4"/>
    <x v="26"/>
    <n v="2020"/>
    <x v="10"/>
    <n v="2021"/>
    <n v="2"/>
    <x v="6"/>
    <x v="1"/>
    <x v="0"/>
    <n v="33"/>
    <x v="4"/>
    <x v="2"/>
    <x v="3"/>
  </r>
  <r>
    <n v="1478"/>
    <x v="2"/>
    <x v="27"/>
    <n v="2023"/>
    <x v="0"/>
    <s v=" "/>
    <s v=" "/>
    <x v="0"/>
    <x v="0"/>
    <x v="1"/>
    <n v="51"/>
    <x v="1"/>
    <x v="5"/>
    <x v="10"/>
  </r>
  <r>
    <n v="1479"/>
    <x v="0"/>
    <x v="28"/>
    <n v="2021"/>
    <x v="11"/>
    <n v="2022"/>
    <n v="2"/>
    <x v="3"/>
    <x v="1"/>
    <x v="0"/>
    <n v="46"/>
    <x v="3"/>
    <x v="0"/>
    <x v="4"/>
  </r>
  <r>
    <n v="1480"/>
    <x v="2"/>
    <x v="29"/>
    <n v="2018"/>
    <x v="12"/>
    <n v="2021"/>
    <n v="4"/>
    <x v="1"/>
    <x v="1"/>
    <x v="1"/>
    <n v="53"/>
    <x v="1"/>
    <x v="1"/>
    <x v="9"/>
  </r>
  <r>
    <n v="1481"/>
    <x v="5"/>
    <x v="30"/>
    <n v="2021"/>
    <x v="0"/>
    <s v=" "/>
    <s v=" "/>
    <x v="0"/>
    <x v="0"/>
    <x v="1"/>
    <n v="35"/>
    <x v="4"/>
    <x v="1"/>
    <x v="0"/>
  </r>
  <r>
    <n v="1482"/>
    <x v="0"/>
    <x v="31"/>
    <n v="2024"/>
    <x v="0"/>
    <s v=" "/>
    <s v=" "/>
    <x v="0"/>
    <x v="0"/>
    <x v="0"/>
    <n v="32"/>
    <x v="4"/>
    <x v="2"/>
    <x v="1"/>
  </r>
  <r>
    <n v="1483"/>
    <x v="5"/>
    <x v="32"/>
    <n v="2021"/>
    <x v="0"/>
    <s v=" "/>
    <s v=" "/>
    <x v="0"/>
    <x v="0"/>
    <x v="1"/>
    <n v="46"/>
    <x v="3"/>
    <x v="3"/>
    <x v="2"/>
  </r>
  <r>
    <n v="1484"/>
    <x v="0"/>
    <x v="33"/>
    <n v="2020"/>
    <x v="0"/>
    <s v=" "/>
    <s v=" "/>
    <x v="0"/>
    <x v="0"/>
    <x v="1"/>
    <n v="50"/>
    <x v="1"/>
    <x v="0"/>
    <x v="3"/>
  </r>
  <r>
    <n v="1485"/>
    <x v="2"/>
    <x v="34"/>
    <n v="2018"/>
    <x v="13"/>
    <n v="2022"/>
    <n v="5"/>
    <x v="2"/>
    <x v="1"/>
    <x v="0"/>
    <n v="62"/>
    <x v="2"/>
    <x v="6"/>
    <x v="4"/>
  </r>
  <r>
    <n v="1486"/>
    <x v="2"/>
    <x v="35"/>
    <n v="2018"/>
    <x v="0"/>
    <s v=" "/>
    <s v=" "/>
    <x v="0"/>
    <x v="0"/>
    <x v="1"/>
    <n v="29"/>
    <x v="0"/>
    <x v="0"/>
    <x v="5"/>
  </r>
  <r>
    <n v="1487"/>
    <x v="2"/>
    <x v="36"/>
    <n v="2021"/>
    <x v="14"/>
    <n v="2024"/>
    <n v="4"/>
    <x v="1"/>
    <x v="1"/>
    <x v="1"/>
    <n v="27"/>
    <x v="0"/>
    <x v="0"/>
    <x v="6"/>
  </r>
  <r>
    <n v="1488"/>
    <x v="4"/>
    <x v="37"/>
    <n v="2021"/>
    <x v="15"/>
    <n v="2023"/>
    <n v="3"/>
    <x v="4"/>
    <x v="1"/>
    <x v="1"/>
    <n v="31"/>
    <x v="4"/>
    <x v="1"/>
    <x v="7"/>
  </r>
  <r>
    <n v="1489"/>
    <x v="0"/>
    <x v="38"/>
    <n v="2019"/>
    <x v="16"/>
    <n v="2022"/>
    <n v="4"/>
    <x v="3"/>
    <x v="1"/>
    <x v="0"/>
    <n v="24"/>
    <x v="0"/>
    <x v="0"/>
    <x v="8"/>
  </r>
  <r>
    <n v="1490"/>
    <x v="5"/>
    <x v="39"/>
    <n v="2020"/>
    <x v="0"/>
    <s v=" "/>
    <s v=" "/>
    <x v="0"/>
    <x v="0"/>
    <x v="1"/>
    <n v="37"/>
    <x v="4"/>
    <x v="2"/>
    <x v="9"/>
  </r>
  <r>
    <n v="1491"/>
    <x v="4"/>
    <x v="40"/>
    <n v="2020"/>
    <x v="0"/>
    <s v=" "/>
    <s v=" "/>
    <x v="0"/>
    <x v="0"/>
    <x v="0"/>
    <n v="23"/>
    <x v="0"/>
    <x v="7"/>
    <x v="10"/>
  </r>
  <r>
    <n v="1492"/>
    <x v="4"/>
    <x v="41"/>
    <n v="2024"/>
    <x v="0"/>
    <s v=" "/>
    <s v=" "/>
    <x v="0"/>
    <x v="0"/>
    <x v="0"/>
    <n v="31"/>
    <x v="4"/>
    <x v="0"/>
    <x v="2"/>
  </r>
  <r>
    <n v="1493"/>
    <x v="5"/>
    <x v="42"/>
    <n v="2024"/>
    <x v="0"/>
    <s v=" "/>
    <s v=" "/>
    <x v="0"/>
    <x v="0"/>
    <x v="0"/>
    <n v="52"/>
    <x v="1"/>
    <x v="1"/>
    <x v="4"/>
  </r>
  <r>
    <n v="1494"/>
    <x v="2"/>
    <x v="43"/>
    <n v="2022"/>
    <x v="0"/>
    <s v=" "/>
    <s v=" "/>
    <x v="0"/>
    <x v="0"/>
    <x v="1"/>
    <n v="25"/>
    <x v="0"/>
    <x v="1"/>
    <x v="9"/>
  </r>
  <r>
    <n v="1495"/>
    <x v="1"/>
    <x v="44"/>
    <n v="2023"/>
    <x v="0"/>
    <s v=" "/>
    <s v=" "/>
    <x v="0"/>
    <x v="0"/>
    <x v="0"/>
    <n v="46"/>
    <x v="3"/>
    <x v="2"/>
    <x v="1"/>
  </r>
  <r>
    <n v="1496"/>
    <x v="1"/>
    <x v="45"/>
    <n v="2019"/>
    <x v="17"/>
    <n v="2021"/>
    <n v="3"/>
    <x v="5"/>
    <x v="1"/>
    <x v="1"/>
    <n v="24"/>
    <x v="0"/>
    <x v="3"/>
    <x v="2"/>
  </r>
  <r>
    <n v="1497"/>
    <x v="1"/>
    <x v="46"/>
    <n v="2021"/>
    <x v="18"/>
    <n v="2024"/>
    <n v="4"/>
    <x v="5"/>
    <x v="1"/>
    <x v="0"/>
    <n v="38"/>
    <x v="4"/>
    <x v="0"/>
    <x v="3"/>
  </r>
  <r>
    <n v="1498"/>
    <x v="3"/>
    <x v="47"/>
    <n v="2019"/>
    <x v="0"/>
    <s v=" "/>
    <s v=" "/>
    <x v="0"/>
    <x v="0"/>
    <x v="1"/>
    <n v="49"/>
    <x v="3"/>
    <x v="6"/>
    <x v="4"/>
  </r>
  <r>
    <n v="1499"/>
    <x v="4"/>
    <x v="48"/>
    <n v="2024"/>
    <x v="0"/>
    <s v=" "/>
    <s v=" "/>
    <x v="0"/>
    <x v="0"/>
    <x v="1"/>
    <n v="31"/>
    <x v="4"/>
    <x v="0"/>
    <x v="9"/>
  </r>
  <r>
    <n v="1500"/>
    <x v="0"/>
    <x v="49"/>
    <n v="2018"/>
    <x v="19"/>
    <n v="2022"/>
    <n v="5"/>
    <x v="4"/>
    <x v="1"/>
    <x v="0"/>
    <n v="51"/>
    <x v="1"/>
    <x v="0"/>
    <x v="0"/>
  </r>
  <r>
    <n v="1501"/>
    <x v="0"/>
    <x v="0"/>
    <n v="2018"/>
    <x v="0"/>
    <s v=" "/>
    <s v=" "/>
    <x v="0"/>
    <x v="0"/>
    <x v="1"/>
    <n v="27"/>
    <x v="0"/>
    <x v="1"/>
    <x v="2"/>
  </r>
  <r>
    <n v="1502"/>
    <x v="1"/>
    <x v="1"/>
    <n v="2020"/>
    <x v="0"/>
    <s v=" "/>
    <s v=" "/>
    <x v="0"/>
    <x v="0"/>
    <x v="1"/>
    <n v="22"/>
    <x v="0"/>
    <x v="0"/>
    <x v="3"/>
  </r>
  <r>
    <n v="1503"/>
    <x v="1"/>
    <x v="2"/>
    <n v="2021"/>
    <x v="0"/>
    <s v=" "/>
    <s v=" "/>
    <x v="0"/>
    <x v="0"/>
    <x v="0"/>
    <n v="50"/>
    <x v="1"/>
    <x v="2"/>
    <x v="10"/>
  </r>
  <r>
    <n v="1504"/>
    <x v="1"/>
    <x v="3"/>
    <n v="2023"/>
    <x v="0"/>
    <s v=" "/>
    <s v=" "/>
    <x v="0"/>
    <x v="0"/>
    <x v="1"/>
    <n v="24"/>
    <x v="0"/>
    <x v="7"/>
    <x v="4"/>
  </r>
  <r>
    <n v="1505"/>
    <x v="1"/>
    <x v="4"/>
    <n v="2019"/>
    <x v="1"/>
    <n v="2021"/>
    <n v="3"/>
    <x v="1"/>
    <x v="1"/>
    <x v="1"/>
    <n v="50"/>
    <x v="1"/>
    <x v="0"/>
    <x v="9"/>
  </r>
  <r>
    <n v="1506"/>
    <x v="2"/>
    <x v="5"/>
    <n v="2022"/>
    <x v="2"/>
    <n v="2023"/>
    <n v="2"/>
    <x v="7"/>
    <x v="1"/>
    <x v="1"/>
    <n v="28"/>
    <x v="0"/>
    <x v="1"/>
    <x v="0"/>
  </r>
  <r>
    <n v="1507"/>
    <x v="3"/>
    <x v="6"/>
    <n v="2024"/>
    <x v="0"/>
    <s v=" "/>
    <s v=" "/>
    <x v="0"/>
    <x v="0"/>
    <x v="0"/>
    <n v="40"/>
    <x v="3"/>
    <x v="1"/>
    <x v="1"/>
  </r>
  <r>
    <n v="1508"/>
    <x v="0"/>
    <x v="7"/>
    <n v="2018"/>
    <x v="0"/>
    <s v=" "/>
    <s v=" "/>
    <x v="0"/>
    <x v="0"/>
    <x v="1"/>
    <n v="32"/>
    <x v="4"/>
    <x v="2"/>
    <x v="2"/>
  </r>
  <r>
    <n v="1509"/>
    <x v="1"/>
    <x v="8"/>
    <n v="2023"/>
    <x v="0"/>
    <s v=" "/>
    <s v=" "/>
    <x v="0"/>
    <x v="0"/>
    <x v="0"/>
    <n v="50"/>
    <x v="1"/>
    <x v="3"/>
    <x v="3"/>
  </r>
  <r>
    <n v="1510"/>
    <x v="4"/>
    <x v="9"/>
    <n v="2024"/>
    <x v="0"/>
    <s v=" "/>
    <s v=" "/>
    <x v="0"/>
    <x v="0"/>
    <x v="0"/>
    <n v="24"/>
    <x v="0"/>
    <x v="0"/>
    <x v="4"/>
  </r>
  <r>
    <n v="1511"/>
    <x v="5"/>
    <x v="10"/>
    <n v="2024"/>
    <x v="0"/>
    <s v=" "/>
    <s v=" "/>
    <x v="0"/>
    <x v="0"/>
    <x v="0"/>
    <n v="36"/>
    <x v="4"/>
    <x v="4"/>
    <x v="5"/>
  </r>
  <r>
    <n v="1512"/>
    <x v="3"/>
    <x v="11"/>
    <n v="2021"/>
    <x v="3"/>
    <n v="2024"/>
    <n v="4"/>
    <x v="7"/>
    <x v="1"/>
    <x v="0"/>
    <n v="49"/>
    <x v="3"/>
    <x v="0"/>
    <x v="6"/>
  </r>
  <r>
    <n v="1513"/>
    <x v="0"/>
    <x v="12"/>
    <n v="2018"/>
    <x v="4"/>
    <n v="2020"/>
    <n v="3"/>
    <x v="3"/>
    <x v="1"/>
    <x v="1"/>
    <n v="43"/>
    <x v="3"/>
    <x v="0"/>
    <x v="7"/>
  </r>
  <r>
    <n v="1514"/>
    <x v="1"/>
    <x v="13"/>
    <n v="2024"/>
    <x v="0"/>
    <s v=" "/>
    <s v=" "/>
    <x v="0"/>
    <x v="0"/>
    <x v="1"/>
    <n v="40"/>
    <x v="3"/>
    <x v="1"/>
    <x v="8"/>
  </r>
  <r>
    <n v="1515"/>
    <x v="1"/>
    <x v="14"/>
    <n v="2018"/>
    <x v="0"/>
    <s v=" "/>
    <s v=" "/>
    <x v="0"/>
    <x v="0"/>
    <x v="0"/>
    <n v="42"/>
    <x v="3"/>
    <x v="0"/>
    <x v="9"/>
  </r>
  <r>
    <n v="1516"/>
    <x v="0"/>
    <x v="15"/>
    <n v="2019"/>
    <x v="5"/>
    <n v="2022"/>
    <n v="4"/>
    <x v="4"/>
    <x v="1"/>
    <x v="0"/>
    <n v="35"/>
    <x v="4"/>
    <x v="2"/>
    <x v="10"/>
  </r>
  <r>
    <n v="1517"/>
    <x v="3"/>
    <x v="16"/>
    <n v="2019"/>
    <x v="6"/>
    <n v="2020"/>
    <n v="2"/>
    <x v="7"/>
    <x v="1"/>
    <x v="0"/>
    <n v="31"/>
    <x v="4"/>
    <x v="7"/>
    <x v="2"/>
  </r>
  <r>
    <n v="1518"/>
    <x v="5"/>
    <x v="17"/>
    <n v="2022"/>
    <x v="0"/>
    <s v=" "/>
    <s v=" "/>
    <x v="0"/>
    <x v="0"/>
    <x v="1"/>
    <n v="51"/>
    <x v="1"/>
    <x v="0"/>
    <x v="4"/>
  </r>
  <r>
    <n v="1519"/>
    <x v="0"/>
    <x v="18"/>
    <n v="2024"/>
    <x v="0"/>
    <s v=" "/>
    <s v=" "/>
    <x v="0"/>
    <x v="0"/>
    <x v="0"/>
    <n v="48"/>
    <x v="3"/>
    <x v="1"/>
    <x v="9"/>
  </r>
  <r>
    <n v="1520"/>
    <x v="3"/>
    <x v="19"/>
    <n v="2019"/>
    <x v="7"/>
    <n v="2022"/>
    <n v="4"/>
    <x v="5"/>
    <x v="1"/>
    <x v="0"/>
    <n v="41"/>
    <x v="3"/>
    <x v="1"/>
    <x v="1"/>
  </r>
  <r>
    <n v="1521"/>
    <x v="5"/>
    <x v="20"/>
    <n v="2021"/>
    <x v="8"/>
    <n v="2024"/>
    <n v="4"/>
    <x v="7"/>
    <x v="1"/>
    <x v="1"/>
    <n v="35"/>
    <x v="4"/>
    <x v="2"/>
    <x v="2"/>
  </r>
  <r>
    <n v="1522"/>
    <x v="2"/>
    <x v="21"/>
    <n v="2023"/>
    <x v="9"/>
    <n v="2024"/>
    <n v="2"/>
    <x v="4"/>
    <x v="1"/>
    <x v="0"/>
    <n v="24"/>
    <x v="0"/>
    <x v="3"/>
    <x v="3"/>
  </r>
  <r>
    <n v="1523"/>
    <x v="1"/>
    <x v="22"/>
    <n v="2023"/>
    <x v="0"/>
    <s v=" "/>
    <s v=" "/>
    <x v="0"/>
    <x v="0"/>
    <x v="1"/>
    <n v="41"/>
    <x v="3"/>
    <x v="0"/>
    <x v="4"/>
  </r>
  <r>
    <n v="1524"/>
    <x v="2"/>
    <x v="23"/>
    <n v="2024"/>
    <x v="0"/>
    <s v=" "/>
    <s v=" "/>
    <x v="0"/>
    <x v="0"/>
    <x v="1"/>
    <n v="40"/>
    <x v="3"/>
    <x v="4"/>
    <x v="9"/>
  </r>
  <r>
    <n v="1525"/>
    <x v="0"/>
    <x v="24"/>
    <n v="2019"/>
    <x v="0"/>
    <s v=" "/>
    <s v=" "/>
    <x v="0"/>
    <x v="0"/>
    <x v="0"/>
    <n v="48"/>
    <x v="3"/>
    <x v="0"/>
    <x v="0"/>
  </r>
  <r>
    <n v="1526"/>
    <x v="1"/>
    <x v="25"/>
    <n v="2022"/>
    <x v="0"/>
    <s v=" "/>
    <s v=" "/>
    <x v="0"/>
    <x v="0"/>
    <x v="0"/>
    <n v="52"/>
    <x v="1"/>
    <x v="0"/>
    <x v="2"/>
  </r>
  <r>
    <n v="1527"/>
    <x v="4"/>
    <x v="26"/>
    <n v="2020"/>
    <x v="10"/>
    <n v="2021"/>
    <n v="2"/>
    <x v="6"/>
    <x v="1"/>
    <x v="0"/>
    <n v="33"/>
    <x v="4"/>
    <x v="1"/>
    <x v="3"/>
  </r>
  <r>
    <n v="1528"/>
    <x v="2"/>
    <x v="27"/>
    <n v="2023"/>
    <x v="0"/>
    <s v=" "/>
    <s v=" "/>
    <x v="0"/>
    <x v="0"/>
    <x v="1"/>
    <n v="51"/>
    <x v="1"/>
    <x v="0"/>
    <x v="10"/>
  </r>
  <r>
    <n v="1529"/>
    <x v="0"/>
    <x v="28"/>
    <n v="2021"/>
    <x v="11"/>
    <n v="2022"/>
    <n v="2"/>
    <x v="3"/>
    <x v="1"/>
    <x v="1"/>
    <n v="46"/>
    <x v="3"/>
    <x v="2"/>
    <x v="4"/>
  </r>
  <r>
    <n v="1530"/>
    <x v="2"/>
    <x v="29"/>
    <n v="2018"/>
    <x v="12"/>
    <n v="2021"/>
    <n v="4"/>
    <x v="1"/>
    <x v="1"/>
    <x v="0"/>
    <n v="53"/>
    <x v="1"/>
    <x v="5"/>
    <x v="9"/>
  </r>
  <r>
    <n v="1531"/>
    <x v="5"/>
    <x v="30"/>
    <n v="2021"/>
    <x v="0"/>
    <s v=" "/>
    <s v=" "/>
    <x v="0"/>
    <x v="0"/>
    <x v="1"/>
    <n v="35"/>
    <x v="4"/>
    <x v="0"/>
    <x v="4"/>
  </r>
  <r>
    <n v="1532"/>
    <x v="0"/>
    <x v="31"/>
    <n v="2024"/>
    <x v="0"/>
    <s v=" "/>
    <s v=" "/>
    <x v="0"/>
    <x v="0"/>
    <x v="1"/>
    <n v="32"/>
    <x v="4"/>
    <x v="1"/>
    <x v="9"/>
  </r>
  <r>
    <n v="1533"/>
    <x v="5"/>
    <x v="32"/>
    <n v="2021"/>
    <x v="0"/>
    <s v=" "/>
    <s v=" "/>
    <x v="0"/>
    <x v="0"/>
    <x v="0"/>
    <n v="46"/>
    <x v="3"/>
    <x v="1"/>
    <x v="1"/>
  </r>
  <r>
    <n v="1534"/>
    <x v="0"/>
    <x v="33"/>
    <n v="2020"/>
    <x v="0"/>
    <s v=" "/>
    <s v=" "/>
    <x v="0"/>
    <x v="0"/>
    <x v="0"/>
    <n v="50"/>
    <x v="1"/>
    <x v="2"/>
    <x v="2"/>
  </r>
  <r>
    <n v="1535"/>
    <x v="2"/>
    <x v="34"/>
    <n v="2018"/>
    <x v="13"/>
    <n v="2022"/>
    <n v="5"/>
    <x v="2"/>
    <x v="1"/>
    <x v="0"/>
    <n v="60"/>
    <x v="2"/>
    <x v="3"/>
    <x v="3"/>
  </r>
  <r>
    <n v="1536"/>
    <x v="2"/>
    <x v="35"/>
    <n v="2018"/>
    <x v="0"/>
    <s v=" "/>
    <s v=" "/>
    <x v="0"/>
    <x v="0"/>
    <x v="0"/>
    <n v="29"/>
    <x v="0"/>
    <x v="0"/>
    <x v="4"/>
  </r>
  <r>
    <n v="1537"/>
    <x v="2"/>
    <x v="36"/>
    <n v="2021"/>
    <x v="14"/>
    <n v="2024"/>
    <n v="4"/>
    <x v="1"/>
    <x v="1"/>
    <x v="1"/>
    <n v="27"/>
    <x v="0"/>
    <x v="7"/>
    <x v="9"/>
  </r>
  <r>
    <n v="1538"/>
    <x v="4"/>
    <x v="37"/>
    <n v="2021"/>
    <x v="15"/>
    <n v="2023"/>
    <n v="3"/>
    <x v="4"/>
    <x v="1"/>
    <x v="1"/>
    <n v="31"/>
    <x v="4"/>
    <x v="0"/>
    <x v="0"/>
  </r>
  <r>
    <n v="1539"/>
    <x v="0"/>
    <x v="38"/>
    <n v="2019"/>
    <x v="16"/>
    <n v="2022"/>
    <n v="4"/>
    <x v="7"/>
    <x v="1"/>
    <x v="1"/>
    <n v="24"/>
    <x v="0"/>
    <x v="0"/>
    <x v="2"/>
  </r>
  <r>
    <n v="1540"/>
    <x v="5"/>
    <x v="39"/>
    <n v="2020"/>
    <x v="0"/>
    <s v=" "/>
    <s v=" "/>
    <x v="0"/>
    <x v="0"/>
    <x v="0"/>
    <n v="37"/>
    <x v="4"/>
    <x v="1"/>
    <x v="3"/>
  </r>
  <r>
    <n v="1541"/>
    <x v="4"/>
    <x v="40"/>
    <n v="2020"/>
    <x v="0"/>
    <s v=" "/>
    <s v=" "/>
    <x v="0"/>
    <x v="0"/>
    <x v="1"/>
    <n v="23"/>
    <x v="0"/>
    <x v="0"/>
    <x v="10"/>
  </r>
  <r>
    <n v="1542"/>
    <x v="4"/>
    <x v="41"/>
    <n v="2024"/>
    <x v="0"/>
    <s v=" "/>
    <s v=" "/>
    <x v="0"/>
    <x v="0"/>
    <x v="1"/>
    <n v="31"/>
    <x v="4"/>
    <x v="2"/>
    <x v="4"/>
  </r>
  <r>
    <n v="1543"/>
    <x v="5"/>
    <x v="42"/>
    <n v="2024"/>
    <x v="0"/>
    <s v=" "/>
    <s v=" "/>
    <x v="0"/>
    <x v="0"/>
    <x v="0"/>
    <n v="52"/>
    <x v="1"/>
    <x v="5"/>
    <x v="9"/>
  </r>
  <r>
    <n v="1544"/>
    <x v="2"/>
    <x v="43"/>
    <n v="2022"/>
    <x v="0"/>
    <s v=" "/>
    <s v=" "/>
    <x v="0"/>
    <x v="0"/>
    <x v="1"/>
    <n v="25"/>
    <x v="0"/>
    <x v="0"/>
    <x v="0"/>
  </r>
  <r>
    <n v="1545"/>
    <x v="1"/>
    <x v="44"/>
    <n v="2023"/>
    <x v="0"/>
    <s v=" "/>
    <s v=" "/>
    <x v="0"/>
    <x v="0"/>
    <x v="1"/>
    <n v="46"/>
    <x v="3"/>
    <x v="1"/>
    <x v="1"/>
  </r>
  <r>
    <n v="1546"/>
    <x v="1"/>
    <x v="45"/>
    <n v="2019"/>
    <x v="17"/>
    <n v="2021"/>
    <n v="3"/>
    <x v="5"/>
    <x v="1"/>
    <x v="1"/>
    <n v="24"/>
    <x v="0"/>
    <x v="1"/>
    <x v="2"/>
  </r>
  <r>
    <n v="1547"/>
    <x v="1"/>
    <x v="46"/>
    <n v="2021"/>
    <x v="18"/>
    <n v="2024"/>
    <n v="4"/>
    <x v="5"/>
    <x v="1"/>
    <x v="0"/>
    <n v="38"/>
    <x v="4"/>
    <x v="2"/>
    <x v="3"/>
  </r>
  <r>
    <n v="1548"/>
    <x v="3"/>
    <x v="47"/>
    <n v="2019"/>
    <x v="0"/>
    <s v=" "/>
    <s v=" "/>
    <x v="0"/>
    <x v="0"/>
    <x v="0"/>
    <n v="49"/>
    <x v="3"/>
    <x v="3"/>
    <x v="4"/>
  </r>
  <r>
    <n v="1549"/>
    <x v="4"/>
    <x v="48"/>
    <n v="2024"/>
    <x v="0"/>
    <s v=" "/>
    <s v=" "/>
    <x v="0"/>
    <x v="0"/>
    <x v="1"/>
    <n v="31"/>
    <x v="4"/>
    <x v="0"/>
    <x v="5"/>
  </r>
  <r>
    <n v="1550"/>
    <x v="0"/>
    <x v="49"/>
    <n v="2018"/>
    <x v="19"/>
    <n v="2022"/>
    <n v="5"/>
    <x v="4"/>
    <x v="1"/>
    <x v="1"/>
    <n v="51"/>
    <x v="1"/>
    <x v="6"/>
    <x v="6"/>
  </r>
  <r>
    <n v="1551"/>
    <x v="0"/>
    <x v="0"/>
    <n v="2018"/>
    <x v="0"/>
    <s v=" "/>
    <s v=" "/>
    <x v="0"/>
    <x v="0"/>
    <x v="0"/>
    <n v="27"/>
    <x v="0"/>
    <x v="0"/>
    <x v="7"/>
  </r>
  <r>
    <n v="1552"/>
    <x v="1"/>
    <x v="1"/>
    <n v="2020"/>
    <x v="0"/>
    <s v=" "/>
    <s v=" "/>
    <x v="0"/>
    <x v="0"/>
    <x v="1"/>
    <n v="22"/>
    <x v="0"/>
    <x v="0"/>
    <x v="8"/>
  </r>
  <r>
    <n v="1553"/>
    <x v="1"/>
    <x v="2"/>
    <n v="2021"/>
    <x v="0"/>
    <s v=" "/>
    <s v=" "/>
    <x v="0"/>
    <x v="0"/>
    <x v="1"/>
    <n v="50"/>
    <x v="1"/>
    <x v="1"/>
    <x v="9"/>
  </r>
  <r>
    <n v="1554"/>
    <x v="1"/>
    <x v="3"/>
    <n v="2023"/>
    <x v="0"/>
    <s v=" "/>
    <s v=" "/>
    <x v="0"/>
    <x v="0"/>
    <x v="1"/>
    <n v="24"/>
    <x v="0"/>
    <x v="0"/>
    <x v="10"/>
  </r>
  <r>
    <n v="1555"/>
    <x v="1"/>
    <x v="4"/>
    <n v="2019"/>
    <x v="1"/>
    <n v="2021"/>
    <n v="3"/>
    <x v="7"/>
    <x v="1"/>
    <x v="0"/>
    <n v="50"/>
    <x v="1"/>
    <x v="2"/>
    <x v="2"/>
  </r>
  <r>
    <n v="1556"/>
    <x v="2"/>
    <x v="5"/>
    <n v="2022"/>
    <x v="2"/>
    <n v="2023"/>
    <n v="2"/>
    <x v="7"/>
    <x v="1"/>
    <x v="0"/>
    <n v="28"/>
    <x v="0"/>
    <x v="5"/>
    <x v="4"/>
  </r>
  <r>
    <n v="1557"/>
    <x v="3"/>
    <x v="6"/>
    <n v="2024"/>
    <x v="0"/>
    <s v=" "/>
    <s v=" "/>
    <x v="0"/>
    <x v="0"/>
    <x v="1"/>
    <n v="40"/>
    <x v="3"/>
    <x v="0"/>
    <x v="9"/>
  </r>
  <r>
    <n v="1558"/>
    <x v="0"/>
    <x v="7"/>
    <n v="2018"/>
    <x v="0"/>
    <s v=" "/>
    <s v=" "/>
    <x v="0"/>
    <x v="0"/>
    <x v="1"/>
    <n v="32"/>
    <x v="4"/>
    <x v="1"/>
    <x v="1"/>
  </r>
  <r>
    <n v="1559"/>
    <x v="1"/>
    <x v="8"/>
    <n v="2023"/>
    <x v="0"/>
    <s v=" "/>
    <s v=" "/>
    <x v="0"/>
    <x v="0"/>
    <x v="1"/>
    <n v="50"/>
    <x v="1"/>
    <x v="1"/>
    <x v="2"/>
  </r>
  <r>
    <n v="1560"/>
    <x v="4"/>
    <x v="9"/>
    <n v="2024"/>
    <x v="0"/>
    <s v=" "/>
    <s v=" "/>
    <x v="0"/>
    <x v="0"/>
    <x v="0"/>
    <n v="24"/>
    <x v="0"/>
    <x v="2"/>
    <x v="3"/>
  </r>
  <r>
    <n v="1561"/>
    <x v="5"/>
    <x v="10"/>
    <n v="2024"/>
    <x v="0"/>
    <s v=" "/>
    <s v=" "/>
    <x v="0"/>
    <x v="0"/>
    <x v="0"/>
    <n v="36"/>
    <x v="4"/>
    <x v="3"/>
    <x v="4"/>
  </r>
  <r>
    <n v="1562"/>
    <x v="3"/>
    <x v="11"/>
    <n v="2021"/>
    <x v="3"/>
    <n v="2024"/>
    <n v="4"/>
    <x v="7"/>
    <x v="1"/>
    <x v="0"/>
    <n v="49"/>
    <x v="3"/>
    <x v="0"/>
    <x v="9"/>
  </r>
  <r>
    <n v="1563"/>
    <x v="0"/>
    <x v="12"/>
    <n v="2018"/>
    <x v="4"/>
    <n v="2020"/>
    <n v="3"/>
    <x v="3"/>
    <x v="1"/>
    <x v="1"/>
    <n v="43"/>
    <x v="3"/>
    <x v="6"/>
    <x v="0"/>
  </r>
  <r>
    <n v="1564"/>
    <x v="1"/>
    <x v="13"/>
    <n v="2024"/>
    <x v="0"/>
    <s v=" "/>
    <s v=" "/>
    <x v="0"/>
    <x v="0"/>
    <x v="1"/>
    <n v="40"/>
    <x v="3"/>
    <x v="0"/>
    <x v="2"/>
  </r>
  <r>
    <n v="1565"/>
    <x v="1"/>
    <x v="14"/>
    <n v="2018"/>
    <x v="0"/>
    <s v=" "/>
    <s v=" "/>
    <x v="0"/>
    <x v="0"/>
    <x v="0"/>
    <n v="42"/>
    <x v="3"/>
    <x v="0"/>
    <x v="3"/>
  </r>
  <r>
    <n v="1566"/>
    <x v="0"/>
    <x v="15"/>
    <n v="2019"/>
    <x v="5"/>
    <n v="2022"/>
    <n v="4"/>
    <x v="4"/>
    <x v="1"/>
    <x v="0"/>
    <n v="35"/>
    <x v="4"/>
    <x v="1"/>
    <x v="4"/>
  </r>
  <r>
    <n v="1567"/>
    <x v="3"/>
    <x v="16"/>
    <n v="2019"/>
    <x v="6"/>
    <n v="2020"/>
    <n v="2"/>
    <x v="3"/>
    <x v="1"/>
    <x v="0"/>
    <n v="31"/>
    <x v="4"/>
    <x v="0"/>
    <x v="9"/>
  </r>
  <r>
    <n v="1568"/>
    <x v="5"/>
    <x v="17"/>
    <n v="2022"/>
    <x v="0"/>
    <s v=" "/>
    <s v=" "/>
    <x v="0"/>
    <x v="0"/>
    <x v="0"/>
    <n v="51"/>
    <x v="1"/>
    <x v="2"/>
    <x v="1"/>
  </r>
  <r>
    <n v="1569"/>
    <x v="0"/>
    <x v="18"/>
    <n v="2024"/>
    <x v="0"/>
    <s v=" "/>
    <s v=" "/>
    <x v="0"/>
    <x v="0"/>
    <x v="0"/>
    <n v="48"/>
    <x v="3"/>
    <x v="5"/>
    <x v="2"/>
  </r>
  <r>
    <n v="1570"/>
    <x v="3"/>
    <x v="19"/>
    <n v="2019"/>
    <x v="7"/>
    <n v="2022"/>
    <n v="4"/>
    <x v="5"/>
    <x v="1"/>
    <x v="0"/>
    <n v="41"/>
    <x v="3"/>
    <x v="0"/>
    <x v="3"/>
  </r>
  <r>
    <n v="1571"/>
    <x v="5"/>
    <x v="20"/>
    <n v="2021"/>
    <x v="8"/>
    <n v="2024"/>
    <n v="4"/>
    <x v="7"/>
    <x v="1"/>
    <x v="1"/>
    <n v="35"/>
    <x v="4"/>
    <x v="1"/>
    <x v="4"/>
  </r>
  <r>
    <n v="1572"/>
    <x v="2"/>
    <x v="21"/>
    <n v="2023"/>
    <x v="9"/>
    <n v="2024"/>
    <n v="2"/>
    <x v="4"/>
    <x v="1"/>
    <x v="0"/>
    <n v="24"/>
    <x v="0"/>
    <x v="1"/>
    <x v="9"/>
  </r>
  <r>
    <n v="1573"/>
    <x v="1"/>
    <x v="22"/>
    <n v="2023"/>
    <x v="0"/>
    <s v=" "/>
    <s v=" "/>
    <x v="0"/>
    <x v="0"/>
    <x v="1"/>
    <n v="41"/>
    <x v="3"/>
    <x v="2"/>
    <x v="0"/>
  </r>
  <r>
    <n v="1574"/>
    <x v="2"/>
    <x v="23"/>
    <n v="2024"/>
    <x v="0"/>
    <s v=" "/>
    <s v=" "/>
    <x v="0"/>
    <x v="0"/>
    <x v="1"/>
    <n v="40"/>
    <x v="3"/>
    <x v="3"/>
    <x v="2"/>
  </r>
  <r>
    <n v="1575"/>
    <x v="0"/>
    <x v="24"/>
    <n v="2019"/>
    <x v="0"/>
    <s v=" "/>
    <s v=" "/>
    <x v="0"/>
    <x v="0"/>
    <x v="0"/>
    <n v="48"/>
    <x v="3"/>
    <x v="0"/>
    <x v="3"/>
  </r>
  <r>
    <n v="1576"/>
    <x v="1"/>
    <x v="25"/>
    <n v="2022"/>
    <x v="0"/>
    <s v=" "/>
    <s v=" "/>
    <x v="0"/>
    <x v="0"/>
    <x v="1"/>
    <n v="52"/>
    <x v="1"/>
    <x v="6"/>
    <x v="10"/>
  </r>
  <r>
    <n v="1577"/>
    <x v="4"/>
    <x v="26"/>
    <n v="2020"/>
    <x v="10"/>
    <n v="2021"/>
    <n v="2"/>
    <x v="6"/>
    <x v="1"/>
    <x v="0"/>
    <n v="33"/>
    <x v="4"/>
    <x v="0"/>
    <x v="4"/>
  </r>
  <r>
    <n v="1578"/>
    <x v="2"/>
    <x v="27"/>
    <n v="2023"/>
    <x v="0"/>
    <s v=" "/>
    <s v=" "/>
    <x v="0"/>
    <x v="0"/>
    <x v="0"/>
    <n v="51"/>
    <x v="1"/>
    <x v="0"/>
    <x v="9"/>
  </r>
  <r>
    <n v="1579"/>
    <x v="0"/>
    <x v="28"/>
    <n v="2021"/>
    <x v="11"/>
    <n v="2022"/>
    <n v="2"/>
    <x v="3"/>
    <x v="1"/>
    <x v="1"/>
    <n v="46"/>
    <x v="3"/>
    <x v="1"/>
    <x v="0"/>
  </r>
  <r>
    <n v="1580"/>
    <x v="2"/>
    <x v="29"/>
    <n v="2018"/>
    <x v="12"/>
    <n v="2021"/>
    <n v="4"/>
    <x v="1"/>
    <x v="1"/>
    <x v="0"/>
    <n v="53"/>
    <x v="1"/>
    <x v="0"/>
    <x v="1"/>
  </r>
  <r>
    <n v="1581"/>
    <x v="5"/>
    <x v="30"/>
    <n v="2021"/>
    <x v="0"/>
    <s v=" "/>
    <s v=" "/>
    <x v="0"/>
    <x v="0"/>
    <x v="1"/>
    <n v="35"/>
    <x v="4"/>
    <x v="2"/>
    <x v="2"/>
  </r>
  <r>
    <n v="1582"/>
    <x v="0"/>
    <x v="31"/>
    <n v="2024"/>
    <x v="0"/>
    <s v=" "/>
    <s v=" "/>
    <x v="0"/>
    <x v="0"/>
    <x v="1"/>
    <n v="32"/>
    <x v="4"/>
    <x v="7"/>
    <x v="3"/>
  </r>
  <r>
    <n v="1583"/>
    <x v="5"/>
    <x v="32"/>
    <n v="2021"/>
    <x v="0"/>
    <s v=" "/>
    <s v=" "/>
    <x v="0"/>
    <x v="0"/>
    <x v="0"/>
    <n v="46"/>
    <x v="3"/>
    <x v="0"/>
    <x v="4"/>
  </r>
  <r>
    <n v="1584"/>
    <x v="0"/>
    <x v="33"/>
    <n v="2020"/>
    <x v="0"/>
    <s v=" "/>
    <s v=" "/>
    <x v="0"/>
    <x v="0"/>
    <x v="0"/>
    <n v="50"/>
    <x v="1"/>
    <x v="1"/>
    <x v="5"/>
  </r>
  <r>
    <n v="1585"/>
    <x v="2"/>
    <x v="34"/>
    <n v="2018"/>
    <x v="13"/>
    <n v="2022"/>
    <n v="5"/>
    <x v="2"/>
    <x v="1"/>
    <x v="0"/>
    <n v="61"/>
    <x v="2"/>
    <x v="1"/>
    <x v="6"/>
  </r>
  <r>
    <n v="1586"/>
    <x v="2"/>
    <x v="35"/>
    <n v="2018"/>
    <x v="0"/>
    <s v=" "/>
    <s v=" "/>
    <x v="0"/>
    <x v="0"/>
    <x v="0"/>
    <n v="29"/>
    <x v="0"/>
    <x v="2"/>
    <x v="7"/>
  </r>
  <r>
    <n v="1587"/>
    <x v="2"/>
    <x v="36"/>
    <n v="2021"/>
    <x v="14"/>
    <n v="2024"/>
    <n v="4"/>
    <x v="7"/>
    <x v="1"/>
    <x v="0"/>
    <n v="27"/>
    <x v="0"/>
    <x v="3"/>
    <x v="8"/>
  </r>
  <r>
    <n v="1588"/>
    <x v="4"/>
    <x v="37"/>
    <n v="2021"/>
    <x v="15"/>
    <n v="2023"/>
    <n v="3"/>
    <x v="4"/>
    <x v="1"/>
    <x v="1"/>
    <n v="31"/>
    <x v="4"/>
    <x v="0"/>
    <x v="9"/>
  </r>
  <r>
    <n v="1589"/>
    <x v="0"/>
    <x v="38"/>
    <n v="2019"/>
    <x v="16"/>
    <n v="2022"/>
    <n v="4"/>
    <x v="3"/>
    <x v="1"/>
    <x v="1"/>
    <n v="24"/>
    <x v="0"/>
    <x v="7"/>
    <x v="10"/>
  </r>
  <r>
    <n v="1590"/>
    <x v="5"/>
    <x v="39"/>
    <n v="2020"/>
    <x v="0"/>
    <s v=" "/>
    <s v=" "/>
    <x v="0"/>
    <x v="0"/>
    <x v="1"/>
    <n v="37"/>
    <x v="4"/>
    <x v="0"/>
    <x v="2"/>
  </r>
  <r>
    <n v="1591"/>
    <x v="4"/>
    <x v="40"/>
    <n v="2020"/>
    <x v="0"/>
    <s v=" "/>
    <s v=" "/>
    <x v="0"/>
    <x v="0"/>
    <x v="1"/>
    <n v="23"/>
    <x v="0"/>
    <x v="0"/>
    <x v="4"/>
  </r>
  <r>
    <n v="1592"/>
    <x v="4"/>
    <x v="41"/>
    <n v="2024"/>
    <x v="0"/>
    <s v=" "/>
    <s v=" "/>
    <x v="0"/>
    <x v="0"/>
    <x v="1"/>
    <n v="31"/>
    <x v="4"/>
    <x v="1"/>
    <x v="9"/>
  </r>
  <r>
    <n v="1593"/>
    <x v="5"/>
    <x v="42"/>
    <n v="2024"/>
    <x v="0"/>
    <s v=" "/>
    <s v=" "/>
    <x v="0"/>
    <x v="0"/>
    <x v="0"/>
    <n v="52"/>
    <x v="1"/>
    <x v="0"/>
    <x v="1"/>
  </r>
  <r>
    <n v="1594"/>
    <x v="2"/>
    <x v="43"/>
    <n v="2022"/>
    <x v="0"/>
    <s v=" "/>
    <s v=" "/>
    <x v="0"/>
    <x v="0"/>
    <x v="1"/>
    <n v="25"/>
    <x v="0"/>
    <x v="2"/>
    <x v="2"/>
  </r>
  <r>
    <n v="1595"/>
    <x v="1"/>
    <x v="44"/>
    <n v="2023"/>
    <x v="0"/>
    <s v=" "/>
    <s v=" "/>
    <x v="0"/>
    <x v="0"/>
    <x v="1"/>
    <n v="46"/>
    <x v="3"/>
    <x v="5"/>
    <x v="3"/>
  </r>
  <r>
    <n v="1596"/>
    <x v="1"/>
    <x v="45"/>
    <n v="2019"/>
    <x v="17"/>
    <n v="2021"/>
    <n v="3"/>
    <x v="5"/>
    <x v="1"/>
    <x v="1"/>
    <n v="24"/>
    <x v="0"/>
    <x v="0"/>
    <x v="4"/>
  </r>
  <r>
    <n v="1597"/>
    <x v="1"/>
    <x v="46"/>
    <n v="2021"/>
    <x v="18"/>
    <n v="2024"/>
    <n v="4"/>
    <x v="7"/>
    <x v="1"/>
    <x v="0"/>
    <n v="38"/>
    <x v="4"/>
    <x v="1"/>
    <x v="9"/>
  </r>
  <r>
    <n v="1598"/>
    <x v="3"/>
    <x v="47"/>
    <n v="2019"/>
    <x v="0"/>
    <s v=" "/>
    <s v=" "/>
    <x v="0"/>
    <x v="0"/>
    <x v="0"/>
    <n v="49"/>
    <x v="3"/>
    <x v="1"/>
    <x v="0"/>
  </r>
  <r>
    <n v="1599"/>
    <x v="4"/>
    <x v="48"/>
    <n v="2024"/>
    <x v="0"/>
    <s v=" "/>
    <s v=" "/>
    <x v="0"/>
    <x v="0"/>
    <x v="1"/>
    <n v="31"/>
    <x v="4"/>
    <x v="2"/>
    <x v="2"/>
  </r>
  <r>
    <n v="1600"/>
    <x v="0"/>
    <x v="49"/>
    <n v="2018"/>
    <x v="19"/>
    <n v="2022"/>
    <n v="5"/>
    <x v="4"/>
    <x v="1"/>
    <x v="0"/>
    <n v="51"/>
    <x v="1"/>
    <x v="3"/>
    <x v="3"/>
  </r>
  <r>
    <n v="1601"/>
    <x v="0"/>
    <x v="0"/>
    <n v="2018"/>
    <x v="0"/>
    <s v=" "/>
    <s v=" "/>
    <x v="0"/>
    <x v="0"/>
    <x v="0"/>
    <n v="27"/>
    <x v="0"/>
    <x v="0"/>
    <x v="4"/>
  </r>
  <r>
    <n v="1602"/>
    <x v="1"/>
    <x v="1"/>
    <n v="2020"/>
    <x v="0"/>
    <s v=" "/>
    <s v=" "/>
    <x v="0"/>
    <x v="0"/>
    <x v="1"/>
    <n v="22"/>
    <x v="0"/>
    <x v="4"/>
    <x v="9"/>
  </r>
  <r>
    <n v="1603"/>
    <x v="1"/>
    <x v="2"/>
    <n v="2021"/>
    <x v="0"/>
    <s v=" "/>
    <s v=" "/>
    <x v="0"/>
    <x v="0"/>
    <x v="0"/>
    <n v="50"/>
    <x v="1"/>
    <x v="0"/>
    <x v="1"/>
  </r>
  <r>
    <n v="1604"/>
    <x v="1"/>
    <x v="3"/>
    <n v="2023"/>
    <x v="0"/>
    <s v=" "/>
    <s v=" "/>
    <x v="0"/>
    <x v="0"/>
    <x v="0"/>
    <n v="24"/>
    <x v="0"/>
    <x v="0"/>
    <x v="2"/>
  </r>
  <r>
    <n v="1605"/>
    <x v="1"/>
    <x v="4"/>
    <n v="2019"/>
    <x v="1"/>
    <n v="2021"/>
    <n v="3"/>
    <x v="1"/>
    <x v="1"/>
    <x v="0"/>
    <n v="50"/>
    <x v="1"/>
    <x v="1"/>
    <x v="3"/>
  </r>
  <r>
    <n v="1606"/>
    <x v="2"/>
    <x v="5"/>
    <n v="2022"/>
    <x v="2"/>
    <n v="2023"/>
    <n v="2"/>
    <x v="7"/>
    <x v="1"/>
    <x v="1"/>
    <n v="28"/>
    <x v="0"/>
    <x v="0"/>
    <x v="4"/>
  </r>
  <r>
    <n v="1607"/>
    <x v="3"/>
    <x v="6"/>
    <n v="2024"/>
    <x v="0"/>
    <s v=" "/>
    <s v=" "/>
    <x v="0"/>
    <x v="0"/>
    <x v="0"/>
    <n v="40"/>
    <x v="3"/>
    <x v="2"/>
    <x v="9"/>
  </r>
  <r>
    <n v="1608"/>
    <x v="0"/>
    <x v="7"/>
    <n v="2018"/>
    <x v="0"/>
    <s v=" "/>
    <s v=" "/>
    <x v="0"/>
    <x v="0"/>
    <x v="1"/>
    <n v="32"/>
    <x v="4"/>
    <x v="7"/>
    <x v="0"/>
  </r>
  <r>
    <n v="1609"/>
    <x v="1"/>
    <x v="8"/>
    <n v="2023"/>
    <x v="0"/>
    <s v=" "/>
    <s v=" "/>
    <x v="0"/>
    <x v="0"/>
    <x v="1"/>
    <n v="50"/>
    <x v="1"/>
    <x v="0"/>
    <x v="2"/>
  </r>
  <r>
    <n v="1610"/>
    <x v="4"/>
    <x v="9"/>
    <n v="2024"/>
    <x v="0"/>
    <s v=" "/>
    <s v=" "/>
    <x v="0"/>
    <x v="0"/>
    <x v="1"/>
    <n v="24"/>
    <x v="0"/>
    <x v="1"/>
    <x v="3"/>
  </r>
  <r>
    <n v="1611"/>
    <x v="5"/>
    <x v="10"/>
    <n v="2024"/>
    <x v="0"/>
    <s v=" "/>
    <s v=" "/>
    <x v="0"/>
    <x v="0"/>
    <x v="0"/>
    <n v="36"/>
    <x v="4"/>
    <x v="1"/>
    <x v="10"/>
  </r>
  <r>
    <n v="1612"/>
    <x v="3"/>
    <x v="11"/>
    <n v="2021"/>
    <x v="3"/>
    <n v="2024"/>
    <n v="4"/>
    <x v="7"/>
    <x v="1"/>
    <x v="0"/>
    <n v="49"/>
    <x v="3"/>
    <x v="2"/>
    <x v="4"/>
  </r>
  <r>
    <n v="1613"/>
    <x v="0"/>
    <x v="12"/>
    <n v="2018"/>
    <x v="4"/>
    <n v="2020"/>
    <n v="3"/>
    <x v="7"/>
    <x v="1"/>
    <x v="1"/>
    <n v="43"/>
    <x v="3"/>
    <x v="3"/>
    <x v="9"/>
  </r>
  <r>
    <n v="1614"/>
    <x v="1"/>
    <x v="13"/>
    <n v="2024"/>
    <x v="0"/>
    <s v=" "/>
    <s v=" "/>
    <x v="0"/>
    <x v="0"/>
    <x v="1"/>
    <n v="40"/>
    <x v="3"/>
    <x v="0"/>
    <x v="0"/>
  </r>
  <r>
    <n v="1615"/>
    <x v="1"/>
    <x v="14"/>
    <n v="2018"/>
    <x v="0"/>
    <s v=" "/>
    <s v=" "/>
    <x v="0"/>
    <x v="0"/>
    <x v="0"/>
    <n v="42"/>
    <x v="3"/>
    <x v="4"/>
    <x v="1"/>
  </r>
  <r>
    <n v="1616"/>
    <x v="0"/>
    <x v="15"/>
    <n v="2019"/>
    <x v="5"/>
    <n v="2022"/>
    <n v="4"/>
    <x v="4"/>
    <x v="1"/>
    <x v="0"/>
    <n v="35"/>
    <x v="4"/>
    <x v="0"/>
    <x v="2"/>
  </r>
  <r>
    <n v="1617"/>
    <x v="3"/>
    <x v="16"/>
    <n v="2019"/>
    <x v="6"/>
    <n v="2020"/>
    <n v="2"/>
    <x v="3"/>
    <x v="1"/>
    <x v="0"/>
    <n v="31"/>
    <x v="4"/>
    <x v="0"/>
    <x v="3"/>
  </r>
  <r>
    <n v="1618"/>
    <x v="5"/>
    <x v="17"/>
    <n v="2022"/>
    <x v="0"/>
    <s v=" "/>
    <s v=" "/>
    <x v="0"/>
    <x v="0"/>
    <x v="0"/>
    <n v="51"/>
    <x v="1"/>
    <x v="1"/>
    <x v="4"/>
  </r>
  <r>
    <n v="1619"/>
    <x v="0"/>
    <x v="18"/>
    <n v="2024"/>
    <x v="0"/>
    <s v=" "/>
    <s v=" "/>
    <x v="0"/>
    <x v="0"/>
    <x v="1"/>
    <n v="48"/>
    <x v="3"/>
    <x v="0"/>
    <x v="5"/>
  </r>
  <r>
    <n v="1620"/>
    <x v="3"/>
    <x v="19"/>
    <n v="2019"/>
    <x v="7"/>
    <n v="2022"/>
    <n v="4"/>
    <x v="5"/>
    <x v="1"/>
    <x v="0"/>
    <n v="41"/>
    <x v="3"/>
    <x v="2"/>
    <x v="6"/>
  </r>
  <r>
    <n v="1621"/>
    <x v="5"/>
    <x v="20"/>
    <n v="2021"/>
    <x v="8"/>
    <n v="2024"/>
    <n v="4"/>
    <x v="7"/>
    <x v="1"/>
    <x v="1"/>
    <n v="35"/>
    <x v="4"/>
    <x v="5"/>
    <x v="7"/>
  </r>
  <r>
    <n v="1622"/>
    <x v="2"/>
    <x v="21"/>
    <n v="2023"/>
    <x v="9"/>
    <n v="2024"/>
    <n v="2"/>
    <x v="4"/>
    <x v="1"/>
    <x v="1"/>
    <n v="24"/>
    <x v="0"/>
    <x v="0"/>
    <x v="8"/>
  </r>
  <r>
    <n v="1623"/>
    <x v="1"/>
    <x v="22"/>
    <n v="2023"/>
    <x v="0"/>
    <s v=" "/>
    <s v=" "/>
    <x v="0"/>
    <x v="0"/>
    <x v="0"/>
    <n v="41"/>
    <x v="3"/>
    <x v="1"/>
    <x v="9"/>
  </r>
  <r>
    <n v="1624"/>
    <x v="2"/>
    <x v="23"/>
    <n v="2024"/>
    <x v="0"/>
    <s v=" "/>
    <s v=" "/>
    <x v="0"/>
    <x v="0"/>
    <x v="0"/>
    <n v="40"/>
    <x v="3"/>
    <x v="1"/>
    <x v="10"/>
  </r>
  <r>
    <n v="1625"/>
    <x v="0"/>
    <x v="24"/>
    <n v="2019"/>
    <x v="0"/>
    <s v=" "/>
    <s v=" "/>
    <x v="0"/>
    <x v="0"/>
    <x v="0"/>
    <n v="48"/>
    <x v="3"/>
    <x v="2"/>
    <x v="2"/>
  </r>
  <r>
    <n v="1626"/>
    <x v="1"/>
    <x v="25"/>
    <n v="2022"/>
    <x v="0"/>
    <s v=" "/>
    <s v=" "/>
    <x v="0"/>
    <x v="0"/>
    <x v="1"/>
    <n v="52"/>
    <x v="1"/>
    <x v="3"/>
    <x v="4"/>
  </r>
  <r>
    <n v="1627"/>
    <x v="4"/>
    <x v="26"/>
    <n v="2020"/>
    <x v="10"/>
    <n v="2021"/>
    <n v="2"/>
    <x v="6"/>
    <x v="1"/>
    <x v="0"/>
    <n v="33"/>
    <x v="4"/>
    <x v="0"/>
    <x v="9"/>
  </r>
  <r>
    <n v="1628"/>
    <x v="2"/>
    <x v="27"/>
    <n v="2023"/>
    <x v="0"/>
    <s v=" "/>
    <s v=" "/>
    <x v="0"/>
    <x v="0"/>
    <x v="1"/>
    <n v="51"/>
    <x v="1"/>
    <x v="6"/>
    <x v="1"/>
  </r>
  <r>
    <n v="1629"/>
    <x v="0"/>
    <x v="28"/>
    <n v="2021"/>
    <x v="11"/>
    <n v="2022"/>
    <n v="2"/>
    <x v="7"/>
    <x v="1"/>
    <x v="0"/>
    <n v="46"/>
    <x v="3"/>
    <x v="0"/>
    <x v="2"/>
  </r>
  <r>
    <n v="1630"/>
    <x v="2"/>
    <x v="29"/>
    <n v="2018"/>
    <x v="12"/>
    <n v="2021"/>
    <n v="4"/>
    <x v="1"/>
    <x v="1"/>
    <x v="0"/>
    <n v="53"/>
    <x v="1"/>
    <x v="0"/>
    <x v="3"/>
  </r>
  <r>
    <n v="1631"/>
    <x v="5"/>
    <x v="30"/>
    <n v="2021"/>
    <x v="0"/>
    <s v=" "/>
    <s v=" "/>
    <x v="0"/>
    <x v="0"/>
    <x v="1"/>
    <n v="35"/>
    <x v="4"/>
    <x v="1"/>
    <x v="4"/>
  </r>
  <r>
    <n v="1632"/>
    <x v="0"/>
    <x v="31"/>
    <n v="2024"/>
    <x v="0"/>
    <s v=" "/>
    <s v=" "/>
    <x v="0"/>
    <x v="0"/>
    <x v="1"/>
    <n v="32"/>
    <x v="4"/>
    <x v="0"/>
    <x v="9"/>
  </r>
  <r>
    <n v="1633"/>
    <x v="5"/>
    <x v="32"/>
    <n v="2021"/>
    <x v="0"/>
    <s v=" "/>
    <s v=" "/>
    <x v="0"/>
    <x v="0"/>
    <x v="0"/>
    <n v="46"/>
    <x v="3"/>
    <x v="2"/>
    <x v="0"/>
  </r>
  <r>
    <n v="1634"/>
    <x v="0"/>
    <x v="33"/>
    <n v="2020"/>
    <x v="0"/>
    <s v=" "/>
    <s v=" "/>
    <x v="0"/>
    <x v="0"/>
    <x v="1"/>
    <n v="50"/>
    <x v="1"/>
    <x v="5"/>
    <x v="2"/>
  </r>
  <r>
    <n v="1635"/>
    <x v="2"/>
    <x v="34"/>
    <n v="2018"/>
    <x v="13"/>
    <n v="2022"/>
    <n v="5"/>
    <x v="2"/>
    <x v="1"/>
    <x v="0"/>
    <n v="63"/>
    <x v="2"/>
    <x v="0"/>
    <x v="3"/>
  </r>
  <r>
    <n v="1636"/>
    <x v="2"/>
    <x v="35"/>
    <n v="2018"/>
    <x v="0"/>
    <s v=" "/>
    <s v=" "/>
    <x v="0"/>
    <x v="0"/>
    <x v="0"/>
    <n v="29"/>
    <x v="0"/>
    <x v="1"/>
    <x v="1"/>
  </r>
  <r>
    <n v="1637"/>
    <x v="2"/>
    <x v="36"/>
    <n v="2021"/>
    <x v="14"/>
    <n v="2024"/>
    <n v="4"/>
    <x v="1"/>
    <x v="1"/>
    <x v="0"/>
    <n v="27"/>
    <x v="0"/>
    <x v="1"/>
    <x v="2"/>
  </r>
  <r>
    <n v="1638"/>
    <x v="4"/>
    <x v="37"/>
    <n v="2021"/>
    <x v="15"/>
    <n v="2023"/>
    <n v="3"/>
    <x v="4"/>
    <x v="1"/>
    <x v="1"/>
    <n v="31"/>
    <x v="4"/>
    <x v="2"/>
    <x v="3"/>
  </r>
  <r>
    <n v="1639"/>
    <x v="0"/>
    <x v="38"/>
    <n v="2019"/>
    <x v="16"/>
    <n v="2022"/>
    <n v="4"/>
    <x v="3"/>
    <x v="1"/>
    <x v="0"/>
    <n v="24"/>
    <x v="0"/>
    <x v="3"/>
    <x v="4"/>
  </r>
  <r>
    <n v="1640"/>
    <x v="5"/>
    <x v="39"/>
    <n v="2020"/>
    <x v="0"/>
    <s v=" "/>
    <s v=" "/>
    <x v="0"/>
    <x v="0"/>
    <x v="1"/>
    <n v="37"/>
    <x v="4"/>
    <x v="0"/>
    <x v="5"/>
  </r>
  <r>
    <n v="1641"/>
    <x v="4"/>
    <x v="40"/>
    <n v="2020"/>
    <x v="0"/>
    <s v=" "/>
    <s v=" "/>
    <x v="0"/>
    <x v="0"/>
    <x v="0"/>
    <n v="23"/>
    <x v="0"/>
    <x v="4"/>
    <x v="6"/>
  </r>
  <r>
    <n v="1642"/>
    <x v="4"/>
    <x v="41"/>
    <n v="2024"/>
    <x v="0"/>
    <s v=" "/>
    <s v=" "/>
    <x v="0"/>
    <x v="0"/>
    <x v="1"/>
    <n v="31"/>
    <x v="4"/>
    <x v="0"/>
    <x v="7"/>
  </r>
  <r>
    <n v="1643"/>
    <x v="5"/>
    <x v="42"/>
    <n v="2024"/>
    <x v="0"/>
    <s v=" "/>
    <s v=" "/>
    <x v="0"/>
    <x v="0"/>
    <x v="1"/>
    <n v="52"/>
    <x v="1"/>
    <x v="0"/>
    <x v="8"/>
  </r>
  <r>
    <n v="1644"/>
    <x v="2"/>
    <x v="43"/>
    <n v="2022"/>
    <x v="0"/>
    <s v=" "/>
    <s v=" "/>
    <x v="0"/>
    <x v="0"/>
    <x v="0"/>
    <n v="25"/>
    <x v="0"/>
    <x v="1"/>
    <x v="9"/>
  </r>
  <r>
    <n v="1645"/>
    <x v="1"/>
    <x v="44"/>
    <n v="2023"/>
    <x v="0"/>
    <s v=" "/>
    <s v=" "/>
    <x v="0"/>
    <x v="0"/>
    <x v="1"/>
    <n v="46"/>
    <x v="3"/>
    <x v="0"/>
    <x v="10"/>
  </r>
  <r>
    <n v="1646"/>
    <x v="1"/>
    <x v="45"/>
    <n v="2019"/>
    <x v="17"/>
    <n v="2021"/>
    <n v="3"/>
    <x v="5"/>
    <x v="1"/>
    <x v="1"/>
    <n v="24"/>
    <x v="0"/>
    <x v="2"/>
    <x v="2"/>
  </r>
  <r>
    <n v="1647"/>
    <x v="1"/>
    <x v="46"/>
    <n v="2021"/>
    <x v="18"/>
    <n v="2024"/>
    <n v="4"/>
    <x v="5"/>
    <x v="1"/>
    <x v="0"/>
    <n v="38"/>
    <x v="4"/>
    <x v="5"/>
    <x v="4"/>
  </r>
  <r>
    <n v="1648"/>
    <x v="3"/>
    <x v="47"/>
    <n v="2019"/>
    <x v="0"/>
    <s v=" "/>
    <s v=" "/>
    <x v="0"/>
    <x v="0"/>
    <x v="0"/>
    <n v="49"/>
    <x v="3"/>
    <x v="0"/>
    <x v="9"/>
  </r>
  <r>
    <n v="1649"/>
    <x v="4"/>
    <x v="48"/>
    <n v="2024"/>
    <x v="0"/>
    <s v=" "/>
    <s v=" "/>
    <x v="0"/>
    <x v="0"/>
    <x v="1"/>
    <n v="31"/>
    <x v="4"/>
    <x v="1"/>
    <x v="1"/>
  </r>
  <r>
    <n v="1650"/>
    <x v="0"/>
    <x v="49"/>
    <n v="2018"/>
    <x v="19"/>
    <n v="2022"/>
    <n v="5"/>
    <x v="4"/>
    <x v="1"/>
    <x v="1"/>
    <n v="51"/>
    <x v="1"/>
    <x v="1"/>
    <x v="2"/>
  </r>
  <r>
    <n v="1651"/>
    <x v="0"/>
    <x v="0"/>
    <n v="2018"/>
    <x v="0"/>
    <s v=" "/>
    <s v=" "/>
    <x v="0"/>
    <x v="0"/>
    <x v="0"/>
    <n v="27"/>
    <x v="0"/>
    <x v="2"/>
    <x v="3"/>
  </r>
  <r>
    <n v="1652"/>
    <x v="1"/>
    <x v="1"/>
    <n v="2020"/>
    <x v="0"/>
    <s v=" "/>
    <s v=" "/>
    <x v="0"/>
    <x v="0"/>
    <x v="1"/>
    <n v="22"/>
    <x v="0"/>
    <x v="3"/>
    <x v="4"/>
  </r>
  <r>
    <n v="1653"/>
    <x v="1"/>
    <x v="2"/>
    <n v="2021"/>
    <x v="0"/>
    <s v=" "/>
    <s v=" "/>
    <x v="0"/>
    <x v="0"/>
    <x v="0"/>
    <n v="50"/>
    <x v="1"/>
    <x v="0"/>
    <x v="9"/>
  </r>
  <r>
    <n v="1654"/>
    <x v="1"/>
    <x v="3"/>
    <n v="2023"/>
    <x v="0"/>
    <s v=" "/>
    <s v=" "/>
    <x v="0"/>
    <x v="0"/>
    <x v="0"/>
    <n v="24"/>
    <x v="0"/>
    <x v="4"/>
    <x v="0"/>
  </r>
  <r>
    <n v="1655"/>
    <x v="1"/>
    <x v="4"/>
    <n v="2019"/>
    <x v="1"/>
    <n v="2021"/>
    <n v="3"/>
    <x v="1"/>
    <x v="1"/>
    <x v="0"/>
    <n v="50"/>
    <x v="1"/>
    <x v="0"/>
    <x v="2"/>
  </r>
  <r>
    <n v="1656"/>
    <x v="2"/>
    <x v="5"/>
    <n v="2022"/>
    <x v="2"/>
    <n v="2023"/>
    <n v="2"/>
    <x v="7"/>
    <x v="1"/>
    <x v="1"/>
    <n v="28"/>
    <x v="0"/>
    <x v="0"/>
    <x v="3"/>
  </r>
  <r>
    <n v="1657"/>
    <x v="3"/>
    <x v="6"/>
    <n v="2024"/>
    <x v="0"/>
    <s v=" "/>
    <s v=" "/>
    <x v="0"/>
    <x v="0"/>
    <x v="0"/>
    <n v="40"/>
    <x v="3"/>
    <x v="1"/>
    <x v="4"/>
  </r>
  <r>
    <n v="1658"/>
    <x v="0"/>
    <x v="7"/>
    <n v="2018"/>
    <x v="0"/>
    <s v=" "/>
    <s v=" "/>
    <x v="0"/>
    <x v="0"/>
    <x v="1"/>
    <n v="32"/>
    <x v="4"/>
    <x v="0"/>
    <x v="9"/>
  </r>
  <r>
    <n v="1659"/>
    <x v="1"/>
    <x v="8"/>
    <n v="2023"/>
    <x v="0"/>
    <s v=" "/>
    <s v=" "/>
    <x v="0"/>
    <x v="0"/>
    <x v="0"/>
    <n v="50"/>
    <x v="1"/>
    <x v="2"/>
    <x v="1"/>
  </r>
  <r>
    <n v="1660"/>
    <x v="4"/>
    <x v="9"/>
    <n v="2024"/>
    <x v="0"/>
    <s v=" "/>
    <s v=" "/>
    <x v="0"/>
    <x v="0"/>
    <x v="1"/>
    <n v="24"/>
    <x v="0"/>
    <x v="7"/>
    <x v="2"/>
  </r>
  <r>
    <n v="1661"/>
    <x v="5"/>
    <x v="10"/>
    <n v="2024"/>
    <x v="0"/>
    <s v=" "/>
    <s v=" "/>
    <x v="0"/>
    <x v="0"/>
    <x v="1"/>
    <n v="36"/>
    <x v="4"/>
    <x v="0"/>
    <x v="3"/>
  </r>
  <r>
    <n v="1662"/>
    <x v="3"/>
    <x v="11"/>
    <n v="2021"/>
    <x v="3"/>
    <n v="2024"/>
    <n v="4"/>
    <x v="7"/>
    <x v="1"/>
    <x v="0"/>
    <n v="49"/>
    <x v="3"/>
    <x v="1"/>
    <x v="4"/>
  </r>
  <r>
    <n v="1663"/>
    <x v="0"/>
    <x v="12"/>
    <n v="2018"/>
    <x v="4"/>
    <n v="2020"/>
    <n v="3"/>
    <x v="3"/>
    <x v="1"/>
    <x v="1"/>
    <n v="43"/>
    <x v="3"/>
    <x v="1"/>
    <x v="9"/>
  </r>
  <r>
    <n v="1664"/>
    <x v="1"/>
    <x v="13"/>
    <n v="2024"/>
    <x v="0"/>
    <s v=" "/>
    <s v=" "/>
    <x v="0"/>
    <x v="0"/>
    <x v="1"/>
    <n v="40"/>
    <x v="3"/>
    <x v="2"/>
    <x v="0"/>
  </r>
  <r>
    <n v="1665"/>
    <x v="1"/>
    <x v="14"/>
    <n v="2018"/>
    <x v="0"/>
    <s v=" "/>
    <s v=" "/>
    <x v="0"/>
    <x v="0"/>
    <x v="0"/>
    <n v="42"/>
    <x v="3"/>
    <x v="3"/>
    <x v="2"/>
  </r>
  <r>
    <n v="1666"/>
    <x v="0"/>
    <x v="15"/>
    <n v="2019"/>
    <x v="5"/>
    <n v="2022"/>
    <n v="4"/>
    <x v="4"/>
    <x v="1"/>
    <x v="0"/>
    <n v="35"/>
    <x v="4"/>
    <x v="0"/>
    <x v="3"/>
  </r>
  <r>
    <n v="1667"/>
    <x v="3"/>
    <x v="16"/>
    <n v="2019"/>
    <x v="6"/>
    <n v="2020"/>
    <n v="2"/>
    <x v="7"/>
    <x v="1"/>
    <x v="0"/>
    <n v="31"/>
    <x v="4"/>
    <x v="7"/>
    <x v="10"/>
  </r>
  <r>
    <n v="1668"/>
    <x v="5"/>
    <x v="17"/>
    <n v="2022"/>
    <x v="0"/>
    <s v=" "/>
    <s v=" "/>
    <x v="0"/>
    <x v="0"/>
    <x v="1"/>
    <n v="51"/>
    <x v="1"/>
    <x v="0"/>
    <x v="4"/>
  </r>
  <r>
    <n v="1669"/>
    <x v="0"/>
    <x v="18"/>
    <n v="2024"/>
    <x v="0"/>
    <s v=" "/>
    <s v=" "/>
    <x v="0"/>
    <x v="0"/>
    <x v="1"/>
    <n v="48"/>
    <x v="3"/>
    <x v="0"/>
    <x v="9"/>
  </r>
  <r>
    <n v="1670"/>
    <x v="3"/>
    <x v="19"/>
    <n v="2019"/>
    <x v="7"/>
    <n v="2022"/>
    <n v="4"/>
    <x v="5"/>
    <x v="1"/>
    <x v="0"/>
    <n v="41"/>
    <x v="3"/>
    <x v="1"/>
    <x v="0"/>
  </r>
  <r>
    <n v="1671"/>
    <x v="5"/>
    <x v="20"/>
    <n v="2021"/>
    <x v="8"/>
    <n v="2024"/>
    <n v="4"/>
    <x v="7"/>
    <x v="1"/>
    <x v="1"/>
    <n v="35"/>
    <x v="4"/>
    <x v="0"/>
    <x v="1"/>
  </r>
  <r>
    <n v="1672"/>
    <x v="2"/>
    <x v="21"/>
    <n v="2023"/>
    <x v="9"/>
    <n v="2024"/>
    <n v="2"/>
    <x v="4"/>
    <x v="1"/>
    <x v="0"/>
    <n v="24"/>
    <x v="0"/>
    <x v="2"/>
    <x v="2"/>
  </r>
  <r>
    <n v="1673"/>
    <x v="1"/>
    <x v="22"/>
    <n v="2023"/>
    <x v="0"/>
    <s v=" "/>
    <s v=" "/>
    <x v="0"/>
    <x v="0"/>
    <x v="0"/>
    <n v="41"/>
    <x v="3"/>
    <x v="5"/>
    <x v="3"/>
  </r>
  <r>
    <n v="1674"/>
    <x v="2"/>
    <x v="23"/>
    <n v="2024"/>
    <x v="0"/>
    <s v=" "/>
    <s v=" "/>
    <x v="0"/>
    <x v="0"/>
    <x v="0"/>
    <n v="40"/>
    <x v="3"/>
    <x v="0"/>
    <x v="1"/>
  </r>
  <r>
    <n v="1675"/>
    <x v="0"/>
    <x v="24"/>
    <n v="2019"/>
    <x v="0"/>
    <s v=" "/>
    <s v=" "/>
    <x v="0"/>
    <x v="0"/>
    <x v="1"/>
    <n v="48"/>
    <x v="3"/>
    <x v="1"/>
    <x v="2"/>
  </r>
  <r>
    <n v="1676"/>
    <x v="1"/>
    <x v="25"/>
    <n v="2022"/>
    <x v="0"/>
    <s v=" "/>
    <s v=" "/>
    <x v="0"/>
    <x v="0"/>
    <x v="0"/>
    <n v="52"/>
    <x v="1"/>
    <x v="1"/>
    <x v="3"/>
  </r>
  <r>
    <n v="1677"/>
    <x v="4"/>
    <x v="26"/>
    <n v="2020"/>
    <x v="10"/>
    <n v="2021"/>
    <n v="2"/>
    <x v="7"/>
    <x v="1"/>
    <x v="1"/>
    <n v="33"/>
    <x v="4"/>
    <x v="2"/>
    <x v="4"/>
  </r>
  <r>
    <n v="1678"/>
    <x v="2"/>
    <x v="27"/>
    <n v="2023"/>
    <x v="0"/>
    <s v=" "/>
    <s v=" "/>
    <x v="0"/>
    <x v="0"/>
    <x v="0"/>
    <n v="51"/>
    <x v="1"/>
    <x v="3"/>
    <x v="5"/>
  </r>
  <r>
    <n v="1679"/>
    <x v="0"/>
    <x v="28"/>
    <n v="2021"/>
    <x v="11"/>
    <n v="2022"/>
    <n v="2"/>
    <x v="3"/>
    <x v="1"/>
    <x v="1"/>
    <n v="46"/>
    <x v="3"/>
    <x v="0"/>
    <x v="6"/>
  </r>
  <r>
    <n v="1680"/>
    <x v="2"/>
    <x v="29"/>
    <n v="2018"/>
    <x v="12"/>
    <n v="2021"/>
    <n v="4"/>
    <x v="1"/>
    <x v="1"/>
    <x v="1"/>
    <n v="53"/>
    <x v="1"/>
    <x v="6"/>
    <x v="7"/>
  </r>
  <r>
    <n v="1681"/>
    <x v="5"/>
    <x v="30"/>
    <n v="2021"/>
    <x v="0"/>
    <s v=" "/>
    <s v=" "/>
    <x v="0"/>
    <x v="0"/>
    <x v="0"/>
    <n v="35"/>
    <x v="4"/>
    <x v="0"/>
    <x v="8"/>
  </r>
  <r>
    <n v="1682"/>
    <x v="0"/>
    <x v="31"/>
    <n v="2024"/>
    <x v="0"/>
    <s v=" "/>
    <s v=" "/>
    <x v="0"/>
    <x v="0"/>
    <x v="1"/>
    <n v="32"/>
    <x v="4"/>
    <x v="0"/>
    <x v="9"/>
  </r>
  <r>
    <n v="1683"/>
    <x v="5"/>
    <x v="32"/>
    <n v="2021"/>
    <x v="0"/>
    <s v=" "/>
    <s v=" "/>
    <x v="0"/>
    <x v="0"/>
    <x v="1"/>
    <n v="46"/>
    <x v="3"/>
    <x v="1"/>
    <x v="10"/>
  </r>
  <r>
    <n v="1684"/>
    <x v="0"/>
    <x v="33"/>
    <n v="2020"/>
    <x v="0"/>
    <s v=" "/>
    <s v=" "/>
    <x v="0"/>
    <x v="0"/>
    <x v="0"/>
    <n v="50"/>
    <x v="1"/>
    <x v="0"/>
    <x v="2"/>
  </r>
  <r>
    <n v="1685"/>
    <x v="2"/>
    <x v="34"/>
    <n v="2018"/>
    <x v="13"/>
    <n v="2022"/>
    <n v="5"/>
    <x v="2"/>
    <x v="1"/>
    <x v="0"/>
    <n v="63"/>
    <x v="2"/>
    <x v="2"/>
    <x v="4"/>
  </r>
  <r>
    <n v="1686"/>
    <x v="2"/>
    <x v="35"/>
    <n v="2018"/>
    <x v="0"/>
    <s v=" "/>
    <s v=" "/>
    <x v="0"/>
    <x v="0"/>
    <x v="0"/>
    <n v="29"/>
    <x v="0"/>
    <x v="7"/>
    <x v="9"/>
  </r>
  <r>
    <n v="1687"/>
    <x v="2"/>
    <x v="36"/>
    <n v="2021"/>
    <x v="14"/>
    <n v="2024"/>
    <n v="4"/>
    <x v="1"/>
    <x v="1"/>
    <x v="1"/>
    <n v="27"/>
    <x v="0"/>
    <x v="0"/>
    <x v="1"/>
  </r>
  <r>
    <n v="1688"/>
    <x v="4"/>
    <x v="37"/>
    <n v="2021"/>
    <x v="15"/>
    <n v="2023"/>
    <n v="3"/>
    <x v="4"/>
    <x v="1"/>
    <x v="1"/>
    <n v="31"/>
    <x v="4"/>
    <x v="1"/>
    <x v="2"/>
  </r>
  <r>
    <n v="1689"/>
    <x v="0"/>
    <x v="38"/>
    <n v="2019"/>
    <x v="16"/>
    <n v="2022"/>
    <n v="4"/>
    <x v="3"/>
    <x v="1"/>
    <x v="0"/>
    <n v="24"/>
    <x v="0"/>
    <x v="1"/>
    <x v="3"/>
  </r>
  <r>
    <n v="1690"/>
    <x v="5"/>
    <x v="39"/>
    <n v="2020"/>
    <x v="0"/>
    <s v=" "/>
    <s v=" "/>
    <x v="0"/>
    <x v="0"/>
    <x v="1"/>
    <n v="37"/>
    <x v="4"/>
    <x v="2"/>
    <x v="4"/>
  </r>
  <r>
    <n v="1691"/>
    <x v="4"/>
    <x v="40"/>
    <n v="2020"/>
    <x v="0"/>
    <s v=" "/>
    <s v=" "/>
    <x v="0"/>
    <x v="0"/>
    <x v="0"/>
    <n v="23"/>
    <x v="0"/>
    <x v="3"/>
    <x v="9"/>
  </r>
  <r>
    <n v="1692"/>
    <x v="4"/>
    <x v="41"/>
    <n v="2024"/>
    <x v="0"/>
    <s v=" "/>
    <s v=" "/>
    <x v="0"/>
    <x v="0"/>
    <x v="0"/>
    <n v="31"/>
    <x v="4"/>
    <x v="0"/>
    <x v="0"/>
  </r>
  <r>
    <n v="1693"/>
    <x v="5"/>
    <x v="42"/>
    <n v="2024"/>
    <x v="0"/>
    <s v=" "/>
    <s v=" "/>
    <x v="0"/>
    <x v="0"/>
    <x v="0"/>
    <n v="52"/>
    <x v="1"/>
    <x v="6"/>
    <x v="2"/>
  </r>
  <r>
    <n v="1694"/>
    <x v="2"/>
    <x v="43"/>
    <n v="2022"/>
    <x v="0"/>
    <s v=" "/>
    <s v=" "/>
    <x v="0"/>
    <x v="0"/>
    <x v="1"/>
    <n v="25"/>
    <x v="0"/>
    <x v="0"/>
    <x v="3"/>
  </r>
  <r>
    <n v="1695"/>
    <x v="1"/>
    <x v="44"/>
    <n v="2023"/>
    <x v="0"/>
    <s v=" "/>
    <s v=" "/>
    <x v="0"/>
    <x v="0"/>
    <x v="0"/>
    <n v="46"/>
    <x v="3"/>
    <x v="0"/>
    <x v="4"/>
  </r>
  <r>
    <n v="1696"/>
    <x v="1"/>
    <x v="45"/>
    <n v="2019"/>
    <x v="17"/>
    <n v="2021"/>
    <n v="3"/>
    <x v="5"/>
    <x v="1"/>
    <x v="1"/>
    <n v="24"/>
    <x v="0"/>
    <x v="1"/>
    <x v="9"/>
  </r>
  <r>
    <n v="1697"/>
    <x v="1"/>
    <x v="46"/>
    <n v="2021"/>
    <x v="18"/>
    <n v="2024"/>
    <n v="4"/>
    <x v="5"/>
    <x v="1"/>
    <x v="0"/>
    <n v="38"/>
    <x v="4"/>
    <x v="0"/>
    <x v="1"/>
  </r>
  <r>
    <n v="1698"/>
    <x v="3"/>
    <x v="47"/>
    <n v="2019"/>
    <x v="0"/>
    <s v=" "/>
    <s v=" "/>
    <x v="0"/>
    <x v="0"/>
    <x v="1"/>
    <n v="49"/>
    <x v="3"/>
    <x v="2"/>
    <x v="2"/>
  </r>
  <r>
    <n v="1699"/>
    <x v="4"/>
    <x v="48"/>
    <n v="2024"/>
    <x v="0"/>
    <s v=" "/>
    <s v=" "/>
    <x v="0"/>
    <x v="0"/>
    <x v="1"/>
    <n v="31"/>
    <x v="4"/>
    <x v="7"/>
    <x v="3"/>
  </r>
  <r>
    <n v="1700"/>
    <x v="0"/>
    <x v="49"/>
    <n v="2018"/>
    <x v="19"/>
    <n v="2022"/>
    <n v="5"/>
    <x v="4"/>
    <x v="1"/>
    <x v="0"/>
    <n v="51"/>
    <x v="1"/>
    <x v="0"/>
    <x v="4"/>
  </r>
  <r>
    <n v="1701"/>
    <x v="0"/>
    <x v="0"/>
    <n v="2018"/>
    <x v="0"/>
    <s v=" "/>
    <s v=" "/>
    <x v="0"/>
    <x v="0"/>
    <x v="1"/>
    <n v="27"/>
    <x v="0"/>
    <x v="1"/>
    <x v="9"/>
  </r>
  <r>
    <n v="1702"/>
    <x v="1"/>
    <x v="1"/>
    <n v="2020"/>
    <x v="0"/>
    <s v=" "/>
    <s v=" "/>
    <x v="0"/>
    <x v="0"/>
    <x v="1"/>
    <n v="22"/>
    <x v="0"/>
    <x v="1"/>
    <x v="0"/>
  </r>
  <r>
    <n v="1703"/>
    <x v="1"/>
    <x v="2"/>
    <n v="2021"/>
    <x v="0"/>
    <s v=" "/>
    <s v=" "/>
    <x v="0"/>
    <x v="0"/>
    <x v="0"/>
    <n v="50"/>
    <x v="1"/>
    <x v="2"/>
    <x v="2"/>
  </r>
  <r>
    <n v="1704"/>
    <x v="1"/>
    <x v="3"/>
    <n v="2023"/>
    <x v="0"/>
    <s v=" "/>
    <s v=" "/>
    <x v="0"/>
    <x v="0"/>
    <x v="1"/>
    <n v="24"/>
    <x v="0"/>
    <x v="3"/>
    <x v="3"/>
  </r>
  <r>
    <n v="1705"/>
    <x v="1"/>
    <x v="4"/>
    <n v="2019"/>
    <x v="1"/>
    <n v="2021"/>
    <n v="3"/>
    <x v="1"/>
    <x v="1"/>
    <x v="1"/>
    <n v="50"/>
    <x v="1"/>
    <x v="0"/>
    <x v="10"/>
  </r>
  <r>
    <n v="1706"/>
    <x v="2"/>
    <x v="5"/>
    <n v="2022"/>
    <x v="2"/>
    <n v="2023"/>
    <n v="2"/>
    <x v="7"/>
    <x v="1"/>
    <x v="0"/>
    <n v="28"/>
    <x v="0"/>
    <x v="6"/>
    <x v="4"/>
  </r>
  <r>
    <n v="1707"/>
    <x v="3"/>
    <x v="6"/>
    <n v="2024"/>
    <x v="0"/>
    <s v=" "/>
    <s v=" "/>
    <x v="0"/>
    <x v="0"/>
    <x v="1"/>
    <n v="40"/>
    <x v="3"/>
    <x v="0"/>
    <x v="9"/>
  </r>
  <r>
    <n v="1708"/>
    <x v="0"/>
    <x v="7"/>
    <n v="2018"/>
    <x v="0"/>
    <s v=" "/>
    <s v=" "/>
    <x v="0"/>
    <x v="0"/>
    <x v="0"/>
    <n v="32"/>
    <x v="4"/>
    <x v="0"/>
    <x v="0"/>
  </r>
  <r>
    <n v="1709"/>
    <x v="1"/>
    <x v="8"/>
    <n v="2023"/>
    <x v="0"/>
    <s v=" "/>
    <s v=" "/>
    <x v="0"/>
    <x v="0"/>
    <x v="0"/>
    <n v="50"/>
    <x v="1"/>
    <x v="1"/>
    <x v="1"/>
  </r>
  <r>
    <n v="1710"/>
    <x v="4"/>
    <x v="9"/>
    <n v="2024"/>
    <x v="0"/>
    <s v=" "/>
    <s v=" "/>
    <x v="0"/>
    <x v="0"/>
    <x v="0"/>
    <n v="24"/>
    <x v="0"/>
    <x v="0"/>
    <x v="2"/>
  </r>
  <r>
    <n v="1711"/>
    <x v="5"/>
    <x v="10"/>
    <n v="2024"/>
    <x v="0"/>
    <s v=" "/>
    <s v=" "/>
    <x v="0"/>
    <x v="0"/>
    <x v="1"/>
    <n v="36"/>
    <x v="4"/>
    <x v="2"/>
    <x v="3"/>
  </r>
  <r>
    <n v="1712"/>
    <x v="3"/>
    <x v="11"/>
    <n v="2021"/>
    <x v="3"/>
    <n v="2024"/>
    <n v="4"/>
    <x v="7"/>
    <x v="1"/>
    <x v="0"/>
    <n v="49"/>
    <x v="3"/>
    <x v="5"/>
    <x v="1"/>
  </r>
  <r>
    <n v="1713"/>
    <x v="0"/>
    <x v="12"/>
    <n v="2018"/>
    <x v="4"/>
    <n v="2020"/>
    <n v="3"/>
    <x v="3"/>
    <x v="1"/>
    <x v="1"/>
    <n v="43"/>
    <x v="3"/>
    <x v="0"/>
    <x v="2"/>
  </r>
  <r>
    <n v="1714"/>
    <x v="1"/>
    <x v="13"/>
    <n v="2024"/>
    <x v="0"/>
    <s v=" "/>
    <s v=" "/>
    <x v="0"/>
    <x v="0"/>
    <x v="0"/>
    <n v="40"/>
    <x v="3"/>
    <x v="1"/>
    <x v="3"/>
  </r>
  <r>
    <n v="1715"/>
    <x v="1"/>
    <x v="14"/>
    <n v="2018"/>
    <x v="0"/>
    <s v=" "/>
    <s v=" "/>
    <x v="0"/>
    <x v="0"/>
    <x v="1"/>
    <n v="42"/>
    <x v="3"/>
    <x v="1"/>
    <x v="4"/>
  </r>
  <r>
    <n v="1716"/>
    <x v="0"/>
    <x v="15"/>
    <n v="2019"/>
    <x v="5"/>
    <n v="2022"/>
    <n v="4"/>
    <x v="4"/>
    <x v="1"/>
    <x v="1"/>
    <n v="35"/>
    <x v="4"/>
    <x v="2"/>
    <x v="5"/>
  </r>
  <r>
    <n v="1717"/>
    <x v="3"/>
    <x v="16"/>
    <n v="2019"/>
    <x v="6"/>
    <n v="2020"/>
    <n v="2"/>
    <x v="3"/>
    <x v="1"/>
    <x v="0"/>
    <n v="31"/>
    <x v="4"/>
    <x v="3"/>
    <x v="6"/>
  </r>
  <r>
    <n v="1718"/>
    <x v="5"/>
    <x v="17"/>
    <n v="2022"/>
    <x v="0"/>
    <s v=" "/>
    <s v=" "/>
    <x v="0"/>
    <x v="0"/>
    <x v="1"/>
    <n v="51"/>
    <x v="1"/>
    <x v="0"/>
    <x v="7"/>
  </r>
  <r>
    <n v="1719"/>
    <x v="0"/>
    <x v="18"/>
    <n v="2024"/>
    <x v="0"/>
    <s v=" "/>
    <s v=" "/>
    <x v="0"/>
    <x v="0"/>
    <x v="1"/>
    <n v="48"/>
    <x v="3"/>
    <x v="6"/>
    <x v="8"/>
  </r>
  <r>
    <n v="1720"/>
    <x v="3"/>
    <x v="19"/>
    <n v="2019"/>
    <x v="7"/>
    <n v="2022"/>
    <n v="4"/>
    <x v="5"/>
    <x v="1"/>
    <x v="0"/>
    <n v="41"/>
    <x v="3"/>
    <x v="0"/>
    <x v="9"/>
  </r>
  <r>
    <n v="1721"/>
    <x v="5"/>
    <x v="20"/>
    <n v="2021"/>
    <x v="8"/>
    <n v="2024"/>
    <n v="4"/>
    <x v="7"/>
    <x v="1"/>
    <x v="1"/>
    <n v="35"/>
    <x v="4"/>
    <x v="0"/>
    <x v="10"/>
  </r>
  <r>
    <n v="1722"/>
    <x v="2"/>
    <x v="21"/>
    <n v="2023"/>
    <x v="9"/>
    <n v="2024"/>
    <n v="2"/>
    <x v="4"/>
    <x v="1"/>
    <x v="1"/>
    <n v="24"/>
    <x v="0"/>
    <x v="1"/>
    <x v="2"/>
  </r>
  <r>
    <n v="1723"/>
    <x v="1"/>
    <x v="22"/>
    <n v="2023"/>
    <x v="0"/>
    <s v=" "/>
    <s v=" "/>
    <x v="0"/>
    <x v="0"/>
    <x v="1"/>
    <n v="41"/>
    <x v="3"/>
    <x v="0"/>
    <x v="4"/>
  </r>
  <r>
    <n v="1724"/>
    <x v="2"/>
    <x v="23"/>
    <n v="2024"/>
    <x v="0"/>
    <s v=" "/>
    <s v=" "/>
    <x v="0"/>
    <x v="0"/>
    <x v="0"/>
    <n v="40"/>
    <x v="3"/>
    <x v="2"/>
    <x v="9"/>
  </r>
  <r>
    <n v="1725"/>
    <x v="0"/>
    <x v="24"/>
    <n v="2019"/>
    <x v="0"/>
    <s v=" "/>
    <s v=" "/>
    <x v="0"/>
    <x v="0"/>
    <x v="1"/>
    <n v="48"/>
    <x v="3"/>
    <x v="5"/>
    <x v="1"/>
  </r>
  <r>
    <n v="1726"/>
    <x v="1"/>
    <x v="25"/>
    <n v="2022"/>
    <x v="0"/>
    <s v=" "/>
    <s v=" "/>
    <x v="0"/>
    <x v="0"/>
    <x v="0"/>
    <n v="52"/>
    <x v="1"/>
    <x v="0"/>
    <x v="2"/>
  </r>
  <r>
    <n v="1727"/>
    <x v="4"/>
    <x v="26"/>
    <n v="2020"/>
    <x v="10"/>
    <n v="2021"/>
    <n v="2"/>
    <x v="6"/>
    <x v="1"/>
    <x v="0"/>
    <n v="33"/>
    <x v="4"/>
    <x v="1"/>
    <x v="3"/>
  </r>
  <r>
    <n v="1728"/>
    <x v="2"/>
    <x v="27"/>
    <n v="2023"/>
    <x v="0"/>
    <s v=" "/>
    <s v=" "/>
    <x v="0"/>
    <x v="0"/>
    <x v="0"/>
    <n v="51"/>
    <x v="1"/>
    <x v="1"/>
    <x v="4"/>
  </r>
  <r>
    <n v="1729"/>
    <x v="0"/>
    <x v="28"/>
    <n v="2021"/>
    <x v="11"/>
    <n v="2022"/>
    <n v="2"/>
    <x v="3"/>
    <x v="1"/>
    <x v="1"/>
    <n v="46"/>
    <x v="3"/>
    <x v="2"/>
    <x v="9"/>
  </r>
  <r>
    <n v="1730"/>
    <x v="2"/>
    <x v="29"/>
    <n v="2018"/>
    <x v="12"/>
    <n v="2021"/>
    <n v="4"/>
    <x v="1"/>
    <x v="1"/>
    <x v="0"/>
    <n v="53"/>
    <x v="1"/>
    <x v="3"/>
    <x v="0"/>
  </r>
  <r>
    <n v="1731"/>
    <x v="5"/>
    <x v="30"/>
    <n v="2021"/>
    <x v="0"/>
    <s v=" "/>
    <s v=" "/>
    <x v="0"/>
    <x v="0"/>
    <x v="1"/>
    <n v="35"/>
    <x v="4"/>
    <x v="0"/>
    <x v="2"/>
  </r>
  <r>
    <n v="1732"/>
    <x v="0"/>
    <x v="31"/>
    <n v="2024"/>
    <x v="0"/>
    <s v=" "/>
    <s v=" "/>
    <x v="0"/>
    <x v="0"/>
    <x v="0"/>
    <n v="32"/>
    <x v="4"/>
    <x v="4"/>
    <x v="3"/>
  </r>
  <r>
    <n v="1733"/>
    <x v="5"/>
    <x v="32"/>
    <n v="2021"/>
    <x v="0"/>
    <s v=" "/>
    <s v=" "/>
    <x v="0"/>
    <x v="0"/>
    <x v="1"/>
    <n v="46"/>
    <x v="3"/>
    <x v="0"/>
    <x v="4"/>
  </r>
  <r>
    <n v="1734"/>
    <x v="0"/>
    <x v="33"/>
    <n v="2020"/>
    <x v="0"/>
    <s v=" "/>
    <s v=" "/>
    <x v="0"/>
    <x v="0"/>
    <x v="1"/>
    <n v="50"/>
    <x v="1"/>
    <x v="0"/>
    <x v="9"/>
  </r>
  <r>
    <n v="1735"/>
    <x v="2"/>
    <x v="34"/>
    <n v="2018"/>
    <x v="13"/>
    <n v="2022"/>
    <n v="5"/>
    <x v="2"/>
    <x v="1"/>
    <x v="0"/>
    <n v="62"/>
    <x v="2"/>
    <x v="1"/>
    <x v="1"/>
  </r>
  <r>
    <n v="1736"/>
    <x v="2"/>
    <x v="35"/>
    <n v="2018"/>
    <x v="0"/>
    <s v=" "/>
    <s v=" "/>
    <x v="0"/>
    <x v="0"/>
    <x v="1"/>
    <n v="29"/>
    <x v="0"/>
    <x v="0"/>
    <x v="2"/>
  </r>
  <r>
    <n v="1737"/>
    <x v="2"/>
    <x v="36"/>
    <n v="2021"/>
    <x v="14"/>
    <n v="2024"/>
    <n v="4"/>
    <x v="1"/>
    <x v="1"/>
    <x v="1"/>
    <n v="27"/>
    <x v="0"/>
    <x v="2"/>
    <x v="3"/>
  </r>
  <r>
    <n v="1738"/>
    <x v="4"/>
    <x v="37"/>
    <n v="2021"/>
    <x v="15"/>
    <n v="2023"/>
    <n v="3"/>
    <x v="4"/>
    <x v="1"/>
    <x v="0"/>
    <n v="31"/>
    <x v="4"/>
    <x v="7"/>
    <x v="4"/>
  </r>
  <r>
    <n v="1739"/>
    <x v="0"/>
    <x v="38"/>
    <n v="2019"/>
    <x v="16"/>
    <n v="2022"/>
    <n v="4"/>
    <x v="3"/>
    <x v="1"/>
    <x v="1"/>
    <n v="24"/>
    <x v="0"/>
    <x v="0"/>
    <x v="9"/>
  </r>
  <r>
    <n v="1740"/>
    <x v="5"/>
    <x v="39"/>
    <n v="2020"/>
    <x v="0"/>
    <s v=" "/>
    <s v=" "/>
    <x v="0"/>
    <x v="0"/>
    <x v="1"/>
    <n v="37"/>
    <x v="4"/>
    <x v="1"/>
    <x v="0"/>
  </r>
  <r>
    <n v="1741"/>
    <x v="4"/>
    <x v="40"/>
    <n v="2020"/>
    <x v="0"/>
    <s v=" "/>
    <s v=" "/>
    <x v="0"/>
    <x v="0"/>
    <x v="1"/>
    <n v="23"/>
    <x v="0"/>
    <x v="1"/>
    <x v="2"/>
  </r>
  <r>
    <n v="1742"/>
    <x v="4"/>
    <x v="41"/>
    <n v="2024"/>
    <x v="0"/>
    <s v=" "/>
    <s v=" "/>
    <x v="0"/>
    <x v="0"/>
    <x v="0"/>
    <n v="31"/>
    <x v="4"/>
    <x v="2"/>
    <x v="3"/>
  </r>
  <r>
    <n v="1743"/>
    <x v="5"/>
    <x v="42"/>
    <n v="2024"/>
    <x v="0"/>
    <s v=" "/>
    <s v=" "/>
    <x v="0"/>
    <x v="0"/>
    <x v="1"/>
    <n v="52"/>
    <x v="1"/>
    <x v="3"/>
    <x v="10"/>
  </r>
  <r>
    <n v="1744"/>
    <x v="2"/>
    <x v="43"/>
    <n v="2022"/>
    <x v="0"/>
    <s v=" "/>
    <s v=" "/>
    <x v="0"/>
    <x v="0"/>
    <x v="0"/>
    <n v="25"/>
    <x v="0"/>
    <x v="0"/>
    <x v="4"/>
  </r>
  <r>
    <n v="1745"/>
    <x v="1"/>
    <x v="44"/>
    <n v="2023"/>
    <x v="0"/>
    <s v=" "/>
    <s v=" "/>
    <x v="0"/>
    <x v="0"/>
    <x v="0"/>
    <n v="46"/>
    <x v="3"/>
    <x v="6"/>
    <x v="9"/>
  </r>
  <r>
    <n v="1746"/>
    <x v="1"/>
    <x v="45"/>
    <n v="2019"/>
    <x v="17"/>
    <n v="2021"/>
    <n v="3"/>
    <x v="5"/>
    <x v="1"/>
    <x v="0"/>
    <n v="24"/>
    <x v="0"/>
    <x v="0"/>
    <x v="0"/>
  </r>
  <r>
    <n v="1747"/>
    <x v="1"/>
    <x v="46"/>
    <n v="2021"/>
    <x v="18"/>
    <n v="2024"/>
    <n v="4"/>
    <x v="7"/>
    <x v="1"/>
    <x v="0"/>
    <n v="38"/>
    <x v="4"/>
    <x v="0"/>
    <x v="1"/>
  </r>
  <r>
    <n v="1748"/>
    <x v="3"/>
    <x v="47"/>
    <n v="2019"/>
    <x v="0"/>
    <s v=" "/>
    <s v=" "/>
    <x v="0"/>
    <x v="0"/>
    <x v="1"/>
    <n v="49"/>
    <x v="3"/>
    <x v="1"/>
    <x v="2"/>
  </r>
  <r>
    <n v="1749"/>
    <x v="4"/>
    <x v="48"/>
    <n v="2024"/>
    <x v="0"/>
    <s v=" "/>
    <s v=" "/>
    <x v="0"/>
    <x v="0"/>
    <x v="1"/>
    <n v="31"/>
    <x v="4"/>
    <x v="0"/>
    <x v="3"/>
  </r>
  <r>
    <n v="1750"/>
    <x v="0"/>
    <x v="49"/>
    <n v="2018"/>
    <x v="19"/>
    <n v="2022"/>
    <n v="5"/>
    <x v="4"/>
    <x v="1"/>
    <x v="0"/>
    <n v="51"/>
    <x v="1"/>
    <x v="2"/>
    <x v="1"/>
  </r>
  <r>
    <n v="1751"/>
    <x v="0"/>
    <x v="0"/>
    <n v="2018"/>
    <x v="0"/>
    <s v=" "/>
    <s v=" "/>
    <x v="0"/>
    <x v="0"/>
    <x v="0"/>
    <n v="27"/>
    <x v="0"/>
    <x v="7"/>
    <x v="2"/>
  </r>
  <r>
    <n v="1752"/>
    <x v="1"/>
    <x v="1"/>
    <n v="2020"/>
    <x v="0"/>
    <s v=" "/>
    <s v=" "/>
    <x v="0"/>
    <x v="0"/>
    <x v="0"/>
    <n v="22"/>
    <x v="0"/>
    <x v="0"/>
    <x v="3"/>
  </r>
  <r>
    <n v="1753"/>
    <x v="1"/>
    <x v="2"/>
    <n v="2021"/>
    <x v="0"/>
    <s v=" "/>
    <s v=" "/>
    <x v="0"/>
    <x v="0"/>
    <x v="1"/>
    <n v="50"/>
    <x v="1"/>
    <x v="1"/>
    <x v="4"/>
  </r>
  <r>
    <n v="1754"/>
    <x v="1"/>
    <x v="3"/>
    <n v="2023"/>
    <x v="0"/>
    <s v=" "/>
    <s v=" "/>
    <x v="0"/>
    <x v="0"/>
    <x v="0"/>
    <n v="24"/>
    <x v="0"/>
    <x v="1"/>
    <x v="5"/>
  </r>
  <r>
    <n v="1755"/>
    <x v="1"/>
    <x v="4"/>
    <n v="2019"/>
    <x v="1"/>
    <n v="2021"/>
    <n v="3"/>
    <x v="1"/>
    <x v="1"/>
    <x v="0"/>
    <n v="50"/>
    <x v="1"/>
    <x v="2"/>
    <x v="6"/>
  </r>
  <r>
    <n v="1756"/>
    <x v="2"/>
    <x v="5"/>
    <n v="2022"/>
    <x v="2"/>
    <n v="2023"/>
    <n v="2"/>
    <x v="7"/>
    <x v="1"/>
    <x v="1"/>
    <n v="28"/>
    <x v="0"/>
    <x v="3"/>
    <x v="7"/>
  </r>
  <r>
    <n v="1757"/>
    <x v="3"/>
    <x v="6"/>
    <n v="2024"/>
    <x v="0"/>
    <s v=" "/>
    <s v=" "/>
    <x v="0"/>
    <x v="0"/>
    <x v="0"/>
    <n v="40"/>
    <x v="3"/>
    <x v="0"/>
    <x v="8"/>
  </r>
  <r>
    <n v="1758"/>
    <x v="0"/>
    <x v="7"/>
    <n v="2018"/>
    <x v="0"/>
    <s v=" "/>
    <s v=" "/>
    <x v="0"/>
    <x v="0"/>
    <x v="1"/>
    <n v="32"/>
    <x v="4"/>
    <x v="4"/>
    <x v="9"/>
  </r>
  <r>
    <n v="1759"/>
    <x v="1"/>
    <x v="8"/>
    <n v="2023"/>
    <x v="0"/>
    <s v=" "/>
    <s v=" "/>
    <x v="0"/>
    <x v="0"/>
    <x v="1"/>
    <n v="50"/>
    <x v="1"/>
    <x v="0"/>
    <x v="10"/>
  </r>
  <r>
    <n v="1760"/>
    <x v="4"/>
    <x v="9"/>
    <n v="2024"/>
    <x v="0"/>
    <s v=" "/>
    <s v=" "/>
    <x v="0"/>
    <x v="0"/>
    <x v="0"/>
    <n v="24"/>
    <x v="0"/>
    <x v="0"/>
    <x v="2"/>
  </r>
  <r>
    <n v="1761"/>
    <x v="5"/>
    <x v="10"/>
    <n v="2024"/>
    <x v="0"/>
    <s v=" "/>
    <s v=" "/>
    <x v="0"/>
    <x v="0"/>
    <x v="0"/>
    <n v="36"/>
    <x v="4"/>
    <x v="1"/>
    <x v="4"/>
  </r>
  <r>
    <n v="1762"/>
    <x v="3"/>
    <x v="11"/>
    <n v="2021"/>
    <x v="3"/>
    <n v="2024"/>
    <n v="4"/>
    <x v="7"/>
    <x v="1"/>
    <x v="0"/>
    <n v="49"/>
    <x v="3"/>
    <x v="0"/>
    <x v="9"/>
  </r>
  <r>
    <n v="1763"/>
    <x v="0"/>
    <x v="12"/>
    <n v="2018"/>
    <x v="4"/>
    <n v="2020"/>
    <n v="3"/>
    <x v="7"/>
    <x v="1"/>
    <x v="1"/>
    <n v="43"/>
    <x v="3"/>
    <x v="2"/>
    <x v="1"/>
  </r>
  <r>
    <n v="1764"/>
    <x v="1"/>
    <x v="13"/>
    <n v="2024"/>
    <x v="0"/>
    <s v=" "/>
    <s v=" "/>
    <x v="0"/>
    <x v="0"/>
    <x v="1"/>
    <n v="40"/>
    <x v="3"/>
    <x v="5"/>
    <x v="2"/>
  </r>
  <r>
    <n v="1765"/>
    <x v="1"/>
    <x v="14"/>
    <n v="2018"/>
    <x v="0"/>
    <s v=" "/>
    <s v=" "/>
    <x v="0"/>
    <x v="0"/>
    <x v="0"/>
    <n v="42"/>
    <x v="3"/>
    <x v="0"/>
    <x v="3"/>
  </r>
  <r>
    <n v="1766"/>
    <x v="0"/>
    <x v="15"/>
    <n v="2019"/>
    <x v="5"/>
    <n v="2022"/>
    <n v="4"/>
    <x v="4"/>
    <x v="1"/>
    <x v="1"/>
    <n v="35"/>
    <x v="4"/>
    <x v="1"/>
    <x v="4"/>
  </r>
  <r>
    <n v="1767"/>
    <x v="3"/>
    <x v="16"/>
    <n v="2019"/>
    <x v="6"/>
    <n v="2020"/>
    <n v="2"/>
    <x v="3"/>
    <x v="1"/>
    <x v="1"/>
    <n v="31"/>
    <x v="4"/>
    <x v="1"/>
    <x v="9"/>
  </r>
  <r>
    <n v="1768"/>
    <x v="5"/>
    <x v="17"/>
    <n v="2022"/>
    <x v="0"/>
    <s v=" "/>
    <s v=" "/>
    <x v="0"/>
    <x v="0"/>
    <x v="0"/>
    <n v="51"/>
    <x v="1"/>
    <x v="2"/>
    <x v="0"/>
  </r>
  <r>
    <n v="1769"/>
    <x v="0"/>
    <x v="18"/>
    <n v="2024"/>
    <x v="0"/>
    <s v=" "/>
    <s v=" "/>
    <x v="0"/>
    <x v="0"/>
    <x v="0"/>
    <n v="48"/>
    <x v="3"/>
    <x v="3"/>
    <x v="2"/>
  </r>
  <r>
    <n v="1770"/>
    <x v="3"/>
    <x v="19"/>
    <n v="2019"/>
    <x v="7"/>
    <n v="2022"/>
    <n v="4"/>
    <x v="5"/>
    <x v="1"/>
    <x v="0"/>
    <n v="41"/>
    <x v="3"/>
    <x v="0"/>
    <x v="3"/>
  </r>
  <r>
    <n v="1771"/>
    <x v="5"/>
    <x v="20"/>
    <n v="2021"/>
    <x v="8"/>
    <n v="2024"/>
    <n v="4"/>
    <x v="7"/>
    <x v="1"/>
    <x v="0"/>
    <n v="35"/>
    <x v="4"/>
    <x v="6"/>
    <x v="4"/>
  </r>
  <r>
    <n v="1772"/>
    <x v="2"/>
    <x v="21"/>
    <n v="2023"/>
    <x v="9"/>
    <n v="2024"/>
    <n v="2"/>
    <x v="4"/>
    <x v="1"/>
    <x v="1"/>
    <n v="24"/>
    <x v="0"/>
    <x v="0"/>
    <x v="9"/>
  </r>
  <r>
    <n v="1773"/>
    <x v="1"/>
    <x v="22"/>
    <n v="2023"/>
    <x v="0"/>
    <s v=" "/>
    <s v=" "/>
    <x v="0"/>
    <x v="0"/>
    <x v="1"/>
    <n v="41"/>
    <x v="3"/>
    <x v="0"/>
    <x v="1"/>
  </r>
  <r>
    <n v="1774"/>
    <x v="2"/>
    <x v="23"/>
    <n v="2024"/>
    <x v="0"/>
    <s v=" "/>
    <s v=" "/>
    <x v="0"/>
    <x v="0"/>
    <x v="1"/>
    <n v="40"/>
    <x v="3"/>
    <x v="1"/>
    <x v="2"/>
  </r>
  <r>
    <n v="1775"/>
    <x v="0"/>
    <x v="24"/>
    <n v="2019"/>
    <x v="0"/>
    <s v=" "/>
    <s v=" "/>
    <x v="0"/>
    <x v="0"/>
    <x v="0"/>
    <n v="48"/>
    <x v="3"/>
    <x v="0"/>
    <x v="3"/>
  </r>
  <r>
    <n v="1776"/>
    <x v="1"/>
    <x v="25"/>
    <n v="2022"/>
    <x v="0"/>
    <s v=" "/>
    <s v=" "/>
    <x v="0"/>
    <x v="0"/>
    <x v="1"/>
    <n v="52"/>
    <x v="1"/>
    <x v="2"/>
    <x v="4"/>
  </r>
  <r>
    <n v="1777"/>
    <x v="4"/>
    <x v="26"/>
    <n v="2020"/>
    <x v="10"/>
    <n v="2021"/>
    <n v="2"/>
    <x v="6"/>
    <x v="1"/>
    <x v="1"/>
    <n v="33"/>
    <x v="4"/>
    <x v="7"/>
    <x v="9"/>
  </r>
  <r>
    <n v="1778"/>
    <x v="2"/>
    <x v="27"/>
    <n v="2023"/>
    <x v="0"/>
    <s v=" "/>
    <s v=" "/>
    <x v="0"/>
    <x v="0"/>
    <x v="0"/>
    <n v="51"/>
    <x v="1"/>
    <x v="0"/>
    <x v="0"/>
  </r>
  <r>
    <n v="1779"/>
    <x v="0"/>
    <x v="28"/>
    <n v="2021"/>
    <x v="11"/>
    <n v="2022"/>
    <n v="2"/>
    <x v="7"/>
    <x v="1"/>
    <x v="1"/>
    <n v="46"/>
    <x v="3"/>
    <x v="1"/>
    <x v="2"/>
  </r>
  <r>
    <n v="1780"/>
    <x v="2"/>
    <x v="29"/>
    <n v="2018"/>
    <x v="12"/>
    <n v="2021"/>
    <n v="4"/>
    <x v="1"/>
    <x v="1"/>
    <x v="1"/>
    <n v="53"/>
    <x v="1"/>
    <x v="1"/>
    <x v="3"/>
  </r>
  <r>
    <n v="1781"/>
    <x v="5"/>
    <x v="30"/>
    <n v="2021"/>
    <x v="0"/>
    <s v=" "/>
    <s v=" "/>
    <x v="0"/>
    <x v="0"/>
    <x v="1"/>
    <n v="35"/>
    <x v="4"/>
    <x v="2"/>
    <x v="10"/>
  </r>
  <r>
    <n v="1782"/>
    <x v="0"/>
    <x v="31"/>
    <n v="2024"/>
    <x v="0"/>
    <s v=" "/>
    <s v=" "/>
    <x v="0"/>
    <x v="0"/>
    <x v="0"/>
    <n v="32"/>
    <x v="4"/>
    <x v="3"/>
    <x v="4"/>
  </r>
  <r>
    <n v="1783"/>
    <x v="5"/>
    <x v="32"/>
    <n v="2021"/>
    <x v="0"/>
    <s v=" "/>
    <s v=" "/>
    <x v="0"/>
    <x v="0"/>
    <x v="0"/>
    <n v="46"/>
    <x v="3"/>
    <x v="0"/>
    <x v="9"/>
  </r>
  <r>
    <n v="1784"/>
    <x v="0"/>
    <x v="33"/>
    <n v="2020"/>
    <x v="0"/>
    <s v=" "/>
    <s v=" "/>
    <x v="0"/>
    <x v="0"/>
    <x v="1"/>
    <n v="50"/>
    <x v="1"/>
    <x v="6"/>
    <x v="0"/>
  </r>
  <r>
    <n v="1785"/>
    <x v="2"/>
    <x v="34"/>
    <n v="2018"/>
    <x v="13"/>
    <n v="2022"/>
    <n v="5"/>
    <x v="2"/>
    <x v="1"/>
    <x v="1"/>
    <n v="63"/>
    <x v="2"/>
    <x v="0"/>
    <x v="1"/>
  </r>
  <r>
    <n v="1786"/>
    <x v="2"/>
    <x v="35"/>
    <n v="2018"/>
    <x v="0"/>
    <s v=" "/>
    <s v=" "/>
    <x v="0"/>
    <x v="0"/>
    <x v="0"/>
    <n v="29"/>
    <x v="0"/>
    <x v="0"/>
    <x v="2"/>
  </r>
  <r>
    <n v="1787"/>
    <x v="2"/>
    <x v="36"/>
    <n v="2021"/>
    <x v="14"/>
    <n v="2024"/>
    <n v="4"/>
    <x v="1"/>
    <x v="1"/>
    <x v="1"/>
    <n v="27"/>
    <x v="0"/>
    <x v="1"/>
    <x v="3"/>
  </r>
  <r>
    <n v="1788"/>
    <x v="4"/>
    <x v="37"/>
    <n v="2021"/>
    <x v="15"/>
    <n v="2023"/>
    <n v="3"/>
    <x v="4"/>
    <x v="1"/>
    <x v="1"/>
    <n v="31"/>
    <x v="4"/>
    <x v="0"/>
    <x v="1"/>
  </r>
  <r>
    <n v="1789"/>
    <x v="0"/>
    <x v="38"/>
    <n v="2019"/>
    <x v="16"/>
    <n v="2022"/>
    <n v="4"/>
    <x v="7"/>
    <x v="1"/>
    <x v="1"/>
    <n v="24"/>
    <x v="0"/>
    <x v="2"/>
    <x v="2"/>
  </r>
  <r>
    <n v="1790"/>
    <x v="5"/>
    <x v="39"/>
    <n v="2020"/>
    <x v="0"/>
    <s v=" "/>
    <s v=" "/>
    <x v="0"/>
    <x v="0"/>
    <x v="0"/>
    <n v="37"/>
    <x v="4"/>
    <x v="5"/>
    <x v="3"/>
  </r>
  <r>
    <n v="1791"/>
    <x v="4"/>
    <x v="40"/>
    <n v="2020"/>
    <x v="0"/>
    <s v=" "/>
    <s v=" "/>
    <x v="0"/>
    <x v="0"/>
    <x v="0"/>
    <n v="23"/>
    <x v="0"/>
    <x v="0"/>
    <x v="4"/>
  </r>
  <r>
    <n v="1792"/>
    <x v="4"/>
    <x v="41"/>
    <n v="2024"/>
    <x v="0"/>
    <s v=" "/>
    <s v=" "/>
    <x v="0"/>
    <x v="0"/>
    <x v="1"/>
    <n v="31"/>
    <x v="4"/>
    <x v="1"/>
    <x v="5"/>
  </r>
  <r>
    <n v="1793"/>
    <x v="5"/>
    <x v="42"/>
    <n v="2024"/>
    <x v="0"/>
    <s v=" "/>
    <s v=" "/>
    <x v="0"/>
    <x v="0"/>
    <x v="1"/>
    <n v="52"/>
    <x v="1"/>
    <x v="1"/>
    <x v="6"/>
  </r>
  <r>
    <n v="1794"/>
    <x v="2"/>
    <x v="43"/>
    <n v="2022"/>
    <x v="0"/>
    <s v=" "/>
    <s v=" "/>
    <x v="0"/>
    <x v="0"/>
    <x v="1"/>
    <n v="25"/>
    <x v="0"/>
    <x v="2"/>
    <x v="7"/>
  </r>
  <r>
    <n v="1795"/>
    <x v="1"/>
    <x v="44"/>
    <n v="2023"/>
    <x v="0"/>
    <s v=" "/>
    <s v=" "/>
    <x v="0"/>
    <x v="0"/>
    <x v="0"/>
    <n v="46"/>
    <x v="3"/>
    <x v="3"/>
    <x v="8"/>
  </r>
  <r>
    <n v="1796"/>
    <x v="1"/>
    <x v="45"/>
    <n v="2019"/>
    <x v="17"/>
    <n v="2021"/>
    <n v="3"/>
    <x v="5"/>
    <x v="1"/>
    <x v="0"/>
    <n v="24"/>
    <x v="0"/>
    <x v="0"/>
    <x v="9"/>
  </r>
  <r>
    <n v="1797"/>
    <x v="1"/>
    <x v="46"/>
    <n v="2021"/>
    <x v="18"/>
    <n v="2024"/>
    <n v="4"/>
    <x v="5"/>
    <x v="1"/>
    <x v="0"/>
    <n v="38"/>
    <x v="4"/>
    <x v="6"/>
    <x v="10"/>
  </r>
  <r>
    <n v="1798"/>
    <x v="3"/>
    <x v="47"/>
    <n v="2019"/>
    <x v="0"/>
    <s v=" "/>
    <s v=" "/>
    <x v="0"/>
    <x v="0"/>
    <x v="1"/>
    <n v="49"/>
    <x v="3"/>
    <x v="0"/>
    <x v="2"/>
  </r>
  <r>
    <n v="1799"/>
    <x v="4"/>
    <x v="48"/>
    <n v="2024"/>
    <x v="0"/>
    <s v=" "/>
    <s v=" "/>
    <x v="0"/>
    <x v="0"/>
    <x v="1"/>
    <n v="31"/>
    <x v="4"/>
    <x v="0"/>
    <x v="4"/>
  </r>
  <r>
    <n v="1800"/>
    <x v="0"/>
    <x v="49"/>
    <n v="2018"/>
    <x v="19"/>
    <n v="2022"/>
    <n v="5"/>
    <x v="4"/>
    <x v="1"/>
    <x v="0"/>
    <n v="51"/>
    <x v="1"/>
    <x v="1"/>
    <x v="9"/>
  </r>
  <r>
    <n v="1801"/>
    <x v="0"/>
    <x v="0"/>
    <n v="2018"/>
    <x v="0"/>
    <s v=" "/>
    <s v=" "/>
    <x v="0"/>
    <x v="0"/>
    <x v="0"/>
    <n v="27"/>
    <x v="0"/>
    <x v="0"/>
    <x v="1"/>
  </r>
  <r>
    <n v="1802"/>
    <x v="1"/>
    <x v="1"/>
    <n v="2020"/>
    <x v="0"/>
    <s v=" "/>
    <s v=" "/>
    <x v="0"/>
    <x v="0"/>
    <x v="0"/>
    <n v="22"/>
    <x v="0"/>
    <x v="2"/>
    <x v="2"/>
  </r>
  <r>
    <n v="1803"/>
    <x v="1"/>
    <x v="2"/>
    <n v="2021"/>
    <x v="0"/>
    <s v=" "/>
    <s v=" "/>
    <x v="0"/>
    <x v="0"/>
    <x v="0"/>
    <n v="50"/>
    <x v="1"/>
    <x v="5"/>
    <x v="3"/>
  </r>
  <r>
    <n v="1804"/>
    <x v="1"/>
    <x v="3"/>
    <n v="2023"/>
    <x v="0"/>
    <s v=" "/>
    <s v=" "/>
    <x v="0"/>
    <x v="0"/>
    <x v="0"/>
    <n v="24"/>
    <x v="0"/>
    <x v="0"/>
    <x v="4"/>
  </r>
  <r>
    <n v="1805"/>
    <x v="1"/>
    <x v="4"/>
    <n v="2019"/>
    <x v="1"/>
    <n v="2021"/>
    <n v="3"/>
    <x v="7"/>
    <x v="1"/>
    <x v="0"/>
    <n v="50"/>
    <x v="1"/>
    <x v="1"/>
    <x v="9"/>
  </r>
  <r>
    <n v="1806"/>
    <x v="2"/>
    <x v="5"/>
    <n v="2022"/>
    <x v="2"/>
    <n v="2023"/>
    <n v="2"/>
    <x v="7"/>
    <x v="1"/>
    <x v="1"/>
    <n v="28"/>
    <x v="0"/>
    <x v="1"/>
    <x v="0"/>
  </r>
  <r>
    <n v="1807"/>
    <x v="3"/>
    <x v="6"/>
    <n v="2024"/>
    <x v="0"/>
    <s v=" "/>
    <s v=" "/>
    <x v="0"/>
    <x v="0"/>
    <x v="0"/>
    <n v="40"/>
    <x v="3"/>
    <x v="2"/>
    <x v="2"/>
  </r>
  <r>
    <n v="1808"/>
    <x v="0"/>
    <x v="7"/>
    <n v="2018"/>
    <x v="0"/>
    <s v=" "/>
    <s v=" "/>
    <x v="0"/>
    <x v="0"/>
    <x v="1"/>
    <n v="32"/>
    <x v="4"/>
    <x v="3"/>
    <x v="3"/>
  </r>
  <r>
    <n v="1809"/>
    <x v="1"/>
    <x v="8"/>
    <n v="2023"/>
    <x v="0"/>
    <s v=" "/>
    <s v=" "/>
    <x v="0"/>
    <x v="0"/>
    <x v="1"/>
    <n v="50"/>
    <x v="1"/>
    <x v="0"/>
    <x v="4"/>
  </r>
  <r>
    <n v="1810"/>
    <x v="4"/>
    <x v="9"/>
    <n v="2024"/>
    <x v="0"/>
    <s v=" "/>
    <s v=" "/>
    <x v="0"/>
    <x v="0"/>
    <x v="0"/>
    <n v="24"/>
    <x v="0"/>
    <x v="4"/>
    <x v="9"/>
  </r>
  <r>
    <n v="1811"/>
    <x v="5"/>
    <x v="10"/>
    <n v="2024"/>
    <x v="0"/>
    <s v=" "/>
    <s v=" "/>
    <x v="0"/>
    <x v="0"/>
    <x v="1"/>
    <n v="36"/>
    <x v="4"/>
    <x v="0"/>
    <x v="1"/>
  </r>
  <r>
    <n v="1812"/>
    <x v="3"/>
    <x v="11"/>
    <n v="2021"/>
    <x v="3"/>
    <n v="2024"/>
    <n v="4"/>
    <x v="7"/>
    <x v="1"/>
    <x v="0"/>
    <n v="49"/>
    <x v="3"/>
    <x v="0"/>
    <x v="2"/>
  </r>
  <r>
    <n v="1813"/>
    <x v="0"/>
    <x v="12"/>
    <n v="2018"/>
    <x v="4"/>
    <n v="2020"/>
    <n v="3"/>
    <x v="3"/>
    <x v="1"/>
    <x v="0"/>
    <n v="43"/>
    <x v="3"/>
    <x v="1"/>
    <x v="3"/>
  </r>
  <r>
    <n v="1814"/>
    <x v="1"/>
    <x v="13"/>
    <n v="2024"/>
    <x v="0"/>
    <s v=" "/>
    <s v=" "/>
    <x v="0"/>
    <x v="0"/>
    <x v="1"/>
    <n v="40"/>
    <x v="3"/>
    <x v="0"/>
    <x v="4"/>
  </r>
  <r>
    <n v="1815"/>
    <x v="1"/>
    <x v="14"/>
    <n v="2018"/>
    <x v="0"/>
    <s v=" "/>
    <s v=" "/>
    <x v="0"/>
    <x v="0"/>
    <x v="0"/>
    <n v="42"/>
    <x v="3"/>
    <x v="2"/>
    <x v="9"/>
  </r>
  <r>
    <n v="1816"/>
    <x v="0"/>
    <x v="15"/>
    <n v="2019"/>
    <x v="5"/>
    <n v="2022"/>
    <n v="4"/>
    <x v="4"/>
    <x v="1"/>
    <x v="1"/>
    <n v="35"/>
    <x v="4"/>
    <x v="7"/>
    <x v="0"/>
  </r>
  <r>
    <n v="1817"/>
    <x v="3"/>
    <x v="16"/>
    <n v="2019"/>
    <x v="6"/>
    <n v="2020"/>
    <n v="2"/>
    <x v="3"/>
    <x v="1"/>
    <x v="1"/>
    <n v="31"/>
    <x v="4"/>
    <x v="0"/>
    <x v="2"/>
  </r>
  <r>
    <n v="1818"/>
    <x v="5"/>
    <x v="17"/>
    <n v="2022"/>
    <x v="0"/>
    <s v=" "/>
    <s v=" "/>
    <x v="0"/>
    <x v="0"/>
    <x v="0"/>
    <n v="51"/>
    <x v="1"/>
    <x v="1"/>
    <x v="3"/>
  </r>
  <r>
    <n v="1819"/>
    <x v="0"/>
    <x v="18"/>
    <n v="2024"/>
    <x v="0"/>
    <s v=" "/>
    <s v=" "/>
    <x v="0"/>
    <x v="0"/>
    <x v="0"/>
    <n v="48"/>
    <x v="3"/>
    <x v="1"/>
    <x v="10"/>
  </r>
  <r>
    <n v="1820"/>
    <x v="3"/>
    <x v="19"/>
    <n v="2019"/>
    <x v="7"/>
    <n v="2022"/>
    <n v="4"/>
    <x v="5"/>
    <x v="1"/>
    <x v="0"/>
    <n v="41"/>
    <x v="3"/>
    <x v="2"/>
    <x v="4"/>
  </r>
  <r>
    <n v="1821"/>
    <x v="5"/>
    <x v="20"/>
    <n v="2021"/>
    <x v="8"/>
    <n v="2024"/>
    <n v="4"/>
    <x v="7"/>
    <x v="1"/>
    <x v="0"/>
    <n v="35"/>
    <x v="4"/>
    <x v="3"/>
    <x v="9"/>
  </r>
  <r>
    <n v="1822"/>
    <x v="2"/>
    <x v="21"/>
    <n v="2023"/>
    <x v="9"/>
    <n v="2024"/>
    <n v="2"/>
    <x v="4"/>
    <x v="1"/>
    <x v="0"/>
    <n v="24"/>
    <x v="0"/>
    <x v="0"/>
    <x v="0"/>
  </r>
  <r>
    <n v="1823"/>
    <x v="1"/>
    <x v="22"/>
    <n v="2023"/>
    <x v="0"/>
    <s v=" "/>
    <s v=" "/>
    <x v="0"/>
    <x v="0"/>
    <x v="1"/>
    <n v="41"/>
    <x v="3"/>
    <x v="4"/>
    <x v="1"/>
  </r>
  <r>
    <n v="1824"/>
    <x v="2"/>
    <x v="23"/>
    <n v="2024"/>
    <x v="0"/>
    <s v=" "/>
    <s v=" "/>
    <x v="0"/>
    <x v="0"/>
    <x v="1"/>
    <n v="40"/>
    <x v="3"/>
    <x v="0"/>
    <x v="2"/>
  </r>
  <r>
    <n v="1825"/>
    <x v="0"/>
    <x v="24"/>
    <n v="2019"/>
    <x v="0"/>
    <s v=" "/>
    <s v=" "/>
    <x v="0"/>
    <x v="0"/>
    <x v="1"/>
    <n v="48"/>
    <x v="3"/>
    <x v="0"/>
    <x v="3"/>
  </r>
  <r>
    <n v="1826"/>
    <x v="1"/>
    <x v="25"/>
    <n v="2022"/>
    <x v="0"/>
    <s v=" "/>
    <s v=" "/>
    <x v="0"/>
    <x v="0"/>
    <x v="1"/>
    <n v="52"/>
    <x v="1"/>
    <x v="1"/>
    <x v="1"/>
  </r>
  <r>
    <n v="1827"/>
    <x v="4"/>
    <x v="26"/>
    <n v="2020"/>
    <x v="10"/>
    <n v="2021"/>
    <n v="2"/>
    <x v="7"/>
    <x v="1"/>
    <x v="1"/>
    <n v="33"/>
    <x v="4"/>
    <x v="0"/>
    <x v="2"/>
  </r>
  <r>
    <n v="1828"/>
    <x v="2"/>
    <x v="27"/>
    <n v="2023"/>
    <x v="0"/>
    <s v=" "/>
    <s v=" "/>
    <x v="0"/>
    <x v="0"/>
    <x v="0"/>
    <n v="51"/>
    <x v="1"/>
    <x v="2"/>
    <x v="3"/>
  </r>
  <r>
    <n v="1829"/>
    <x v="0"/>
    <x v="28"/>
    <n v="2021"/>
    <x v="11"/>
    <n v="2022"/>
    <n v="2"/>
    <x v="3"/>
    <x v="1"/>
    <x v="1"/>
    <n v="46"/>
    <x v="3"/>
    <x v="5"/>
    <x v="4"/>
  </r>
  <r>
    <n v="1830"/>
    <x v="2"/>
    <x v="29"/>
    <n v="2018"/>
    <x v="12"/>
    <n v="2021"/>
    <n v="4"/>
    <x v="1"/>
    <x v="1"/>
    <x v="1"/>
    <n v="53"/>
    <x v="1"/>
    <x v="0"/>
    <x v="5"/>
  </r>
  <r>
    <n v="1831"/>
    <x v="5"/>
    <x v="30"/>
    <n v="2021"/>
    <x v="0"/>
    <s v=" "/>
    <s v=" "/>
    <x v="0"/>
    <x v="0"/>
    <x v="1"/>
    <n v="35"/>
    <x v="4"/>
    <x v="1"/>
    <x v="6"/>
  </r>
  <r>
    <n v="1832"/>
    <x v="0"/>
    <x v="31"/>
    <n v="2024"/>
    <x v="0"/>
    <s v=" "/>
    <s v=" "/>
    <x v="0"/>
    <x v="0"/>
    <x v="0"/>
    <n v="32"/>
    <x v="4"/>
    <x v="1"/>
    <x v="7"/>
  </r>
  <r>
    <n v="1833"/>
    <x v="5"/>
    <x v="32"/>
    <n v="2021"/>
    <x v="0"/>
    <s v=" "/>
    <s v=" "/>
    <x v="0"/>
    <x v="0"/>
    <x v="0"/>
    <n v="46"/>
    <x v="3"/>
    <x v="2"/>
    <x v="8"/>
  </r>
  <r>
    <n v="1834"/>
    <x v="0"/>
    <x v="33"/>
    <n v="2020"/>
    <x v="0"/>
    <s v=" "/>
    <s v=" "/>
    <x v="0"/>
    <x v="0"/>
    <x v="1"/>
    <n v="50"/>
    <x v="1"/>
    <x v="3"/>
    <x v="9"/>
  </r>
  <r>
    <n v="1835"/>
    <x v="2"/>
    <x v="34"/>
    <n v="2018"/>
    <x v="13"/>
    <n v="2022"/>
    <n v="5"/>
    <x v="2"/>
    <x v="1"/>
    <x v="0"/>
    <n v="65"/>
    <x v="2"/>
    <x v="0"/>
    <x v="10"/>
  </r>
  <r>
    <n v="1836"/>
    <x v="2"/>
    <x v="35"/>
    <n v="2018"/>
    <x v="0"/>
    <s v=" "/>
    <s v=" "/>
    <x v="0"/>
    <x v="0"/>
    <x v="0"/>
    <n v="29"/>
    <x v="0"/>
    <x v="4"/>
    <x v="2"/>
  </r>
  <r>
    <n v="1837"/>
    <x v="2"/>
    <x v="36"/>
    <n v="2021"/>
    <x v="14"/>
    <n v="2024"/>
    <n v="4"/>
    <x v="7"/>
    <x v="1"/>
    <x v="1"/>
    <n v="27"/>
    <x v="0"/>
    <x v="0"/>
    <x v="4"/>
  </r>
  <r>
    <n v="1838"/>
    <x v="4"/>
    <x v="37"/>
    <n v="2021"/>
    <x v="15"/>
    <n v="2023"/>
    <n v="3"/>
    <x v="4"/>
    <x v="1"/>
    <x v="0"/>
    <n v="31"/>
    <x v="4"/>
    <x v="0"/>
    <x v="9"/>
  </r>
  <r>
    <n v="1839"/>
    <x v="0"/>
    <x v="38"/>
    <n v="2019"/>
    <x v="16"/>
    <n v="2022"/>
    <n v="4"/>
    <x v="3"/>
    <x v="1"/>
    <x v="0"/>
    <n v="24"/>
    <x v="0"/>
    <x v="1"/>
    <x v="1"/>
  </r>
  <r>
    <n v="1840"/>
    <x v="5"/>
    <x v="39"/>
    <n v="2020"/>
    <x v="0"/>
    <s v=" "/>
    <s v=" "/>
    <x v="0"/>
    <x v="0"/>
    <x v="0"/>
    <n v="37"/>
    <x v="4"/>
    <x v="0"/>
    <x v="2"/>
  </r>
  <r>
    <n v="1841"/>
    <x v="4"/>
    <x v="40"/>
    <n v="2020"/>
    <x v="0"/>
    <s v=" "/>
    <s v=" "/>
    <x v="0"/>
    <x v="0"/>
    <x v="1"/>
    <n v="23"/>
    <x v="0"/>
    <x v="2"/>
    <x v="3"/>
  </r>
  <r>
    <n v="1842"/>
    <x v="4"/>
    <x v="41"/>
    <n v="2024"/>
    <x v="0"/>
    <s v=" "/>
    <s v=" "/>
    <x v="0"/>
    <x v="0"/>
    <x v="0"/>
    <n v="31"/>
    <x v="4"/>
    <x v="7"/>
    <x v="4"/>
  </r>
  <r>
    <n v="1843"/>
    <x v="5"/>
    <x v="42"/>
    <n v="2024"/>
    <x v="0"/>
    <s v=" "/>
    <s v=" "/>
    <x v="0"/>
    <x v="0"/>
    <x v="1"/>
    <n v="52"/>
    <x v="1"/>
    <x v="0"/>
    <x v="9"/>
  </r>
  <r>
    <n v="1844"/>
    <x v="2"/>
    <x v="43"/>
    <n v="2022"/>
    <x v="0"/>
    <s v=" "/>
    <s v=" "/>
    <x v="0"/>
    <x v="0"/>
    <x v="1"/>
    <n v="25"/>
    <x v="0"/>
    <x v="1"/>
    <x v="0"/>
  </r>
  <r>
    <n v="1845"/>
    <x v="1"/>
    <x v="44"/>
    <n v="2023"/>
    <x v="0"/>
    <s v=" "/>
    <s v=" "/>
    <x v="0"/>
    <x v="0"/>
    <x v="1"/>
    <n v="46"/>
    <x v="3"/>
    <x v="1"/>
    <x v="2"/>
  </r>
  <r>
    <n v="1846"/>
    <x v="1"/>
    <x v="45"/>
    <n v="2019"/>
    <x v="17"/>
    <n v="2021"/>
    <n v="3"/>
    <x v="5"/>
    <x v="1"/>
    <x v="0"/>
    <n v="24"/>
    <x v="0"/>
    <x v="2"/>
    <x v="3"/>
  </r>
  <r>
    <n v="1847"/>
    <x v="1"/>
    <x v="46"/>
    <n v="2021"/>
    <x v="18"/>
    <n v="2024"/>
    <n v="4"/>
    <x v="5"/>
    <x v="1"/>
    <x v="0"/>
    <n v="38"/>
    <x v="4"/>
    <x v="3"/>
    <x v="4"/>
  </r>
  <r>
    <n v="1848"/>
    <x v="3"/>
    <x v="47"/>
    <n v="2019"/>
    <x v="0"/>
    <s v=" "/>
    <s v=" "/>
    <x v="0"/>
    <x v="0"/>
    <x v="1"/>
    <n v="49"/>
    <x v="3"/>
    <x v="0"/>
    <x v="9"/>
  </r>
  <r>
    <n v="1849"/>
    <x v="4"/>
    <x v="48"/>
    <n v="2024"/>
    <x v="0"/>
    <s v=" "/>
    <s v=" "/>
    <x v="0"/>
    <x v="0"/>
    <x v="1"/>
    <n v="31"/>
    <x v="4"/>
    <x v="4"/>
    <x v="1"/>
  </r>
  <r>
    <n v="1850"/>
    <x v="0"/>
    <x v="49"/>
    <n v="2018"/>
    <x v="19"/>
    <n v="2022"/>
    <n v="5"/>
    <x v="4"/>
    <x v="1"/>
    <x v="0"/>
    <n v="51"/>
    <x v="1"/>
    <x v="0"/>
    <x v="2"/>
  </r>
  <r>
    <n v="1851"/>
    <x v="0"/>
    <x v="0"/>
    <n v="2018"/>
    <x v="0"/>
    <s v=" "/>
    <s v=" "/>
    <x v="0"/>
    <x v="0"/>
    <x v="0"/>
    <n v="27"/>
    <x v="0"/>
    <x v="0"/>
    <x v="3"/>
  </r>
  <r>
    <n v="1852"/>
    <x v="1"/>
    <x v="1"/>
    <n v="2020"/>
    <x v="0"/>
    <s v=" "/>
    <s v=" "/>
    <x v="0"/>
    <x v="0"/>
    <x v="0"/>
    <n v="22"/>
    <x v="0"/>
    <x v="1"/>
    <x v="4"/>
  </r>
  <r>
    <n v="1853"/>
    <x v="1"/>
    <x v="2"/>
    <n v="2021"/>
    <x v="0"/>
    <s v=" "/>
    <s v=" "/>
    <x v="0"/>
    <x v="0"/>
    <x v="0"/>
    <n v="50"/>
    <x v="1"/>
    <x v="0"/>
    <x v="9"/>
  </r>
  <r>
    <n v="1854"/>
    <x v="1"/>
    <x v="3"/>
    <n v="2023"/>
    <x v="0"/>
    <s v=" "/>
    <s v=" "/>
    <x v="0"/>
    <x v="0"/>
    <x v="1"/>
    <n v="24"/>
    <x v="0"/>
    <x v="2"/>
    <x v="0"/>
  </r>
  <r>
    <n v="1855"/>
    <x v="1"/>
    <x v="4"/>
    <n v="2019"/>
    <x v="1"/>
    <n v="2021"/>
    <n v="3"/>
    <x v="1"/>
    <x v="1"/>
    <x v="0"/>
    <n v="50"/>
    <x v="1"/>
    <x v="5"/>
    <x v="2"/>
  </r>
  <r>
    <n v="1856"/>
    <x v="2"/>
    <x v="5"/>
    <n v="2022"/>
    <x v="2"/>
    <n v="2023"/>
    <n v="2"/>
    <x v="7"/>
    <x v="1"/>
    <x v="1"/>
    <n v="28"/>
    <x v="0"/>
    <x v="0"/>
    <x v="3"/>
  </r>
  <r>
    <n v="1857"/>
    <x v="3"/>
    <x v="6"/>
    <n v="2024"/>
    <x v="0"/>
    <s v=" "/>
    <s v=" "/>
    <x v="0"/>
    <x v="0"/>
    <x v="1"/>
    <n v="40"/>
    <x v="3"/>
    <x v="1"/>
    <x v="10"/>
  </r>
  <r>
    <n v="1858"/>
    <x v="0"/>
    <x v="7"/>
    <n v="2018"/>
    <x v="0"/>
    <s v=" "/>
    <s v=" "/>
    <x v="0"/>
    <x v="0"/>
    <x v="0"/>
    <n v="32"/>
    <x v="4"/>
    <x v="1"/>
    <x v="4"/>
  </r>
  <r>
    <n v="1859"/>
    <x v="1"/>
    <x v="8"/>
    <n v="2023"/>
    <x v="0"/>
    <s v=" "/>
    <s v=" "/>
    <x v="0"/>
    <x v="0"/>
    <x v="0"/>
    <n v="50"/>
    <x v="1"/>
    <x v="2"/>
    <x v="9"/>
  </r>
  <r>
    <n v="1860"/>
    <x v="4"/>
    <x v="9"/>
    <n v="2024"/>
    <x v="0"/>
    <s v=" "/>
    <s v=" "/>
    <x v="0"/>
    <x v="0"/>
    <x v="0"/>
    <n v="24"/>
    <x v="0"/>
    <x v="3"/>
    <x v="0"/>
  </r>
  <r>
    <n v="1861"/>
    <x v="5"/>
    <x v="10"/>
    <n v="2024"/>
    <x v="0"/>
    <s v=" "/>
    <s v=" "/>
    <x v="0"/>
    <x v="0"/>
    <x v="1"/>
    <n v="36"/>
    <x v="4"/>
    <x v="0"/>
    <x v="1"/>
  </r>
  <r>
    <n v="1862"/>
    <x v="3"/>
    <x v="11"/>
    <n v="2021"/>
    <x v="3"/>
    <n v="2024"/>
    <n v="4"/>
    <x v="7"/>
    <x v="1"/>
    <x v="0"/>
    <n v="49"/>
    <x v="3"/>
    <x v="6"/>
    <x v="2"/>
  </r>
  <r>
    <n v="1863"/>
    <x v="0"/>
    <x v="12"/>
    <n v="2018"/>
    <x v="4"/>
    <n v="2020"/>
    <n v="3"/>
    <x v="3"/>
    <x v="1"/>
    <x v="1"/>
    <n v="43"/>
    <x v="3"/>
    <x v="0"/>
    <x v="3"/>
  </r>
  <r>
    <n v="1864"/>
    <x v="1"/>
    <x v="13"/>
    <n v="2024"/>
    <x v="0"/>
    <s v=" "/>
    <s v=" "/>
    <x v="0"/>
    <x v="0"/>
    <x v="0"/>
    <n v="40"/>
    <x v="3"/>
    <x v="0"/>
    <x v="1"/>
  </r>
  <r>
    <n v="1865"/>
    <x v="1"/>
    <x v="14"/>
    <n v="2018"/>
    <x v="0"/>
    <s v=" "/>
    <s v=" "/>
    <x v="0"/>
    <x v="0"/>
    <x v="0"/>
    <n v="42"/>
    <x v="3"/>
    <x v="1"/>
    <x v="2"/>
  </r>
  <r>
    <n v="1866"/>
    <x v="0"/>
    <x v="15"/>
    <n v="2019"/>
    <x v="5"/>
    <n v="2022"/>
    <n v="4"/>
    <x v="4"/>
    <x v="1"/>
    <x v="1"/>
    <n v="35"/>
    <x v="4"/>
    <x v="0"/>
    <x v="3"/>
  </r>
  <r>
    <n v="1867"/>
    <x v="3"/>
    <x v="16"/>
    <n v="2019"/>
    <x v="6"/>
    <n v="2020"/>
    <n v="2"/>
    <x v="3"/>
    <x v="1"/>
    <x v="1"/>
    <n v="31"/>
    <x v="4"/>
    <x v="2"/>
    <x v="4"/>
  </r>
  <r>
    <n v="1868"/>
    <x v="5"/>
    <x v="17"/>
    <n v="2022"/>
    <x v="0"/>
    <s v=" "/>
    <s v=" "/>
    <x v="0"/>
    <x v="0"/>
    <x v="0"/>
    <n v="51"/>
    <x v="1"/>
    <x v="5"/>
    <x v="5"/>
  </r>
  <r>
    <n v="1869"/>
    <x v="0"/>
    <x v="18"/>
    <n v="2024"/>
    <x v="0"/>
    <s v=" "/>
    <s v=" "/>
    <x v="0"/>
    <x v="0"/>
    <x v="1"/>
    <n v="48"/>
    <x v="3"/>
    <x v="0"/>
    <x v="6"/>
  </r>
  <r>
    <n v="1870"/>
    <x v="3"/>
    <x v="19"/>
    <n v="2019"/>
    <x v="7"/>
    <n v="2022"/>
    <n v="4"/>
    <x v="5"/>
    <x v="1"/>
    <x v="0"/>
    <n v="41"/>
    <x v="3"/>
    <x v="1"/>
    <x v="7"/>
  </r>
  <r>
    <n v="1871"/>
    <x v="5"/>
    <x v="20"/>
    <n v="2021"/>
    <x v="8"/>
    <n v="2024"/>
    <n v="4"/>
    <x v="7"/>
    <x v="1"/>
    <x v="0"/>
    <n v="35"/>
    <x v="4"/>
    <x v="1"/>
    <x v="8"/>
  </r>
  <r>
    <n v="1872"/>
    <x v="2"/>
    <x v="21"/>
    <n v="2023"/>
    <x v="9"/>
    <n v="2024"/>
    <n v="2"/>
    <x v="4"/>
    <x v="1"/>
    <x v="0"/>
    <n v="24"/>
    <x v="0"/>
    <x v="2"/>
    <x v="9"/>
  </r>
  <r>
    <n v="1873"/>
    <x v="1"/>
    <x v="22"/>
    <n v="2023"/>
    <x v="0"/>
    <s v=" "/>
    <s v=" "/>
    <x v="0"/>
    <x v="0"/>
    <x v="1"/>
    <n v="41"/>
    <x v="3"/>
    <x v="3"/>
    <x v="10"/>
  </r>
  <r>
    <n v="1874"/>
    <x v="2"/>
    <x v="23"/>
    <n v="2024"/>
    <x v="0"/>
    <s v=" "/>
    <s v=" "/>
    <x v="0"/>
    <x v="0"/>
    <x v="0"/>
    <n v="40"/>
    <x v="3"/>
    <x v="0"/>
    <x v="2"/>
  </r>
  <r>
    <n v="1875"/>
    <x v="0"/>
    <x v="24"/>
    <n v="2019"/>
    <x v="0"/>
    <s v=" "/>
    <s v=" "/>
    <x v="0"/>
    <x v="0"/>
    <x v="1"/>
    <n v="48"/>
    <x v="3"/>
    <x v="6"/>
    <x v="4"/>
  </r>
  <r>
    <n v="1876"/>
    <x v="1"/>
    <x v="25"/>
    <n v="2022"/>
    <x v="0"/>
    <s v=" "/>
    <s v=" "/>
    <x v="0"/>
    <x v="0"/>
    <x v="0"/>
    <n v="52"/>
    <x v="1"/>
    <x v="0"/>
    <x v="9"/>
  </r>
  <r>
    <n v="1877"/>
    <x v="4"/>
    <x v="26"/>
    <n v="2020"/>
    <x v="10"/>
    <n v="2021"/>
    <n v="2"/>
    <x v="6"/>
    <x v="1"/>
    <x v="1"/>
    <n v="33"/>
    <x v="4"/>
    <x v="0"/>
    <x v="1"/>
  </r>
  <r>
    <n v="1878"/>
    <x v="2"/>
    <x v="27"/>
    <n v="2023"/>
    <x v="0"/>
    <s v=" "/>
    <s v=" "/>
    <x v="0"/>
    <x v="0"/>
    <x v="1"/>
    <n v="51"/>
    <x v="1"/>
    <x v="1"/>
    <x v="2"/>
  </r>
  <r>
    <n v="1879"/>
    <x v="0"/>
    <x v="28"/>
    <n v="2021"/>
    <x v="11"/>
    <n v="2022"/>
    <n v="2"/>
    <x v="3"/>
    <x v="1"/>
    <x v="0"/>
    <n v="46"/>
    <x v="3"/>
    <x v="0"/>
    <x v="3"/>
  </r>
  <r>
    <n v="1880"/>
    <x v="2"/>
    <x v="29"/>
    <n v="2018"/>
    <x v="12"/>
    <n v="2021"/>
    <n v="4"/>
    <x v="1"/>
    <x v="1"/>
    <x v="1"/>
    <n v="53"/>
    <x v="1"/>
    <x v="2"/>
    <x v="4"/>
  </r>
  <r>
    <n v="1881"/>
    <x v="5"/>
    <x v="30"/>
    <n v="2021"/>
    <x v="0"/>
    <s v=" "/>
    <s v=" "/>
    <x v="0"/>
    <x v="0"/>
    <x v="1"/>
    <n v="35"/>
    <x v="4"/>
    <x v="5"/>
    <x v="9"/>
  </r>
  <r>
    <n v="1882"/>
    <x v="0"/>
    <x v="31"/>
    <n v="2024"/>
    <x v="0"/>
    <s v=" "/>
    <s v=" "/>
    <x v="0"/>
    <x v="0"/>
    <x v="0"/>
    <n v="32"/>
    <x v="4"/>
    <x v="0"/>
    <x v="0"/>
  </r>
  <r>
    <n v="1883"/>
    <x v="5"/>
    <x v="32"/>
    <n v="2021"/>
    <x v="0"/>
    <s v=" "/>
    <s v=" "/>
    <x v="0"/>
    <x v="0"/>
    <x v="0"/>
    <n v="46"/>
    <x v="3"/>
    <x v="1"/>
    <x v="2"/>
  </r>
  <r>
    <n v="1884"/>
    <x v="0"/>
    <x v="33"/>
    <n v="2020"/>
    <x v="0"/>
    <s v=" "/>
    <s v=" "/>
    <x v="0"/>
    <x v="0"/>
    <x v="1"/>
    <n v="50"/>
    <x v="1"/>
    <x v="1"/>
    <x v="3"/>
  </r>
  <r>
    <n v="1885"/>
    <x v="2"/>
    <x v="34"/>
    <n v="2018"/>
    <x v="13"/>
    <n v="2022"/>
    <n v="5"/>
    <x v="2"/>
    <x v="1"/>
    <x v="1"/>
    <n v="62"/>
    <x v="2"/>
    <x v="2"/>
    <x v="4"/>
  </r>
  <r>
    <n v="1886"/>
    <x v="2"/>
    <x v="35"/>
    <n v="2018"/>
    <x v="0"/>
    <s v=" "/>
    <s v=" "/>
    <x v="0"/>
    <x v="0"/>
    <x v="0"/>
    <n v="29"/>
    <x v="0"/>
    <x v="3"/>
    <x v="9"/>
  </r>
  <r>
    <n v="1887"/>
    <x v="2"/>
    <x v="36"/>
    <n v="2021"/>
    <x v="14"/>
    <n v="2024"/>
    <n v="4"/>
    <x v="1"/>
    <x v="1"/>
    <x v="1"/>
    <n v="27"/>
    <x v="0"/>
    <x v="0"/>
    <x v="1"/>
  </r>
  <r>
    <n v="1888"/>
    <x v="4"/>
    <x v="37"/>
    <n v="2021"/>
    <x v="15"/>
    <n v="2023"/>
    <n v="3"/>
    <x v="4"/>
    <x v="1"/>
    <x v="0"/>
    <n v="31"/>
    <x v="4"/>
    <x v="7"/>
    <x v="2"/>
  </r>
  <r>
    <n v="1889"/>
    <x v="0"/>
    <x v="38"/>
    <n v="2019"/>
    <x v="16"/>
    <n v="2022"/>
    <n v="4"/>
    <x v="3"/>
    <x v="1"/>
    <x v="0"/>
    <n v="24"/>
    <x v="0"/>
    <x v="0"/>
    <x v="3"/>
  </r>
  <r>
    <n v="1890"/>
    <x v="5"/>
    <x v="39"/>
    <n v="2020"/>
    <x v="0"/>
    <s v=" "/>
    <s v=" "/>
    <x v="0"/>
    <x v="0"/>
    <x v="0"/>
    <n v="37"/>
    <x v="4"/>
    <x v="0"/>
    <x v="4"/>
  </r>
  <r>
    <n v="1891"/>
    <x v="4"/>
    <x v="40"/>
    <n v="2020"/>
    <x v="0"/>
    <s v=" "/>
    <s v=" "/>
    <x v="0"/>
    <x v="0"/>
    <x v="1"/>
    <n v="23"/>
    <x v="0"/>
    <x v="1"/>
    <x v="9"/>
  </r>
  <r>
    <n v="1892"/>
    <x v="4"/>
    <x v="41"/>
    <n v="2024"/>
    <x v="0"/>
    <s v=" "/>
    <s v=" "/>
    <x v="0"/>
    <x v="0"/>
    <x v="0"/>
    <n v="31"/>
    <x v="4"/>
    <x v="0"/>
    <x v="0"/>
  </r>
  <r>
    <n v="1893"/>
    <x v="5"/>
    <x v="42"/>
    <n v="2024"/>
    <x v="0"/>
    <s v=" "/>
    <s v=" "/>
    <x v="0"/>
    <x v="0"/>
    <x v="1"/>
    <n v="52"/>
    <x v="1"/>
    <x v="2"/>
    <x v="2"/>
  </r>
  <r>
    <n v="1894"/>
    <x v="2"/>
    <x v="43"/>
    <n v="2022"/>
    <x v="0"/>
    <s v=" "/>
    <s v=" "/>
    <x v="0"/>
    <x v="0"/>
    <x v="0"/>
    <n v="25"/>
    <x v="0"/>
    <x v="7"/>
    <x v="3"/>
  </r>
  <r>
    <n v="1895"/>
    <x v="1"/>
    <x v="44"/>
    <n v="2023"/>
    <x v="0"/>
    <s v=" "/>
    <s v=" "/>
    <x v="0"/>
    <x v="0"/>
    <x v="1"/>
    <n v="46"/>
    <x v="3"/>
    <x v="0"/>
    <x v="10"/>
  </r>
  <r>
    <n v="1896"/>
    <x v="1"/>
    <x v="45"/>
    <n v="2019"/>
    <x v="17"/>
    <n v="2021"/>
    <n v="3"/>
    <x v="5"/>
    <x v="1"/>
    <x v="1"/>
    <n v="24"/>
    <x v="0"/>
    <x v="1"/>
    <x v="4"/>
  </r>
  <r>
    <n v="1897"/>
    <x v="1"/>
    <x v="46"/>
    <n v="2021"/>
    <x v="18"/>
    <n v="2024"/>
    <n v="4"/>
    <x v="5"/>
    <x v="1"/>
    <x v="0"/>
    <n v="38"/>
    <x v="4"/>
    <x v="1"/>
    <x v="9"/>
  </r>
  <r>
    <n v="1898"/>
    <x v="3"/>
    <x v="47"/>
    <n v="2019"/>
    <x v="0"/>
    <s v=" "/>
    <s v=" "/>
    <x v="0"/>
    <x v="0"/>
    <x v="1"/>
    <n v="49"/>
    <x v="3"/>
    <x v="2"/>
    <x v="0"/>
  </r>
  <r>
    <n v="1899"/>
    <x v="4"/>
    <x v="48"/>
    <n v="2024"/>
    <x v="0"/>
    <s v=" "/>
    <s v=" "/>
    <x v="0"/>
    <x v="0"/>
    <x v="1"/>
    <n v="31"/>
    <x v="4"/>
    <x v="3"/>
    <x v="1"/>
  </r>
  <r>
    <n v="1900"/>
    <x v="0"/>
    <x v="49"/>
    <n v="2018"/>
    <x v="19"/>
    <n v="2022"/>
    <n v="5"/>
    <x v="4"/>
    <x v="1"/>
    <x v="0"/>
    <n v="51"/>
    <x v="1"/>
    <x v="0"/>
    <x v="2"/>
  </r>
  <r>
    <n v="1901"/>
    <x v="0"/>
    <x v="0"/>
    <n v="2018"/>
    <x v="0"/>
    <s v=" "/>
    <s v=" "/>
    <x v="0"/>
    <x v="0"/>
    <x v="0"/>
    <n v="27"/>
    <x v="0"/>
    <x v="4"/>
    <x v="3"/>
  </r>
  <r>
    <n v="1902"/>
    <x v="1"/>
    <x v="1"/>
    <n v="2020"/>
    <x v="0"/>
    <s v=" "/>
    <s v=" "/>
    <x v="0"/>
    <x v="0"/>
    <x v="0"/>
    <n v="22"/>
    <x v="0"/>
    <x v="0"/>
    <x v="1"/>
  </r>
  <r>
    <n v="1903"/>
    <x v="1"/>
    <x v="2"/>
    <n v="2021"/>
    <x v="0"/>
    <s v=" "/>
    <s v=" "/>
    <x v="0"/>
    <x v="0"/>
    <x v="1"/>
    <n v="50"/>
    <x v="1"/>
    <x v="0"/>
    <x v="2"/>
  </r>
  <r>
    <n v="1904"/>
    <x v="1"/>
    <x v="3"/>
    <n v="2023"/>
    <x v="0"/>
    <s v=" "/>
    <s v=" "/>
    <x v="0"/>
    <x v="0"/>
    <x v="1"/>
    <n v="24"/>
    <x v="0"/>
    <x v="1"/>
    <x v="3"/>
  </r>
  <r>
    <n v="1905"/>
    <x v="1"/>
    <x v="4"/>
    <n v="2019"/>
    <x v="1"/>
    <n v="2021"/>
    <n v="3"/>
    <x v="1"/>
    <x v="1"/>
    <x v="0"/>
    <n v="50"/>
    <x v="1"/>
    <x v="0"/>
    <x v="4"/>
  </r>
  <r>
    <n v="1906"/>
    <x v="2"/>
    <x v="5"/>
    <n v="2022"/>
    <x v="2"/>
    <n v="2023"/>
    <n v="2"/>
    <x v="7"/>
    <x v="1"/>
    <x v="1"/>
    <n v="28"/>
    <x v="0"/>
    <x v="2"/>
    <x v="5"/>
  </r>
  <r>
    <n v="1907"/>
    <x v="3"/>
    <x v="6"/>
    <n v="2024"/>
    <x v="0"/>
    <s v=" "/>
    <s v=" "/>
    <x v="0"/>
    <x v="0"/>
    <x v="0"/>
    <n v="40"/>
    <x v="3"/>
    <x v="5"/>
    <x v="6"/>
  </r>
  <r>
    <n v="1908"/>
    <x v="0"/>
    <x v="7"/>
    <n v="2018"/>
    <x v="0"/>
    <s v=" "/>
    <s v=" "/>
    <x v="0"/>
    <x v="0"/>
    <x v="0"/>
    <n v="32"/>
    <x v="4"/>
    <x v="0"/>
    <x v="7"/>
  </r>
  <r>
    <n v="1909"/>
    <x v="1"/>
    <x v="8"/>
    <n v="2023"/>
    <x v="0"/>
    <s v=" "/>
    <s v=" "/>
    <x v="0"/>
    <x v="0"/>
    <x v="0"/>
    <n v="50"/>
    <x v="1"/>
    <x v="1"/>
    <x v="8"/>
  </r>
  <r>
    <n v="1910"/>
    <x v="4"/>
    <x v="9"/>
    <n v="2024"/>
    <x v="0"/>
    <s v=" "/>
    <s v=" "/>
    <x v="0"/>
    <x v="0"/>
    <x v="1"/>
    <n v="24"/>
    <x v="0"/>
    <x v="1"/>
    <x v="9"/>
  </r>
  <r>
    <n v="1911"/>
    <x v="5"/>
    <x v="10"/>
    <n v="2024"/>
    <x v="0"/>
    <s v=" "/>
    <s v=" "/>
    <x v="0"/>
    <x v="0"/>
    <x v="0"/>
    <n v="36"/>
    <x v="4"/>
    <x v="2"/>
    <x v="10"/>
  </r>
  <r>
    <n v="1912"/>
    <x v="3"/>
    <x v="11"/>
    <n v="2021"/>
    <x v="3"/>
    <n v="2024"/>
    <n v="4"/>
    <x v="7"/>
    <x v="1"/>
    <x v="1"/>
    <n v="49"/>
    <x v="3"/>
    <x v="3"/>
    <x v="2"/>
  </r>
  <r>
    <n v="1913"/>
    <x v="0"/>
    <x v="12"/>
    <n v="2018"/>
    <x v="4"/>
    <n v="2020"/>
    <n v="3"/>
    <x v="3"/>
    <x v="1"/>
    <x v="0"/>
    <n v="43"/>
    <x v="3"/>
    <x v="0"/>
    <x v="4"/>
  </r>
  <r>
    <n v="1914"/>
    <x v="1"/>
    <x v="13"/>
    <n v="2024"/>
    <x v="0"/>
    <s v=" "/>
    <s v=" "/>
    <x v="0"/>
    <x v="0"/>
    <x v="1"/>
    <n v="40"/>
    <x v="3"/>
    <x v="4"/>
    <x v="9"/>
  </r>
  <r>
    <n v="1915"/>
    <x v="1"/>
    <x v="14"/>
    <n v="2018"/>
    <x v="0"/>
    <s v=" "/>
    <s v=" "/>
    <x v="0"/>
    <x v="0"/>
    <x v="1"/>
    <n v="42"/>
    <x v="3"/>
    <x v="0"/>
    <x v="1"/>
  </r>
  <r>
    <n v="1916"/>
    <x v="0"/>
    <x v="15"/>
    <n v="2019"/>
    <x v="5"/>
    <n v="2022"/>
    <n v="4"/>
    <x v="4"/>
    <x v="1"/>
    <x v="0"/>
    <n v="35"/>
    <x v="4"/>
    <x v="0"/>
    <x v="2"/>
  </r>
  <r>
    <n v="1917"/>
    <x v="3"/>
    <x v="16"/>
    <n v="2019"/>
    <x v="6"/>
    <n v="2020"/>
    <n v="2"/>
    <x v="7"/>
    <x v="1"/>
    <x v="1"/>
    <n v="31"/>
    <x v="4"/>
    <x v="1"/>
    <x v="3"/>
  </r>
  <r>
    <n v="1918"/>
    <x v="5"/>
    <x v="17"/>
    <n v="2022"/>
    <x v="0"/>
    <s v=" "/>
    <s v=" "/>
    <x v="0"/>
    <x v="0"/>
    <x v="1"/>
    <n v="51"/>
    <x v="1"/>
    <x v="0"/>
    <x v="4"/>
  </r>
  <r>
    <n v="1919"/>
    <x v="0"/>
    <x v="18"/>
    <n v="2024"/>
    <x v="0"/>
    <s v=" "/>
    <s v=" "/>
    <x v="0"/>
    <x v="0"/>
    <x v="0"/>
    <n v="48"/>
    <x v="3"/>
    <x v="2"/>
    <x v="9"/>
  </r>
  <r>
    <n v="1920"/>
    <x v="3"/>
    <x v="19"/>
    <n v="2019"/>
    <x v="7"/>
    <n v="2022"/>
    <n v="4"/>
    <x v="5"/>
    <x v="1"/>
    <x v="0"/>
    <n v="41"/>
    <x v="3"/>
    <x v="5"/>
    <x v="0"/>
  </r>
  <r>
    <n v="1921"/>
    <x v="5"/>
    <x v="20"/>
    <n v="2021"/>
    <x v="8"/>
    <n v="2024"/>
    <n v="4"/>
    <x v="7"/>
    <x v="1"/>
    <x v="0"/>
    <n v="35"/>
    <x v="4"/>
    <x v="0"/>
    <x v="2"/>
  </r>
  <r>
    <n v="1922"/>
    <x v="2"/>
    <x v="21"/>
    <n v="2023"/>
    <x v="9"/>
    <n v="2024"/>
    <n v="2"/>
    <x v="4"/>
    <x v="1"/>
    <x v="1"/>
    <n v="24"/>
    <x v="0"/>
    <x v="1"/>
    <x v="3"/>
  </r>
  <r>
    <n v="1923"/>
    <x v="1"/>
    <x v="22"/>
    <n v="2023"/>
    <x v="0"/>
    <s v=" "/>
    <s v=" "/>
    <x v="0"/>
    <x v="0"/>
    <x v="1"/>
    <n v="41"/>
    <x v="3"/>
    <x v="1"/>
    <x v="4"/>
  </r>
  <r>
    <n v="1924"/>
    <x v="2"/>
    <x v="23"/>
    <n v="2024"/>
    <x v="0"/>
    <s v=" "/>
    <s v=" "/>
    <x v="0"/>
    <x v="0"/>
    <x v="0"/>
    <n v="40"/>
    <x v="3"/>
    <x v="2"/>
    <x v="9"/>
  </r>
  <r>
    <n v="1925"/>
    <x v="0"/>
    <x v="24"/>
    <n v="2019"/>
    <x v="0"/>
    <s v=" "/>
    <s v=" "/>
    <x v="0"/>
    <x v="0"/>
    <x v="1"/>
    <n v="48"/>
    <x v="3"/>
    <x v="3"/>
    <x v="1"/>
  </r>
  <r>
    <n v="1926"/>
    <x v="1"/>
    <x v="25"/>
    <n v="2022"/>
    <x v="0"/>
    <s v=" "/>
    <s v=" "/>
    <x v="0"/>
    <x v="0"/>
    <x v="0"/>
    <n v="52"/>
    <x v="1"/>
    <x v="0"/>
    <x v="2"/>
  </r>
  <r>
    <n v="1927"/>
    <x v="4"/>
    <x v="26"/>
    <n v="2020"/>
    <x v="10"/>
    <n v="2021"/>
    <n v="2"/>
    <x v="6"/>
    <x v="1"/>
    <x v="0"/>
    <n v="33"/>
    <x v="4"/>
    <x v="7"/>
    <x v="3"/>
  </r>
  <r>
    <n v="1928"/>
    <x v="2"/>
    <x v="27"/>
    <n v="2023"/>
    <x v="0"/>
    <s v=" "/>
    <s v=" "/>
    <x v="0"/>
    <x v="0"/>
    <x v="0"/>
    <n v="51"/>
    <x v="1"/>
    <x v="0"/>
    <x v="4"/>
  </r>
  <r>
    <n v="1929"/>
    <x v="0"/>
    <x v="28"/>
    <n v="2021"/>
    <x v="11"/>
    <n v="2022"/>
    <n v="2"/>
    <x v="3"/>
    <x v="1"/>
    <x v="1"/>
    <n v="46"/>
    <x v="3"/>
    <x v="0"/>
    <x v="9"/>
  </r>
  <r>
    <n v="1930"/>
    <x v="2"/>
    <x v="29"/>
    <n v="2018"/>
    <x v="12"/>
    <n v="2021"/>
    <n v="4"/>
    <x v="1"/>
    <x v="1"/>
    <x v="0"/>
    <n v="53"/>
    <x v="1"/>
    <x v="1"/>
    <x v="0"/>
  </r>
  <r>
    <n v="1931"/>
    <x v="5"/>
    <x v="30"/>
    <n v="2021"/>
    <x v="0"/>
    <s v=" "/>
    <s v=" "/>
    <x v="0"/>
    <x v="0"/>
    <x v="1"/>
    <n v="35"/>
    <x v="4"/>
    <x v="0"/>
    <x v="2"/>
  </r>
  <r>
    <n v="1932"/>
    <x v="0"/>
    <x v="31"/>
    <n v="2024"/>
    <x v="0"/>
    <s v=" "/>
    <s v=" "/>
    <x v="0"/>
    <x v="0"/>
    <x v="0"/>
    <n v="32"/>
    <x v="4"/>
    <x v="2"/>
    <x v="3"/>
  </r>
  <r>
    <n v="1933"/>
    <x v="5"/>
    <x v="32"/>
    <n v="2021"/>
    <x v="0"/>
    <s v=" "/>
    <s v=" "/>
    <x v="0"/>
    <x v="0"/>
    <x v="1"/>
    <n v="46"/>
    <x v="3"/>
    <x v="5"/>
    <x v="10"/>
  </r>
  <r>
    <n v="1934"/>
    <x v="0"/>
    <x v="33"/>
    <n v="2020"/>
    <x v="0"/>
    <s v=" "/>
    <s v=" "/>
    <x v="0"/>
    <x v="0"/>
    <x v="1"/>
    <n v="50"/>
    <x v="1"/>
    <x v="0"/>
    <x v="4"/>
  </r>
  <r>
    <n v="1935"/>
    <x v="2"/>
    <x v="34"/>
    <n v="2018"/>
    <x v="13"/>
    <n v="2022"/>
    <n v="5"/>
    <x v="2"/>
    <x v="1"/>
    <x v="0"/>
    <n v="63"/>
    <x v="2"/>
    <x v="1"/>
    <x v="9"/>
  </r>
  <r>
    <n v="1936"/>
    <x v="2"/>
    <x v="35"/>
    <n v="2018"/>
    <x v="0"/>
    <s v=" "/>
    <s v=" "/>
    <x v="0"/>
    <x v="0"/>
    <x v="1"/>
    <n v="29"/>
    <x v="0"/>
    <x v="1"/>
    <x v="0"/>
  </r>
  <r>
    <n v="1937"/>
    <x v="2"/>
    <x v="36"/>
    <n v="2021"/>
    <x v="14"/>
    <n v="2024"/>
    <n v="4"/>
    <x v="1"/>
    <x v="1"/>
    <x v="1"/>
    <n v="27"/>
    <x v="0"/>
    <x v="2"/>
    <x v="1"/>
  </r>
  <r>
    <n v="1938"/>
    <x v="4"/>
    <x v="37"/>
    <n v="2021"/>
    <x v="15"/>
    <n v="2023"/>
    <n v="3"/>
    <x v="4"/>
    <x v="1"/>
    <x v="0"/>
    <n v="31"/>
    <x v="4"/>
    <x v="3"/>
    <x v="2"/>
  </r>
  <r>
    <n v="1939"/>
    <x v="0"/>
    <x v="38"/>
    <n v="2019"/>
    <x v="16"/>
    <n v="2022"/>
    <n v="4"/>
    <x v="7"/>
    <x v="1"/>
    <x v="1"/>
    <n v="24"/>
    <x v="0"/>
    <x v="0"/>
    <x v="3"/>
  </r>
  <r>
    <n v="1940"/>
    <x v="5"/>
    <x v="39"/>
    <n v="2020"/>
    <x v="0"/>
    <s v=" "/>
    <s v=" "/>
    <x v="0"/>
    <x v="0"/>
    <x v="1"/>
    <n v="37"/>
    <x v="4"/>
    <x v="4"/>
    <x v="0"/>
  </r>
  <r>
    <n v="1941"/>
    <x v="4"/>
    <x v="40"/>
    <n v="2020"/>
    <x v="0"/>
    <s v=" "/>
    <s v=" "/>
    <x v="0"/>
    <x v="0"/>
    <x v="0"/>
    <n v="23"/>
    <x v="0"/>
    <x v="0"/>
    <x v="1"/>
  </r>
  <r>
    <n v="1942"/>
    <x v="4"/>
    <x v="41"/>
    <n v="2024"/>
    <x v="0"/>
    <s v=" "/>
    <s v=" "/>
    <x v="0"/>
    <x v="0"/>
    <x v="1"/>
    <n v="31"/>
    <x v="4"/>
    <x v="0"/>
    <x v="2"/>
  </r>
  <r>
    <n v="1943"/>
    <x v="5"/>
    <x v="42"/>
    <n v="2024"/>
    <x v="0"/>
    <s v=" "/>
    <s v=" "/>
    <x v="0"/>
    <x v="0"/>
    <x v="0"/>
    <n v="52"/>
    <x v="1"/>
    <x v="1"/>
    <x v="3"/>
  </r>
  <r>
    <n v="1944"/>
    <x v="2"/>
    <x v="43"/>
    <n v="2022"/>
    <x v="0"/>
    <s v=" "/>
    <s v=" "/>
    <x v="0"/>
    <x v="0"/>
    <x v="0"/>
    <n v="25"/>
    <x v="0"/>
    <x v="0"/>
    <x v="4"/>
  </r>
  <r>
    <n v="1945"/>
    <x v="1"/>
    <x v="44"/>
    <n v="2023"/>
    <x v="0"/>
    <s v=" "/>
    <s v=" "/>
    <x v="0"/>
    <x v="0"/>
    <x v="0"/>
    <n v="46"/>
    <x v="3"/>
    <x v="2"/>
    <x v="5"/>
  </r>
  <r>
    <n v="1946"/>
    <x v="1"/>
    <x v="45"/>
    <n v="2019"/>
    <x v="17"/>
    <n v="2021"/>
    <n v="3"/>
    <x v="5"/>
    <x v="1"/>
    <x v="1"/>
    <n v="24"/>
    <x v="0"/>
    <x v="7"/>
    <x v="6"/>
  </r>
  <r>
    <n v="1947"/>
    <x v="1"/>
    <x v="46"/>
    <n v="2021"/>
    <x v="18"/>
    <n v="2024"/>
    <n v="4"/>
    <x v="5"/>
    <x v="1"/>
    <x v="0"/>
    <n v="38"/>
    <x v="4"/>
    <x v="0"/>
    <x v="7"/>
  </r>
  <r>
    <n v="1948"/>
    <x v="3"/>
    <x v="47"/>
    <n v="2019"/>
    <x v="0"/>
    <s v=" "/>
    <s v=" "/>
    <x v="0"/>
    <x v="0"/>
    <x v="1"/>
    <n v="49"/>
    <x v="3"/>
    <x v="1"/>
    <x v="8"/>
  </r>
  <r>
    <n v="1949"/>
    <x v="4"/>
    <x v="48"/>
    <n v="2024"/>
    <x v="0"/>
    <s v=" "/>
    <s v=" "/>
    <x v="0"/>
    <x v="0"/>
    <x v="0"/>
    <n v="31"/>
    <x v="4"/>
    <x v="1"/>
    <x v="9"/>
  </r>
  <r>
    <n v="1950"/>
    <x v="0"/>
    <x v="49"/>
    <n v="2018"/>
    <x v="19"/>
    <n v="2022"/>
    <n v="5"/>
    <x v="4"/>
    <x v="1"/>
    <x v="1"/>
    <n v="51"/>
    <x v="1"/>
    <x v="2"/>
    <x v="10"/>
  </r>
  <r>
    <n v="1951"/>
    <x v="0"/>
    <x v="0"/>
    <n v="2018"/>
    <x v="0"/>
    <s v=" "/>
    <s v=" "/>
    <x v="0"/>
    <x v="0"/>
    <x v="1"/>
    <n v="27"/>
    <x v="0"/>
    <x v="3"/>
    <x v="2"/>
  </r>
  <r>
    <n v="1952"/>
    <x v="1"/>
    <x v="1"/>
    <n v="2020"/>
    <x v="0"/>
    <s v=" "/>
    <s v=" "/>
    <x v="0"/>
    <x v="0"/>
    <x v="0"/>
    <n v="22"/>
    <x v="0"/>
    <x v="0"/>
    <x v="4"/>
  </r>
  <r>
    <n v="1953"/>
    <x v="1"/>
    <x v="2"/>
    <n v="2021"/>
    <x v="0"/>
    <s v=" "/>
    <s v=" "/>
    <x v="0"/>
    <x v="0"/>
    <x v="1"/>
    <n v="50"/>
    <x v="1"/>
    <x v="6"/>
    <x v="9"/>
  </r>
  <r>
    <n v="1954"/>
    <x v="1"/>
    <x v="3"/>
    <n v="2023"/>
    <x v="0"/>
    <s v=" "/>
    <s v=" "/>
    <x v="0"/>
    <x v="0"/>
    <x v="1"/>
    <n v="24"/>
    <x v="0"/>
    <x v="0"/>
    <x v="1"/>
  </r>
  <r>
    <n v="1955"/>
    <x v="1"/>
    <x v="4"/>
    <n v="2019"/>
    <x v="1"/>
    <n v="2021"/>
    <n v="3"/>
    <x v="7"/>
    <x v="1"/>
    <x v="0"/>
    <n v="50"/>
    <x v="1"/>
    <x v="0"/>
    <x v="2"/>
  </r>
  <r>
    <n v="1956"/>
    <x v="2"/>
    <x v="5"/>
    <n v="2022"/>
    <x v="2"/>
    <n v="2023"/>
    <n v="2"/>
    <x v="7"/>
    <x v="1"/>
    <x v="1"/>
    <n v="28"/>
    <x v="0"/>
    <x v="1"/>
    <x v="3"/>
  </r>
  <r>
    <n v="1957"/>
    <x v="3"/>
    <x v="6"/>
    <n v="2024"/>
    <x v="0"/>
    <s v=" "/>
    <s v=" "/>
    <x v="0"/>
    <x v="0"/>
    <x v="1"/>
    <n v="40"/>
    <x v="3"/>
    <x v="0"/>
    <x v="4"/>
  </r>
  <r>
    <n v="1958"/>
    <x v="0"/>
    <x v="7"/>
    <n v="2018"/>
    <x v="0"/>
    <s v=" "/>
    <s v=" "/>
    <x v="0"/>
    <x v="0"/>
    <x v="1"/>
    <n v="32"/>
    <x v="4"/>
    <x v="2"/>
    <x v="9"/>
  </r>
  <r>
    <n v="1959"/>
    <x v="1"/>
    <x v="8"/>
    <n v="2023"/>
    <x v="0"/>
    <s v=" "/>
    <s v=" "/>
    <x v="0"/>
    <x v="0"/>
    <x v="0"/>
    <n v="50"/>
    <x v="1"/>
    <x v="5"/>
    <x v="0"/>
  </r>
  <r>
    <n v="1960"/>
    <x v="4"/>
    <x v="9"/>
    <n v="2024"/>
    <x v="0"/>
    <s v=" "/>
    <s v=" "/>
    <x v="0"/>
    <x v="0"/>
    <x v="1"/>
    <n v="24"/>
    <x v="0"/>
    <x v="0"/>
    <x v="2"/>
  </r>
  <r>
    <n v="1961"/>
    <x v="5"/>
    <x v="10"/>
    <n v="2024"/>
    <x v="0"/>
    <s v=" "/>
    <s v=" "/>
    <x v="0"/>
    <x v="0"/>
    <x v="0"/>
    <n v="36"/>
    <x v="4"/>
    <x v="1"/>
    <x v="3"/>
  </r>
  <r>
    <n v="1962"/>
    <x v="3"/>
    <x v="11"/>
    <n v="2021"/>
    <x v="3"/>
    <n v="2024"/>
    <n v="4"/>
    <x v="7"/>
    <x v="1"/>
    <x v="0"/>
    <n v="49"/>
    <x v="3"/>
    <x v="1"/>
    <x v="10"/>
  </r>
  <r>
    <n v="1963"/>
    <x v="0"/>
    <x v="12"/>
    <n v="2018"/>
    <x v="4"/>
    <n v="2020"/>
    <n v="3"/>
    <x v="3"/>
    <x v="1"/>
    <x v="0"/>
    <n v="43"/>
    <x v="3"/>
    <x v="2"/>
    <x v="4"/>
  </r>
  <r>
    <n v="1964"/>
    <x v="1"/>
    <x v="13"/>
    <n v="2024"/>
    <x v="0"/>
    <s v=" "/>
    <s v=" "/>
    <x v="0"/>
    <x v="0"/>
    <x v="1"/>
    <n v="40"/>
    <x v="3"/>
    <x v="3"/>
    <x v="9"/>
  </r>
  <r>
    <n v="1965"/>
    <x v="1"/>
    <x v="14"/>
    <n v="2018"/>
    <x v="0"/>
    <s v=" "/>
    <s v=" "/>
    <x v="0"/>
    <x v="0"/>
    <x v="0"/>
    <n v="42"/>
    <x v="3"/>
    <x v="0"/>
    <x v="0"/>
  </r>
  <r>
    <n v="1966"/>
    <x v="0"/>
    <x v="15"/>
    <n v="2019"/>
    <x v="5"/>
    <n v="2022"/>
    <n v="4"/>
    <x v="4"/>
    <x v="1"/>
    <x v="1"/>
    <n v="35"/>
    <x v="4"/>
    <x v="6"/>
    <x v="1"/>
  </r>
  <r>
    <n v="1967"/>
    <x v="3"/>
    <x v="16"/>
    <n v="2019"/>
    <x v="6"/>
    <n v="2020"/>
    <n v="2"/>
    <x v="3"/>
    <x v="1"/>
    <x v="0"/>
    <n v="31"/>
    <x v="4"/>
    <x v="0"/>
    <x v="2"/>
  </r>
  <r>
    <n v="1968"/>
    <x v="5"/>
    <x v="17"/>
    <n v="2022"/>
    <x v="0"/>
    <s v=" "/>
    <s v=" "/>
    <x v="0"/>
    <x v="0"/>
    <x v="1"/>
    <n v="51"/>
    <x v="1"/>
    <x v="0"/>
    <x v="3"/>
  </r>
  <r>
    <n v="1969"/>
    <x v="0"/>
    <x v="18"/>
    <n v="2024"/>
    <x v="0"/>
    <s v=" "/>
    <s v=" "/>
    <x v="0"/>
    <x v="0"/>
    <x v="1"/>
    <n v="48"/>
    <x v="3"/>
    <x v="1"/>
    <x v="4"/>
  </r>
  <r>
    <n v="1970"/>
    <x v="3"/>
    <x v="19"/>
    <n v="2019"/>
    <x v="7"/>
    <n v="2022"/>
    <n v="4"/>
    <x v="5"/>
    <x v="1"/>
    <x v="0"/>
    <n v="41"/>
    <x v="3"/>
    <x v="0"/>
    <x v="5"/>
  </r>
  <r>
    <n v="1971"/>
    <x v="5"/>
    <x v="20"/>
    <n v="2021"/>
    <x v="8"/>
    <n v="2024"/>
    <n v="4"/>
    <x v="7"/>
    <x v="1"/>
    <x v="1"/>
    <n v="35"/>
    <x v="4"/>
    <x v="2"/>
    <x v="6"/>
  </r>
  <r>
    <n v="1972"/>
    <x v="2"/>
    <x v="21"/>
    <n v="2023"/>
    <x v="9"/>
    <n v="2024"/>
    <n v="2"/>
    <x v="4"/>
    <x v="1"/>
    <x v="1"/>
    <n v="24"/>
    <x v="0"/>
    <x v="7"/>
    <x v="7"/>
  </r>
  <r>
    <n v="1973"/>
    <x v="1"/>
    <x v="22"/>
    <n v="2023"/>
    <x v="0"/>
    <s v=" "/>
    <s v=" "/>
    <x v="0"/>
    <x v="0"/>
    <x v="0"/>
    <n v="41"/>
    <x v="3"/>
    <x v="0"/>
    <x v="8"/>
  </r>
  <r>
    <n v="1974"/>
    <x v="2"/>
    <x v="23"/>
    <n v="2024"/>
    <x v="0"/>
    <s v=" "/>
    <s v=" "/>
    <x v="0"/>
    <x v="0"/>
    <x v="1"/>
    <n v="40"/>
    <x v="3"/>
    <x v="1"/>
    <x v="9"/>
  </r>
  <r>
    <n v="1975"/>
    <x v="0"/>
    <x v="24"/>
    <n v="2019"/>
    <x v="0"/>
    <s v=" "/>
    <s v=" "/>
    <x v="0"/>
    <x v="0"/>
    <x v="1"/>
    <n v="48"/>
    <x v="3"/>
    <x v="1"/>
    <x v="10"/>
  </r>
  <r>
    <n v="1976"/>
    <x v="1"/>
    <x v="25"/>
    <n v="2022"/>
    <x v="0"/>
    <s v=" "/>
    <s v=" "/>
    <x v="0"/>
    <x v="0"/>
    <x v="1"/>
    <n v="52"/>
    <x v="1"/>
    <x v="2"/>
    <x v="2"/>
  </r>
  <r>
    <n v="1977"/>
    <x v="4"/>
    <x v="26"/>
    <n v="2020"/>
    <x v="10"/>
    <n v="2021"/>
    <n v="2"/>
    <x v="6"/>
    <x v="1"/>
    <x v="0"/>
    <n v="33"/>
    <x v="4"/>
    <x v="3"/>
    <x v="4"/>
  </r>
  <r>
    <n v="1978"/>
    <x v="2"/>
    <x v="27"/>
    <n v="2023"/>
    <x v="0"/>
    <s v=" "/>
    <s v=" "/>
    <x v="0"/>
    <x v="0"/>
    <x v="1"/>
    <n v="51"/>
    <x v="1"/>
    <x v="0"/>
    <x v="9"/>
  </r>
  <r>
    <n v="1979"/>
    <x v="0"/>
    <x v="28"/>
    <n v="2021"/>
    <x v="11"/>
    <n v="2022"/>
    <n v="2"/>
    <x v="3"/>
    <x v="1"/>
    <x v="0"/>
    <n v="46"/>
    <x v="3"/>
    <x v="6"/>
    <x v="1"/>
  </r>
  <r>
    <n v="1980"/>
    <x v="2"/>
    <x v="29"/>
    <n v="2018"/>
    <x v="12"/>
    <n v="2021"/>
    <n v="4"/>
    <x v="1"/>
    <x v="1"/>
    <x v="0"/>
    <n v="53"/>
    <x v="1"/>
    <x v="0"/>
    <x v="2"/>
  </r>
  <r>
    <n v="1981"/>
    <x v="5"/>
    <x v="30"/>
    <n v="2021"/>
    <x v="0"/>
    <s v=" "/>
    <s v=" "/>
    <x v="0"/>
    <x v="0"/>
    <x v="0"/>
    <n v="35"/>
    <x v="4"/>
    <x v="0"/>
    <x v="3"/>
  </r>
  <r>
    <n v="1982"/>
    <x v="0"/>
    <x v="31"/>
    <n v="2024"/>
    <x v="0"/>
    <s v=" "/>
    <s v=" "/>
    <x v="0"/>
    <x v="0"/>
    <x v="0"/>
    <n v="32"/>
    <x v="4"/>
    <x v="1"/>
    <x v="4"/>
  </r>
  <r>
    <n v="1983"/>
    <x v="5"/>
    <x v="32"/>
    <n v="2021"/>
    <x v="0"/>
    <s v=" "/>
    <s v=" "/>
    <x v="0"/>
    <x v="0"/>
    <x v="1"/>
    <n v="46"/>
    <x v="3"/>
    <x v="0"/>
    <x v="9"/>
  </r>
  <r>
    <n v="1984"/>
    <x v="0"/>
    <x v="33"/>
    <n v="2020"/>
    <x v="0"/>
    <s v=" "/>
    <s v=" "/>
    <x v="0"/>
    <x v="0"/>
    <x v="1"/>
    <n v="50"/>
    <x v="1"/>
    <x v="2"/>
    <x v="0"/>
  </r>
  <r>
    <n v="1985"/>
    <x v="2"/>
    <x v="34"/>
    <n v="2018"/>
    <x v="13"/>
    <n v="2022"/>
    <n v="5"/>
    <x v="2"/>
    <x v="1"/>
    <x v="0"/>
    <n v="62"/>
    <x v="2"/>
    <x v="5"/>
    <x v="2"/>
  </r>
  <r>
    <n v="1986"/>
    <x v="2"/>
    <x v="35"/>
    <n v="2018"/>
    <x v="0"/>
    <s v=" "/>
    <s v=" "/>
    <x v="0"/>
    <x v="0"/>
    <x v="0"/>
    <n v="29"/>
    <x v="0"/>
    <x v="0"/>
    <x v="3"/>
  </r>
  <r>
    <n v="1987"/>
    <x v="2"/>
    <x v="36"/>
    <n v="2021"/>
    <x v="14"/>
    <n v="2024"/>
    <n v="4"/>
    <x v="7"/>
    <x v="1"/>
    <x v="0"/>
    <n v="27"/>
    <x v="0"/>
    <x v="1"/>
    <x v="10"/>
  </r>
  <r>
    <n v="1988"/>
    <x v="4"/>
    <x v="37"/>
    <n v="2021"/>
    <x v="15"/>
    <n v="2023"/>
    <n v="3"/>
    <x v="4"/>
    <x v="1"/>
    <x v="1"/>
    <n v="31"/>
    <x v="4"/>
    <x v="1"/>
    <x v="4"/>
  </r>
  <r>
    <n v="1989"/>
    <x v="0"/>
    <x v="38"/>
    <n v="2019"/>
    <x v="16"/>
    <n v="2022"/>
    <n v="4"/>
    <x v="3"/>
    <x v="1"/>
    <x v="0"/>
    <n v="24"/>
    <x v="0"/>
    <x v="2"/>
    <x v="9"/>
  </r>
  <r>
    <n v="1990"/>
    <x v="5"/>
    <x v="39"/>
    <n v="2020"/>
    <x v="0"/>
    <s v=" "/>
    <s v=" "/>
    <x v="0"/>
    <x v="0"/>
    <x v="0"/>
    <n v="37"/>
    <x v="4"/>
    <x v="3"/>
    <x v="0"/>
  </r>
  <r>
    <n v="1991"/>
    <x v="4"/>
    <x v="40"/>
    <n v="2020"/>
    <x v="0"/>
    <s v=" "/>
    <s v=" "/>
    <x v="0"/>
    <x v="0"/>
    <x v="1"/>
    <n v="23"/>
    <x v="0"/>
    <x v="0"/>
    <x v="1"/>
  </r>
  <r>
    <n v="1992"/>
    <x v="4"/>
    <x v="41"/>
    <n v="2024"/>
    <x v="0"/>
    <s v=" "/>
    <s v=" "/>
    <x v="0"/>
    <x v="0"/>
    <x v="0"/>
    <n v="31"/>
    <x v="4"/>
    <x v="4"/>
    <x v="2"/>
  </r>
  <r>
    <n v="1993"/>
    <x v="5"/>
    <x v="42"/>
    <n v="2024"/>
    <x v="0"/>
    <s v=" "/>
    <s v=" "/>
    <x v="0"/>
    <x v="0"/>
    <x v="1"/>
    <n v="52"/>
    <x v="1"/>
    <x v="0"/>
    <x v="3"/>
  </r>
  <r>
    <n v="1994"/>
    <x v="2"/>
    <x v="43"/>
    <n v="2022"/>
    <x v="0"/>
    <s v=" "/>
    <s v=" "/>
    <x v="0"/>
    <x v="0"/>
    <x v="1"/>
    <n v="25"/>
    <x v="0"/>
    <x v="0"/>
    <x v="4"/>
  </r>
  <r>
    <n v="1995"/>
    <x v="1"/>
    <x v="44"/>
    <n v="2023"/>
    <x v="0"/>
    <s v=" "/>
    <s v=" "/>
    <x v="0"/>
    <x v="0"/>
    <x v="0"/>
    <n v="46"/>
    <x v="3"/>
    <x v="1"/>
    <x v="5"/>
  </r>
  <r>
    <n v="1996"/>
    <x v="1"/>
    <x v="45"/>
    <n v="2019"/>
    <x v="17"/>
    <n v="2021"/>
    <n v="3"/>
    <x v="5"/>
    <x v="1"/>
    <x v="0"/>
    <n v="24"/>
    <x v="0"/>
    <x v="0"/>
    <x v="6"/>
  </r>
  <r>
    <n v="1997"/>
    <x v="1"/>
    <x v="46"/>
    <n v="2021"/>
    <x v="18"/>
    <n v="2024"/>
    <n v="4"/>
    <x v="7"/>
    <x v="1"/>
    <x v="0"/>
    <n v="38"/>
    <x v="4"/>
    <x v="2"/>
    <x v="7"/>
  </r>
  <r>
    <n v="1998"/>
    <x v="3"/>
    <x v="47"/>
    <n v="2019"/>
    <x v="0"/>
    <s v=" "/>
    <s v=" "/>
    <x v="0"/>
    <x v="0"/>
    <x v="1"/>
    <n v="49"/>
    <x v="3"/>
    <x v="5"/>
    <x v="8"/>
  </r>
  <r>
    <n v="1999"/>
    <x v="4"/>
    <x v="48"/>
    <n v="2024"/>
    <x v="0"/>
    <s v=" "/>
    <s v=" "/>
    <x v="0"/>
    <x v="0"/>
    <x v="1"/>
    <n v="31"/>
    <x v="4"/>
    <x v="0"/>
    <x v="9"/>
  </r>
  <r>
    <n v="2000"/>
    <x v="0"/>
    <x v="49"/>
    <n v="2018"/>
    <x v="19"/>
    <n v="2022"/>
    <n v="5"/>
    <x v="4"/>
    <x v="1"/>
    <x v="0"/>
    <n v="51"/>
    <x v="1"/>
    <x v="1"/>
    <x v="10"/>
  </r>
  <r>
    <n v="2001"/>
    <x v="0"/>
    <x v="0"/>
    <n v="2018"/>
    <x v="0"/>
    <s v=" "/>
    <s v=" "/>
    <x v="0"/>
    <x v="0"/>
    <x v="1"/>
    <n v="27"/>
    <x v="0"/>
    <x v="1"/>
    <x v="2"/>
  </r>
  <r>
    <n v="2002"/>
    <x v="1"/>
    <x v="1"/>
    <n v="2020"/>
    <x v="0"/>
    <s v=" "/>
    <s v=" "/>
    <x v="0"/>
    <x v="0"/>
    <x v="1"/>
    <n v="22"/>
    <x v="0"/>
    <x v="2"/>
    <x v="4"/>
  </r>
  <r>
    <n v="2003"/>
    <x v="1"/>
    <x v="2"/>
    <n v="2021"/>
    <x v="0"/>
    <s v=" "/>
    <s v=" "/>
    <x v="0"/>
    <x v="0"/>
    <x v="0"/>
    <n v="50"/>
    <x v="1"/>
    <x v="3"/>
    <x v="9"/>
  </r>
  <r>
    <n v="2004"/>
    <x v="1"/>
    <x v="3"/>
    <n v="2023"/>
    <x v="0"/>
    <s v=" "/>
    <s v=" "/>
    <x v="0"/>
    <x v="0"/>
    <x v="0"/>
    <n v="24"/>
    <x v="0"/>
    <x v="0"/>
    <x v="1"/>
  </r>
  <r>
    <n v="2005"/>
    <x v="1"/>
    <x v="4"/>
    <n v="2019"/>
    <x v="1"/>
    <n v="2021"/>
    <n v="3"/>
    <x v="1"/>
    <x v="1"/>
    <x v="0"/>
    <n v="50"/>
    <x v="1"/>
    <x v="6"/>
    <x v="2"/>
  </r>
  <r>
    <n v="2006"/>
    <x v="2"/>
    <x v="5"/>
    <n v="2022"/>
    <x v="2"/>
    <n v="2023"/>
    <n v="2"/>
    <x v="7"/>
    <x v="1"/>
    <x v="0"/>
    <n v="28"/>
    <x v="0"/>
    <x v="0"/>
    <x v="3"/>
  </r>
  <r>
    <n v="2007"/>
    <x v="3"/>
    <x v="6"/>
    <n v="2024"/>
    <x v="0"/>
    <s v=" "/>
    <s v=" "/>
    <x v="0"/>
    <x v="0"/>
    <x v="1"/>
    <n v="40"/>
    <x v="3"/>
    <x v="0"/>
    <x v="4"/>
  </r>
  <r>
    <n v="2008"/>
    <x v="0"/>
    <x v="7"/>
    <n v="2018"/>
    <x v="0"/>
    <s v=" "/>
    <s v=" "/>
    <x v="0"/>
    <x v="0"/>
    <x v="1"/>
    <n v="32"/>
    <x v="4"/>
    <x v="1"/>
    <x v="9"/>
  </r>
  <r>
    <n v="2009"/>
    <x v="1"/>
    <x v="8"/>
    <n v="2023"/>
    <x v="0"/>
    <s v=" "/>
    <s v=" "/>
    <x v="0"/>
    <x v="0"/>
    <x v="1"/>
    <n v="50"/>
    <x v="1"/>
    <x v="0"/>
    <x v="0"/>
  </r>
  <r>
    <n v="2010"/>
    <x v="4"/>
    <x v="9"/>
    <n v="2024"/>
    <x v="0"/>
    <s v=" "/>
    <s v=" "/>
    <x v="0"/>
    <x v="0"/>
    <x v="0"/>
    <n v="24"/>
    <x v="0"/>
    <x v="2"/>
    <x v="2"/>
  </r>
  <r>
    <n v="2011"/>
    <x v="5"/>
    <x v="10"/>
    <n v="2024"/>
    <x v="0"/>
    <s v=" "/>
    <s v=" "/>
    <x v="0"/>
    <x v="0"/>
    <x v="1"/>
    <n v="36"/>
    <x v="4"/>
    <x v="5"/>
    <x v="3"/>
  </r>
  <r>
    <n v="2012"/>
    <x v="3"/>
    <x v="11"/>
    <n v="2021"/>
    <x v="3"/>
    <n v="2024"/>
    <n v="4"/>
    <x v="7"/>
    <x v="1"/>
    <x v="1"/>
    <n v="49"/>
    <x v="3"/>
    <x v="0"/>
    <x v="10"/>
  </r>
  <r>
    <n v="2013"/>
    <x v="0"/>
    <x v="12"/>
    <n v="2018"/>
    <x v="4"/>
    <n v="2020"/>
    <n v="3"/>
    <x v="7"/>
    <x v="1"/>
    <x v="0"/>
    <n v="43"/>
    <x v="3"/>
    <x v="1"/>
    <x v="4"/>
  </r>
  <r>
    <n v="2014"/>
    <x v="1"/>
    <x v="13"/>
    <n v="2024"/>
    <x v="0"/>
    <s v=" "/>
    <s v=" "/>
    <x v="0"/>
    <x v="0"/>
    <x v="1"/>
    <n v="40"/>
    <x v="3"/>
    <x v="1"/>
    <x v="9"/>
  </r>
  <r>
    <n v="2015"/>
    <x v="1"/>
    <x v="14"/>
    <n v="2018"/>
    <x v="0"/>
    <s v=" "/>
    <s v=" "/>
    <x v="0"/>
    <x v="0"/>
    <x v="1"/>
    <n v="42"/>
    <x v="3"/>
    <x v="2"/>
    <x v="2"/>
  </r>
  <r>
    <n v="2016"/>
    <x v="0"/>
    <x v="15"/>
    <n v="2019"/>
    <x v="5"/>
    <n v="2022"/>
    <n v="4"/>
    <x v="4"/>
    <x v="1"/>
    <x v="1"/>
    <n v="35"/>
    <x v="4"/>
    <x v="3"/>
    <x v="3"/>
  </r>
  <r>
    <n v="2017"/>
    <x v="3"/>
    <x v="16"/>
    <n v="2019"/>
    <x v="6"/>
    <n v="2020"/>
    <n v="2"/>
    <x v="3"/>
    <x v="1"/>
    <x v="0"/>
    <n v="31"/>
    <x v="4"/>
    <x v="0"/>
    <x v="4"/>
  </r>
  <r>
    <n v="2018"/>
    <x v="5"/>
    <x v="17"/>
    <n v="2022"/>
    <x v="0"/>
    <s v=" "/>
    <s v=" "/>
    <x v="0"/>
    <x v="0"/>
    <x v="0"/>
    <n v="51"/>
    <x v="1"/>
    <x v="6"/>
    <x v="5"/>
  </r>
  <r>
    <n v="2019"/>
    <x v="0"/>
    <x v="18"/>
    <n v="2024"/>
    <x v="0"/>
    <s v=" "/>
    <s v=" "/>
    <x v="0"/>
    <x v="0"/>
    <x v="1"/>
    <n v="48"/>
    <x v="3"/>
    <x v="0"/>
    <x v="6"/>
  </r>
  <r>
    <n v="2020"/>
    <x v="3"/>
    <x v="19"/>
    <n v="2019"/>
    <x v="7"/>
    <n v="2022"/>
    <n v="4"/>
    <x v="5"/>
    <x v="1"/>
    <x v="1"/>
    <n v="41"/>
    <x v="3"/>
    <x v="0"/>
    <x v="7"/>
  </r>
  <r>
    <n v="2021"/>
    <x v="5"/>
    <x v="20"/>
    <n v="2021"/>
    <x v="8"/>
    <n v="2024"/>
    <n v="4"/>
    <x v="7"/>
    <x v="1"/>
    <x v="0"/>
    <n v="35"/>
    <x v="4"/>
    <x v="1"/>
    <x v="8"/>
  </r>
  <r>
    <n v="2022"/>
    <x v="2"/>
    <x v="21"/>
    <n v="2023"/>
    <x v="9"/>
    <n v="2024"/>
    <n v="2"/>
    <x v="4"/>
    <x v="1"/>
    <x v="1"/>
    <n v="24"/>
    <x v="0"/>
    <x v="0"/>
    <x v="9"/>
  </r>
  <r>
    <n v="2023"/>
    <x v="1"/>
    <x v="22"/>
    <n v="2023"/>
    <x v="0"/>
    <s v=" "/>
    <s v=" "/>
    <x v="0"/>
    <x v="0"/>
    <x v="1"/>
    <n v="41"/>
    <x v="3"/>
    <x v="2"/>
    <x v="10"/>
  </r>
  <r>
    <n v="2024"/>
    <x v="2"/>
    <x v="23"/>
    <n v="2024"/>
    <x v="0"/>
    <s v=" "/>
    <s v=" "/>
    <x v="0"/>
    <x v="0"/>
    <x v="1"/>
    <n v="40"/>
    <x v="3"/>
    <x v="5"/>
    <x v="2"/>
  </r>
  <r>
    <n v="2025"/>
    <x v="0"/>
    <x v="24"/>
    <n v="2019"/>
    <x v="0"/>
    <s v=" "/>
    <s v=" "/>
    <x v="0"/>
    <x v="0"/>
    <x v="0"/>
    <n v="48"/>
    <x v="3"/>
    <x v="0"/>
    <x v="4"/>
  </r>
  <r>
    <n v="2026"/>
    <x v="1"/>
    <x v="25"/>
    <n v="2022"/>
    <x v="0"/>
    <s v=" "/>
    <s v=" "/>
    <x v="0"/>
    <x v="0"/>
    <x v="0"/>
    <n v="52"/>
    <x v="1"/>
    <x v="1"/>
    <x v="9"/>
  </r>
  <r>
    <n v="2027"/>
    <x v="4"/>
    <x v="26"/>
    <n v="2020"/>
    <x v="10"/>
    <n v="2021"/>
    <n v="2"/>
    <x v="6"/>
    <x v="1"/>
    <x v="1"/>
    <n v="33"/>
    <x v="4"/>
    <x v="1"/>
    <x v="1"/>
  </r>
  <r>
    <n v="2028"/>
    <x v="2"/>
    <x v="27"/>
    <n v="2023"/>
    <x v="0"/>
    <s v=" "/>
    <s v=" "/>
    <x v="0"/>
    <x v="0"/>
    <x v="1"/>
    <n v="51"/>
    <x v="1"/>
    <x v="2"/>
    <x v="2"/>
  </r>
  <r>
    <n v="2029"/>
    <x v="0"/>
    <x v="28"/>
    <n v="2021"/>
    <x v="11"/>
    <n v="2022"/>
    <n v="2"/>
    <x v="7"/>
    <x v="1"/>
    <x v="1"/>
    <n v="46"/>
    <x v="3"/>
    <x v="3"/>
    <x v="3"/>
  </r>
  <r>
    <n v="2030"/>
    <x v="2"/>
    <x v="29"/>
    <n v="2018"/>
    <x v="12"/>
    <n v="2021"/>
    <n v="4"/>
    <x v="1"/>
    <x v="1"/>
    <x v="0"/>
    <n v="53"/>
    <x v="1"/>
    <x v="0"/>
    <x v="4"/>
  </r>
  <r>
    <n v="2031"/>
    <x v="5"/>
    <x v="30"/>
    <n v="2021"/>
    <x v="0"/>
    <s v=" "/>
    <s v=" "/>
    <x v="0"/>
    <x v="0"/>
    <x v="0"/>
    <n v="35"/>
    <x v="4"/>
    <x v="4"/>
    <x v="9"/>
  </r>
  <r>
    <n v="2032"/>
    <x v="0"/>
    <x v="31"/>
    <n v="2024"/>
    <x v="0"/>
    <s v=" "/>
    <s v=" "/>
    <x v="0"/>
    <x v="0"/>
    <x v="0"/>
    <n v="32"/>
    <x v="4"/>
    <x v="0"/>
    <x v="0"/>
  </r>
  <r>
    <n v="2033"/>
    <x v="5"/>
    <x v="32"/>
    <n v="2021"/>
    <x v="0"/>
    <s v=" "/>
    <s v=" "/>
    <x v="0"/>
    <x v="0"/>
    <x v="1"/>
    <n v="46"/>
    <x v="3"/>
    <x v="0"/>
    <x v="2"/>
  </r>
  <r>
    <n v="2034"/>
    <x v="0"/>
    <x v="33"/>
    <n v="2020"/>
    <x v="0"/>
    <s v=" "/>
    <s v=" "/>
    <x v="0"/>
    <x v="0"/>
    <x v="1"/>
    <n v="50"/>
    <x v="1"/>
    <x v="1"/>
    <x v="3"/>
  </r>
  <r>
    <n v="2035"/>
    <x v="2"/>
    <x v="34"/>
    <n v="2018"/>
    <x v="13"/>
    <n v="2022"/>
    <n v="5"/>
    <x v="2"/>
    <x v="1"/>
    <x v="0"/>
    <n v="64"/>
    <x v="2"/>
    <x v="0"/>
    <x v="10"/>
  </r>
  <r>
    <n v="2036"/>
    <x v="2"/>
    <x v="35"/>
    <n v="2018"/>
    <x v="0"/>
    <s v=" "/>
    <s v=" "/>
    <x v="0"/>
    <x v="0"/>
    <x v="0"/>
    <n v="29"/>
    <x v="0"/>
    <x v="2"/>
    <x v="4"/>
  </r>
  <r>
    <n v="2037"/>
    <x v="2"/>
    <x v="36"/>
    <n v="2021"/>
    <x v="14"/>
    <n v="2024"/>
    <n v="4"/>
    <x v="1"/>
    <x v="1"/>
    <x v="0"/>
    <n v="27"/>
    <x v="0"/>
    <x v="7"/>
    <x v="9"/>
  </r>
  <r>
    <n v="2038"/>
    <x v="4"/>
    <x v="37"/>
    <n v="2021"/>
    <x v="15"/>
    <n v="2023"/>
    <n v="3"/>
    <x v="4"/>
    <x v="1"/>
    <x v="0"/>
    <n v="31"/>
    <x v="4"/>
    <x v="0"/>
    <x v="0"/>
  </r>
  <r>
    <n v="2039"/>
    <x v="0"/>
    <x v="38"/>
    <n v="2019"/>
    <x v="16"/>
    <n v="2022"/>
    <n v="4"/>
    <x v="3"/>
    <x v="1"/>
    <x v="0"/>
    <n v="24"/>
    <x v="0"/>
    <x v="1"/>
    <x v="1"/>
  </r>
  <r>
    <n v="2040"/>
    <x v="5"/>
    <x v="39"/>
    <n v="2020"/>
    <x v="0"/>
    <s v=" "/>
    <s v=" "/>
    <x v="0"/>
    <x v="0"/>
    <x v="0"/>
    <n v="37"/>
    <x v="4"/>
    <x v="1"/>
    <x v="2"/>
  </r>
  <r>
    <n v="2041"/>
    <x v="4"/>
    <x v="40"/>
    <n v="2020"/>
    <x v="0"/>
    <s v=" "/>
    <s v=" "/>
    <x v="0"/>
    <x v="0"/>
    <x v="1"/>
    <n v="23"/>
    <x v="0"/>
    <x v="2"/>
    <x v="3"/>
  </r>
  <r>
    <n v="2042"/>
    <x v="4"/>
    <x v="41"/>
    <n v="2024"/>
    <x v="0"/>
    <s v=" "/>
    <s v=" "/>
    <x v="0"/>
    <x v="0"/>
    <x v="0"/>
    <n v="31"/>
    <x v="4"/>
    <x v="3"/>
    <x v="4"/>
  </r>
  <r>
    <n v="2043"/>
    <x v="5"/>
    <x v="42"/>
    <n v="2024"/>
    <x v="0"/>
    <s v=" "/>
    <s v=" "/>
    <x v="0"/>
    <x v="0"/>
    <x v="1"/>
    <n v="52"/>
    <x v="1"/>
    <x v="0"/>
    <x v="5"/>
  </r>
  <r>
    <n v="2044"/>
    <x v="2"/>
    <x v="43"/>
    <n v="2022"/>
    <x v="0"/>
    <s v=" "/>
    <s v=" "/>
    <x v="0"/>
    <x v="0"/>
    <x v="1"/>
    <n v="25"/>
    <x v="0"/>
    <x v="4"/>
    <x v="6"/>
  </r>
  <r>
    <n v="2045"/>
    <x v="1"/>
    <x v="44"/>
    <n v="2023"/>
    <x v="0"/>
    <s v=" "/>
    <s v=" "/>
    <x v="0"/>
    <x v="0"/>
    <x v="0"/>
    <n v="46"/>
    <x v="3"/>
    <x v="0"/>
    <x v="7"/>
  </r>
  <r>
    <n v="2046"/>
    <x v="1"/>
    <x v="45"/>
    <n v="2019"/>
    <x v="17"/>
    <n v="2021"/>
    <n v="3"/>
    <x v="5"/>
    <x v="1"/>
    <x v="1"/>
    <n v="24"/>
    <x v="0"/>
    <x v="0"/>
    <x v="8"/>
  </r>
  <r>
    <n v="2047"/>
    <x v="1"/>
    <x v="46"/>
    <n v="2021"/>
    <x v="18"/>
    <n v="2024"/>
    <n v="4"/>
    <x v="5"/>
    <x v="1"/>
    <x v="0"/>
    <n v="38"/>
    <x v="4"/>
    <x v="1"/>
    <x v="9"/>
  </r>
  <r>
    <n v="2048"/>
    <x v="3"/>
    <x v="47"/>
    <n v="2019"/>
    <x v="0"/>
    <s v=" "/>
    <s v=" "/>
    <x v="0"/>
    <x v="0"/>
    <x v="0"/>
    <n v="49"/>
    <x v="3"/>
    <x v="0"/>
    <x v="10"/>
  </r>
  <r>
    <n v="2049"/>
    <x v="4"/>
    <x v="48"/>
    <n v="2024"/>
    <x v="0"/>
    <s v=" "/>
    <s v=" "/>
    <x v="0"/>
    <x v="0"/>
    <x v="1"/>
    <n v="31"/>
    <x v="4"/>
    <x v="2"/>
    <x v="2"/>
  </r>
  <r>
    <n v="2050"/>
    <x v="0"/>
    <x v="49"/>
    <n v="2018"/>
    <x v="19"/>
    <n v="2022"/>
    <n v="5"/>
    <x v="4"/>
    <x v="1"/>
    <x v="0"/>
    <n v="51"/>
    <x v="1"/>
    <x v="5"/>
    <x v="4"/>
  </r>
  <r>
    <n v="2051"/>
    <x v="0"/>
    <x v="0"/>
    <n v="2018"/>
    <x v="0"/>
    <s v=" "/>
    <s v=" "/>
    <x v="0"/>
    <x v="0"/>
    <x v="1"/>
    <n v="27"/>
    <x v="0"/>
    <x v="0"/>
    <x v="9"/>
  </r>
  <r>
    <n v="2052"/>
    <x v="1"/>
    <x v="1"/>
    <n v="2020"/>
    <x v="0"/>
    <s v=" "/>
    <s v=" "/>
    <x v="0"/>
    <x v="0"/>
    <x v="1"/>
    <n v="22"/>
    <x v="0"/>
    <x v="1"/>
    <x v="1"/>
  </r>
  <r>
    <n v="2053"/>
    <x v="1"/>
    <x v="2"/>
    <n v="2021"/>
    <x v="0"/>
    <s v=" "/>
    <s v=" "/>
    <x v="0"/>
    <x v="0"/>
    <x v="0"/>
    <n v="50"/>
    <x v="1"/>
    <x v="1"/>
    <x v="2"/>
  </r>
  <r>
    <n v="2054"/>
    <x v="1"/>
    <x v="3"/>
    <n v="2023"/>
    <x v="0"/>
    <s v=" "/>
    <s v=" "/>
    <x v="0"/>
    <x v="0"/>
    <x v="0"/>
    <n v="24"/>
    <x v="0"/>
    <x v="2"/>
    <x v="3"/>
  </r>
  <r>
    <n v="2055"/>
    <x v="1"/>
    <x v="4"/>
    <n v="2019"/>
    <x v="1"/>
    <n v="2021"/>
    <n v="3"/>
    <x v="1"/>
    <x v="1"/>
    <x v="0"/>
    <n v="50"/>
    <x v="1"/>
    <x v="3"/>
    <x v="4"/>
  </r>
  <r>
    <n v="2056"/>
    <x v="2"/>
    <x v="5"/>
    <n v="2022"/>
    <x v="2"/>
    <n v="2023"/>
    <n v="2"/>
    <x v="7"/>
    <x v="1"/>
    <x v="0"/>
    <n v="28"/>
    <x v="0"/>
    <x v="0"/>
    <x v="9"/>
  </r>
  <r>
    <n v="2057"/>
    <x v="3"/>
    <x v="6"/>
    <n v="2024"/>
    <x v="0"/>
    <s v=" "/>
    <s v=" "/>
    <x v="0"/>
    <x v="0"/>
    <x v="0"/>
    <n v="40"/>
    <x v="3"/>
    <x v="4"/>
    <x v="0"/>
  </r>
  <r>
    <n v="2058"/>
    <x v="0"/>
    <x v="7"/>
    <n v="2018"/>
    <x v="0"/>
    <s v=" "/>
    <s v=" "/>
    <x v="0"/>
    <x v="0"/>
    <x v="1"/>
    <n v="32"/>
    <x v="4"/>
    <x v="0"/>
    <x v="2"/>
  </r>
  <r>
    <n v="2059"/>
    <x v="1"/>
    <x v="8"/>
    <n v="2023"/>
    <x v="0"/>
    <s v=" "/>
    <s v=" "/>
    <x v="0"/>
    <x v="0"/>
    <x v="1"/>
    <n v="50"/>
    <x v="1"/>
    <x v="0"/>
    <x v="3"/>
  </r>
  <r>
    <n v="2060"/>
    <x v="4"/>
    <x v="9"/>
    <n v="2024"/>
    <x v="0"/>
    <s v=" "/>
    <s v=" "/>
    <x v="0"/>
    <x v="0"/>
    <x v="1"/>
    <n v="24"/>
    <x v="0"/>
    <x v="1"/>
    <x v="10"/>
  </r>
  <r>
    <n v="2061"/>
    <x v="5"/>
    <x v="10"/>
    <n v="2024"/>
    <x v="0"/>
    <s v=" "/>
    <s v=" "/>
    <x v="0"/>
    <x v="0"/>
    <x v="1"/>
    <n v="36"/>
    <x v="4"/>
    <x v="0"/>
    <x v="4"/>
  </r>
  <r>
    <n v="2062"/>
    <x v="3"/>
    <x v="11"/>
    <n v="2021"/>
    <x v="3"/>
    <n v="2024"/>
    <n v="4"/>
    <x v="7"/>
    <x v="1"/>
    <x v="1"/>
    <n v="49"/>
    <x v="3"/>
    <x v="2"/>
    <x v="9"/>
  </r>
  <r>
    <n v="2063"/>
    <x v="0"/>
    <x v="12"/>
    <n v="2018"/>
    <x v="4"/>
    <n v="2020"/>
    <n v="3"/>
    <x v="3"/>
    <x v="1"/>
    <x v="0"/>
    <n v="43"/>
    <x v="3"/>
    <x v="5"/>
    <x v="2"/>
  </r>
  <r>
    <n v="2064"/>
    <x v="1"/>
    <x v="13"/>
    <n v="2024"/>
    <x v="0"/>
    <s v=" "/>
    <s v=" "/>
    <x v="0"/>
    <x v="0"/>
    <x v="1"/>
    <n v="40"/>
    <x v="3"/>
    <x v="0"/>
    <x v="3"/>
  </r>
  <r>
    <n v="2065"/>
    <x v="1"/>
    <x v="14"/>
    <n v="2018"/>
    <x v="0"/>
    <s v=" "/>
    <s v=" "/>
    <x v="0"/>
    <x v="0"/>
    <x v="1"/>
    <n v="42"/>
    <x v="3"/>
    <x v="1"/>
    <x v="4"/>
  </r>
  <r>
    <n v="2066"/>
    <x v="0"/>
    <x v="15"/>
    <n v="2019"/>
    <x v="5"/>
    <n v="2022"/>
    <n v="4"/>
    <x v="4"/>
    <x v="1"/>
    <x v="1"/>
    <n v="35"/>
    <x v="4"/>
    <x v="1"/>
    <x v="5"/>
  </r>
  <r>
    <n v="2067"/>
    <x v="3"/>
    <x v="16"/>
    <n v="2019"/>
    <x v="6"/>
    <n v="2020"/>
    <n v="2"/>
    <x v="7"/>
    <x v="1"/>
    <x v="0"/>
    <n v="31"/>
    <x v="4"/>
    <x v="2"/>
    <x v="6"/>
  </r>
  <r>
    <n v="2068"/>
    <x v="5"/>
    <x v="17"/>
    <n v="2022"/>
    <x v="0"/>
    <s v=" "/>
    <s v=" "/>
    <x v="0"/>
    <x v="0"/>
    <x v="0"/>
    <n v="51"/>
    <x v="1"/>
    <x v="3"/>
    <x v="7"/>
  </r>
  <r>
    <n v="2069"/>
    <x v="0"/>
    <x v="18"/>
    <n v="2024"/>
    <x v="0"/>
    <s v=" "/>
    <s v=" "/>
    <x v="0"/>
    <x v="0"/>
    <x v="1"/>
    <n v="48"/>
    <x v="3"/>
    <x v="0"/>
    <x v="8"/>
  </r>
  <r>
    <n v="2070"/>
    <x v="3"/>
    <x v="19"/>
    <n v="2019"/>
    <x v="7"/>
    <n v="2022"/>
    <n v="4"/>
    <x v="5"/>
    <x v="1"/>
    <x v="0"/>
    <n v="41"/>
    <x v="3"/>
    <x v="6"/>
    <x v="9"/>
  </r>
  <r>
    <n v="2071"/>
    <x v="5"/>
    <x v="20"/>
    <n v="2021"/>
    <x v="8"/>
    <n v="2024"/>
    <n v="4"/>
    <x v="7"/>
    <x v="1"/>
    <x v="0"/>
    <n v="35"/>
    <x v="4"/>
    <x v="0"/>
    <x v="10"/>
  </r>
  <r>
    <n v="2072"/>
    <x v="2"/>
    <x v="21"/>
    <n v="2023"/>
    <x v="9"/>
    <n v="2024"/>
    <n v="2"/>
    <x v="4"/>
    <x v="1"/>
    <x v="1"/>
    <n v="24"/>
    <x v="0"/>
    <x v="0"/>
    <x v="2"/>
  </r>
  <r>
    <n v="2073"/>
    <x v="1"/>
    <x v="22"/>
    <n v="2023"/>
    <x v="0"/>
    <s v=" "/>
    <s v=" "/>
    <x v="0"/>
    <x v="0"/>
    <x v="0"/>
    <n v="41"/>
    <x v="3"/>
    <x v="1"/>
    <x v="4"/>
  </r>
  <r>
    <n v="2074"/>
    <x v="2"/>
    <x v="23"/>
    <n v="2024"/>
    <x v="0"/>
    <s v=" "/>
    <s v=" "/>
    <x v="0"/>
    <x v="0"/>
    <x v="0"/>
    <n v="40"/>
    <x v="3"/>
    <x v="0"/>
    <x v="9"/>
  </r>
  <r>
    <n v="2075"/>
    <x v="0"/>
    <x v="24"/>
    <n v="2019"/>
    <x v="0"/>
    <s v=" "/>
    <s v=" "/>
    <x v="0"/>
    <x v="0"/>
    <x v="0"/>
    <n v="48"/>
    <x v="3"/>
    <x v="2"/>
    <x v="1"/>
  </r>
  <r>
    <n v="2076"/>
    <x v="1"/>
    <x v="25"/>
    <n v="2022"/>
    <x v="0"/>
    <s v=" "/>
    <s v=" "/>
    <x v="0"/>
    <x v="0"/>
    <x v="1"/>
    <n v="52"/>
    <x v="1"/>
    <x v="5"/>
    <x v="2"/>
  </r>
  <r>
    <n v="2077"/>
    <x v="4"/>
    <x v="26"/>
    <n v="2020"/>
    <x v="10"/>
    <n v="2021"/>
    <n v="2"/>
    <x v="7"/>
    <x v="1"/>
    <x v="0"/>
    <n v="33"/>
    <x v="4"/>
    <x v="0"/>
    <x v="3"/>
  </r>
  <r>
    <n v="2078"/>
    <x v="2"/>
    <x v="27"/>
    <n v="2023"/>
    <x v="0"/>
    <s v=" "/>
    <s v=" "/>
    <x v="0"/>
    <x v="0"/>
    <x v="1"/>
    <n v="51"/>
    <x v="1"/>
    <x v="1"/>
    <x v="4"/>
  </r>
  <r>
    <n v="2079"/>
    <x v="0"/>
    <x v="28"/>
    <n v="2021"/>
    <x v="11"/>
    <n v="2022"/>
    <n v="2"/>
    <x v="3"/>
    <x v="1"/>
    <x v="1"/>
    <n v="46"/>
    <x v="3"/>
    <x v="1"/>
    <x v="9"/>
  </r>
  <r>
    <n v="2080"/>
    <x v="2"/>
    <x v="29"/>
    <n v="2018"/>
    <x v="12"/>
    <n v="2021"/>
    <n v="4"/>
    <x v="1"/>
    <x v="1"/>
    <x v="1"/>
    <n v="53"/>
    <x v="1"/>
    <x v="2"/>
    <x v="0"/>
  </r>
  <r>
    <n v="2081"/>
    <x v="5"/>
    <x v="30"/>
    <n v="2021"/>
    <x v="0"/>
    <s v=" "/>
    <s v=" "/>
    <x v="0"/>
    <x v="0"/>
    <x v="0"/>
    <n v="35"/>
    <x v="4"/>
    <x v="3"/>
    <x v="2"/>
  </r>
  <r>
    <n v="2082"/>
    <x v="0"/>
    <x v="31"/>
    <n v="2024"/>
    <x v="0"/>
    <s v=" "/>
    <s v=" "/>
    <x v="0"/>
    <x v="0"/>
    <x v="0"/>
    <n v="32"/>
    <x v="4"/>
    <x v="0"/>
    <x v="3"/>
  </r>
  <r>
    <n v="2083"/>
    <x v="5"/>
    <x v="32"/>
    <n v="2021"/>
    <x v="0"/>
    <s v=" "/>
    <s v=" "/>
    <x v="0"/>
    <x v="0"/>
    <x v="1"/>
    <n v="46"/>
    <x v="3"/>
    <x v="6"/>
    <x v="10"/>
  </r>
  <r>
    <n v="2084"/>
    <x v="0"/>
    <x v="33"/>
    <n v="2020"/>
    <x v="0"/>
    <s v=" "/>
    <s v=" "/>
    <x v="0"/>
    <x v="0"/>
    <x v="1"/>
    <n v="50"/>
    <x v="1"/>
    <x v="0"/>
    <x v="4"/>
  </r>
  <r>
    <n v="2085"/>
    <x v="2"/>
    <x v="34"/>
    <n v="2018"/>
    <x v="13"/>
    <n v="2022"/>
    <n v="5"/>
    <x v="2"/>
    <x v="1"/>
    <x v="0"/>
    <n v="63"/>
    <x v="2"/>
    <x v="0"/>
    <x v="9"/>
  </r>
  <r>
    <n v="2086"/>
    <x v="2"/>
    <x v="35"/>
    <n v="2018"/>
    <x v="0"/>
    <s v=" "/>
    <s v=" "/>
    <x v="0"/>
    <x v="0"/>
    <x v="0"/>
    <n v="29"/>
    <x v="0"/>
    <x v="1"/>
    <x v="0"/>
  </r>
  <r>
    <n v="2087"/>
    <x v="2"/>
    <x v="36"/>
    <n v="2021"/>
    <x v="14"/>
    <n v="2024"/>
    <n v="4"/>
    <x v="1"/>
    <x v="1"/>
    <x v="0"/>
    <n v="27"/>
    <x v="0"/>
    <x v="0"/>
    <x v="1"/>
  </r>
  <r>
    <n v="2088"/>
    <x v="4"/>
    <x v="37"/>
    <n v="2021"/>
    <x v="15"/>
    <n v="2023"/>
    <n v="3"/>
    <x v="4"/>
    <x v="1"/>
    <x v="0"/>
    <n v="31"/>
    <x v="4"/>
    <x v="2"/>
    <x v="2"/>
  </r>
  <r>
    <n v="2089"/>
    <x v="0"/>
    <x v="38"/>
    <n v="2019"/>
    <x v="16"/>
    <n v="2022"/>
    <n v="4"/>
    <x v="3"/>
    <x v="1"/>
    <x v="1"/>
    <n v="24"/>
    <x v="0"/>
    <x v="7"/>
    <x v="3"/>
  </r>
  <r>
    <n v="2090"/>
    <x v="5"/>
    <x v="39"/>
    <n v="2020"/>
    <x v="0"/>
    <s v=" "/>
    <s v=" "/>
    <x v="0"/>
    <x v="0"/>
    <x v="0"/>
    <n v="37"/>
    <x v="4"/>
    <x v="0"/>
    <x v="4"/>
  </r>
  <r>
    <n v="2091"/>
    <x v="4"/>
    <x v="40"/>
    <n v="2020"/>
    <x v="0"/>
    <s v=" "/>
    <s v=" "/>
    <x v="0"/>
    <x v="0"/>
    <x v="1"/>
    <n v="23"/>
    <x v="0"/>
    <x v="1"/>
    <x v="5"/>
  </r>
  <r>
    <n v="2092"/>
    <x v="4"/>
    <x v="41"/>
    <n v="2024"/>
    <x v="0"/>
    <s v=" "/>
    <s v=" "/>
    <x v="0"/>
    <x v="0"/>
    <x v="1"/>
    <n v="31"/>
    <x v="4"/>
    <x v="1"/>
    <x v="6"/>
  </r>
  <r>
    <n v="2093"/>
    <x v="5"/>
    <x v="42"/>
    <n v="2024"/>
    <x v="0"/>
    <s v=" "/>
    <s v=" "/>
    <x v="0"/>
    <x v="0"/>
    <x v="0"/>
    <n v="52"/>
    <x v="1"/>
    <x v="2"/>
    <x v="7"/>
  </r>
  <r>
    <n v="2094"/>
    <x v="2"/>
    <x v="43"/>
    <n v="2022"/>
    <x v="0"/>
    <s v=" "/>
    <s v=" "/>
    <x v="0"/>
    <x v="0"/>
    <x v="0"/>
    <n v="25"/>
    <x v="0"/>
    <x v="3"/>
    <x v="8"/>
  </r>
  <r>
    <n v="2095"/>
    <x v="1"/>
    <x v="44"/>
    <n v="2023"/>
    <x v="0"/>
    <s v=" "/>
    <s v=" "/>
    <x v="0"/>
    <x v="0"/>
    <x v="0"/>
    <n v="46"/>
    <x v="3"/>
    <x v="0"/>
    <x v="9"/>
  </r>
  <r>
    <n v="2096"/>
    <x v="1"/>
    <x v="45"/>
    <n v="2019"/>
    <x v="17"/>
    <n v="2021"/>
    <n v="3"/>
    <x v="5"/>
    <x v="1"/>
    <x v="1"/>
    <n v="24"/>
    <x v="0"/>
    <x v="7"/>
    <x v="10"/>
  </r>
  <r>
    <n v="2097"/>
    <x v="1"/>
    <x v="46"/>
    <n v="2021"/>
    <x v="18"/>
    <n v="2024"/>
    <n v="4"/>
    <x v="5"/>
    <x v="1"/>
    <x v="0"/>
    <n v="38"/>
    <x v="4"/>
    <x v="0"/>
    <x v="2"/>
  </r>
  <r>
    <n v="2098"/>
    <x v="3"/>
    <x v="47"/>
    <n v="2019"/>
    <x v="0"/>
    <s v=" "/>
    <s v=" "/>
    <x v="0"/>
    <x v="0"/>
    <x v="1"/>
    <n v="49"/>
    <x v="3"/>
    <x v="0"/>
    <x v="4"/>
  </r>
  <r>
    <n v="2099"/>
    <x v="4"/>
    <x v="48"/>
    <n v="2024"/>
    <x v="0"/>
    <s v=" "/>
    <s v=" "/>
    <x v="0"/>
    <x v="0"/>
    <x v="0"/>
    <n v="31"/>
    <x v="4"/>
    <x v="1"/>
    <x v="9"/>
  </r>
  <r>
    <n v="2100"/>
    <x v="0"/>
    <x v="49"/>
    <n v="2018"/>
    <x v="19"/>
    <n v="2022"/>
    <n v="5"/>
    <x v="4"/>
    <x v="1"/>
    <x v="0"/>
    <n v="51"/>
    <x v="1"/>
    <x v="0"/>
    <x v="1"/>
  </r>
  <r>
    <n v="2101"/>
    <x v="0"/>
    <x v="0"/>
    <n v="2018"/>
    <x v="0"/>
    <s v=" "/>
    <s v=" "/>
    <x v="0"/>
    <x v="0"/>
    <x v="1"/>
    <n v="27"/>
    <x v="0"/>
    <x v="2"/>
    <x v="2"/>
  </r>
  <r>
    <n v="2102"/>
    <x v="1"/>
    <x v="1"/>
    <n v="2020"/>
    <x v="0"/>
    <s v=" "/>
    <s v=" "/>
    <x v="0"/>
    <x v="0"/>
    <x v="1"/>
    <n v="22"/>
    <x v="0"/>
    <x v="7"/>
    <x v="3"/>
  </r>
  <r>
    <n v="2103"/>
    <x v="1"/>
    <x v="2"/>
    <n v="2021"/>
    <x v="0"/>
    <s v=" "/>
    <s v=" "/>
    <x v="0"/>
    <x v="0"/>
    <x v="0"/>
    <n v="50"/>
    <x v="1"/>
    <x v="0"/>
    <x v="4"/>
  </r>
  <r>
    <n v="2104"/>
    <x v="1"/>
    <x v="3"/>
    <n v="2023"/>
    <x v="0"/>
    <s v=" "/>
    <s v=" "/>
    <x v="0"/>
    <x v="0"/>
    <x v="1"/>
    <n v="24"/>
    <x v="0"/>
    <x v="1"/>
    <x v="9"/>
  </r>
  <r>
    <n v="2105"/>
    <x v="1"/>
    <x v="4"/>
    <n v="2019"/>
    <x v="1"/>
    <n v="2021"/>
    <n v="3"/>
    <x v="1"/>
    <x v="1"/>
    <x v="0"/>
    <n v="50"/>
    <x v="1"/>
    <x v="1"/>
    <x v="0"/>
  </r>
  <r>
    <n v="2106"/>
    <x v="2"/>
    <x v="5"/>
    <n v="2022"/>
    <x v="2"/>
    <n v="2023"/>
    <n v="2"/>
    <x v="7"/>
    <x v="1"/>
    <x v="0"/>
    <n v="28"/>
    <x v="0"/>
    <x v="2"/>
    <x v="2"/>
  </r>
  <r>
    <n v="2107"/>
    <x v="3"/>
    <x v="6"/>
    <n v="2024"/>
    <x v="0"/>
    <s v=" "/>
    <s v=" "/>
    <x v="0"/>
    <x v="0"/>
    <x v="0"/>
    <n v="40"/>
    <x v="3"/>
    <x v="3"/>
    <x v="3"/>
  </r>
  <r>
    <n v="2108"/>
    <x v="0"/>
    <x v="7"/>
    <n v="2018"/>
    <x v="0"/>
    <s v=" "/>
    <s v=" "/>
    <x v="0"/>
    <x v="0"/>
    <x v="1"/>
    <n v="32"/>
    <x v="4"/>
    <x v="0"/>
    <x v="10"/>
  </r>
  <r>
    <n v="2109"/>
    <x v="1"/>
    <x v="8"/>
    <n v="2023"/>
    <x v="0"/>
    <s v=" "/>
    <s v=" "/>
    <x v="0"/>
    <x v="0"/>
    <x v="0"/>
    <n v="50"/>
    <x v="1"/>
    <x v="6"/>
    <x v="4"/>
  </r>
  <r>
    <n v="2110"/>
    <x v="4"/>
    <x v="9"/>
    <n v="2024"/>
    <x v="0"/>
    <s v=" "/>
    <s v=" "/>
    <x v="0"/>
    <x v="0"/>
    <x v="1"/>
    <n v="24"/>
    <x v="0"/>
    <x v="0"/>
    <x v="9"/>
  </r>
  <r>
    <n v="2111"/>
    <x v="5"/>
    <x v="10"/>
    <n v="2024"/>
    <x v="0"/>
    <s v=" "/>
    <s v=" "/>
    <x v="0"/>
    <x v="0"/>
    <x v="0"/>
    <n v="36"/>
    <x v="4"/>
    <x v="0"/>
    <x v="2"/>
  </r>
  <r>
    <n v="2112"/>
    <x v="3"/>
    <x v="11"/>
    <n v="2021"/>
    <x v="3"/>
    <n v="2024"/>
    <n v="4"/>
    <x v="7"/>
    <x v="1"/>
    <x v="1"/>
    <n v="49"/>
    <x v="3"/>
    <x v="1"/>
    <x v="3"/>
  </r>
  <r>
    <n v="2113"/>
    <x v="0"/>
    <x v="12"/>
    <n v="2018"/>
    <x v="4"/>
    <n v="2020"/>
    <n v="3"/>
    <x v="3"/>
    <x v="1"/>
    <x v="1"/>
    <n v="43"/>
    <x v="3"/>
    <x v="0"/>
    <x v="4"/>
  </r>
  <r>
    <n v="2114"/>
    <x v="1"/>
    <x v="13"/>
    <n v="2024"/>
    <x v="0"/>
    <s v=" "/>
    <s v=" "/>
    <x v="0"/>
    <x v="0"/>
    <x v="0"/>
    <n v="40"/>
    <x v="3"/>
    <x v="2"/>
    <x v="5"/>
  </r>
  <r>
    <n v="2115"/>
    <x v="1"/>
    <x v="14"/>
    <n v="2018"/>
    <x v="0"/>
    <s v=" "/>
    <s v=" "/>
    <x v="0"/>
    <x v="0"/>
    <x v="1"/>
    <n v="42"/>
    <x v="3"/>
    <x v="5"/>
    <x v="6"/>
  </r>
  <r>
    <n v="2116"/>
    <x v="0"/>
    <x v="15"/>
    <n v="2019"/>
    <x v="5"/>
    <n v="2022"/>
    <n v="4"/>
    <x v="4"/>
    <x v="1"/>
    <x v="1"/>
    <n v="35"/>
    <x v="4"/>
    <x v="0"/>
    <x v="7"/>
  </r>
  <r>
    <n v="2117"/>
    <x v="3"/>
    <x v="16"/>
    <n v="2019"/>
    <x v="6"/>
    <n v="2020"/>
    <n v="2"/>
    <x v="3"/>
    <x v="1"/>
    <x v="0"/>
    <n v="31"/>
    <x v="4"/>
    <x v="1"/>
    <x v="8"/>
  </r>
  <r>
    <n v="2118"/>
    <x v="5"/>
    <x v="17"/>
    <n v="2022"/>
    <x v="0"/>
    <s v=" "/>
    <s v=" "/>
    <x v="0"/>
    <x v="0"/>
    <x v="0"/>
    <n v="51"/>
    <x v="1"/>
    <x v="1"/>
    <x v="9"/>
  </r>
  <r>
    <n v="2119"/>
    <x v="0"/>
    <x v="18"/>
    <n v="2024"/>
    <x v="0"/>
    <s v=" "/>
    <s v=" "/>
    <x v="0"/>
    <x v="0"/>
    <x v="1"/>
    <n v="48"/>
    <x v="3"/>
    <x v="2"/>
    <x v="10"/>
  </r>
  <r>
    <n v="2120"/>
    <x v="3"/>
    <x v="19"/>
    <n v="2019"/>
    <x v="7"/>
    <n v="2022"/>
    <n v="4"/>
    <x v="5"/>
    <x v="1"/>
    <x v="1"/>
    <n v="41"/>
    <x v="3"/>
    <x v="3"/>
    <x v="2"/>
  </r>
  <r>
    <n v="2121"/>
    <x v="5"/>
    <x v="20"/>
    <n v="2021"/>
    <x v="8"/>
    <n v="2024"/>
    <n v="4"/>
    <x v="7"/>
    <x v="1"/>
    <x v="0"/>
    <n v="35"/>
    <x v="4"/>
    <x v="0"/>
    <x v="4"/>
  </r>
  <r>
    <n v="2122"/>
    <x v="2"/>
    <x v="21"/>
    <n v="2023"/>
    <x v="9"/>
    <n v="2024"/>
    <n v="2"/>
    <x v="4"/>
    <x v="1"/>
    <x v="1"/>
    <n v="24"/>
    <x v="0"/>
    <x v="7"/>
    <x v="9"/>
  </r>
  <r>
    <n v="2123"/>
    <x v="1"/>
    <x v="22"/>
    <n v="2023"/>
    <x v="0"/>
    <s v=" "/>
    <s v=" "/>
    <x v="0"/>
    <x v="0"/>
    <x v="0"/>
    <n v="41"/>
    <x v="3"/>
    <x v="0"/>
    <x v="1"/>
  </r>
  <r>
    <n v="2124"/>
    <x v="2"/>
    <x v="23"/>
    <n v="2024"/>
    <x v="0"/>
    <s v=" "/>
    <s v=" "/>
    <x v="0"/>
    <x v="0"/>
    <x v="0"/>
    <n v="40"/>
    <x v="3"/>
    <x v="0"/>
    <x v="2"/>
  </r>
  <r>
    <n v="2125"/>
    <x v="0"/>
    <x v="24"/>
    <n v="2019"/>
    <x v="0"/>
    <s v=" "/>
    <s v=" "/>
    <x v="0"/>
    <x v="0"/>
    <x v="0"/>
    <n v="48"/>
    <x v="3"/>
    <x v="1"/>
    <x v="3"/>
  </r>
  <r>
    <n v="2126"/>
    <x v="1"/>
    <x v="25"/>
    <n v="2022"/>
    <x v="0"/>
    <s v=" "/>
    <s v=" "/>
    <x v="0"/>
    <x v="0"/>
    <x v="1"/>
    <n v="52"/>
    <x v="1"/>
    <x v="0"/>
    <x v="4"/>
  </r>
  <r>
    <n v="2127"/>
    <x v="4"/>
    <x v="26"/>
    <n v="2020"/>
    <x v="10"/>
    <n v="2021"/>
    <n v="2"/>
    <x v="6"/>
    <x v="1"/>
    <x v="0"/>
    <n v="33"/>
    <x v="4"/>
    <x v="2"/>
    <x v="9"/>
  </r>
  <r>
    <n v="2128"/>
    <x v="2"/>
    <x v="27"/>
    <n v="2023"/>
    <x v="0"/>
    <s v=" "/>
    <s v=" "/>
    <x v="0"/>
    <x v="0"/>
    <x v="1"/>
    <n v="51"/>
    <x v="1"/>
    <x v="5"/>
    <x v="0"/>
  </r>
  <r>
    <n v="2129"/>
    <x v="0"/>
    <x v="28"/>
    <n v="2021"/>
    <x v="11"/>
    <n v="2022"/>
    <n v="2"/>
    <x v="3"/>
    <x v="1"/>
    <x v="0"/>
    <n v="46"/>
    <x v="3"/>
    <x v="0"/>
    <x v="2"/>
  </r>
  <r>
    <n v="2130"/>
    <x v="2"/>
    <x v="29"/>
    <n v="2018"/>
    <x v="12"/>
    <n v="2021"/>
    <n v="4"/>
    <x v="1"/>
    <x v="1"/>
    <x v="1"/>
    <n v="53"/>
    <x v="1"/>
    <x v="1"/>
    <x v="3"/>
  </r>
  <r>
    <n v="2131"/>
    <x v="5"/>
    <x v="30"/>
    <n v="2021"/>
    <x v="0"/>
    <s v=" "/>
    <s v=" "/>
    <x v="0"/>
    <x v="0"/>
    <x v="1"/>
    <n v="35"/>
    <x v="4"/>
    <x v="1"/>
    <x v="10"/>
  </r>
  <r>
    <n v="2132"/>
    <x v="0"/>
    <x v="31"/>
    <n v="2024"/>
    <x v="0"/>
    <s v=" "/>
    <s v=" "/>
    <x v="0"/>
    <x v="0"/>
    <x v="0"/>
    <n v="32"/>
    <x v="4"/>
    <x v="2"/>
    <x v="4"/>
  </r>
  <r>
    <n v="2133"/>
    <x v="5"/>
    <x v="32"/>
    <n v="2021"/>
    <x v="0"/>
    <s v=" "/>
    <s v=" "/>
    <x v="0"/>
    <x v="0"/>
    <x v="1"/>
    <n v="46"/>
    <x v="3"/>
    <x v="3"/>
    <x v="9"/>
  </r>
  <r>
    <n v="2134"/>
    <x v="0"/>
    <x v="33"/>
    <n v="2020"/>
    <x v="0"/>
    <s v=" "/>
    <s v=" "/>
    <x v="0"/>
    <x v="0"/>
    <x v="1"/>
    <n v="50"/>
    <x v="1"/>
    <x v="0"/>
    <x v="0"/>
  </r>
  <r>
    <n v="2135"/>
    <x v="2"/>
    <x v="34"/>
    <n v="2018"/>
    <x v="13"/>
    <n v="2022"/>
    <n v="5"/>
    <x v="2"/>
    <x v="1"/>
    <x v="0"/>
    <n v="64"/>
    <x v="2"/>
    <x v="6"/>
    <x v="1"/>
  </r>
  <r>
    <n v="2136"/>
    <x v="2"/>
    <x v="35"/>
    <n v="2018"/>
    <x v="0"/>
    <s v=" "/>
    <s v=" "/>
    <x v="0"/>
    <x v="0"/>
    <x v="0"/>
    <n v="29"/>
    <x v="0"/>
    <x v="0"/>
    <x v="2"/>
  </r>
  <r>
    <n v="2137"/>
    <x v="2"/>
    <x v="36"/>
    <n v="2021"/>
    <x v="14"/>
    <n v="2024"/>
    <n v="4"/>
    <x v="1"/>
    <x v="1"/>
    <x v="0"/>
    <n v="27"/>
    <x v="0"/>
    <x v="0"/>
    <x v="3"/>
  </r>
  <r>
    <n v="2138"/>
    <x v="4"/>
    <x v="37"/>
    <n v="2021"/>
    <x v="15"/>
    <n v="2023"/>
    <n v="3"/>
    <x v="4"/>
    <x v="1"/>
    <x v="1"/>
    <n v="31"/>
    <x v="4"/>
    <x v="1"/>
    <x v="4"/>
  </r>
  <r>
    <n v="2139"/>
    <x v="0"/>
    <x v="38"/>
    <n v="2019"/>
    <x v="16"/>
    <n v="2022"/>
    <n v="4"/>
    <x v="3"/>
    <x v="1"/>
    <x v="1"/>
    <n v="24"/>
    <x v="0"/>
    <x v="0"/>
    <x v="5"/>
  </r>
  <r>
    <n v="2140"/>
    <x v="5"/>
    <x v="39"/>
    <n v="2020"/>
    <x v="0"/>
    <s v=" "/>
    <s v=" "/>
    <x v="0"/>
    <x v="0"/>
    <x v="0"/>
    <n v="37"/>
    <x v="4"/>
    <x v="2"/>
    <x v="6"/>
  </r>
  <r>
    <n v="2141"/>
    <x v="4"/>
    <x v="40"/>
    <n v="2020"/>
    <x v="0"/>
    <s v=" "/>
    <s v=" "/>
    <x v="0"/>
    <x v="0"/>
    <x v="1"/>
    <n v="23"/>
    <x v="0"/>
    <x v="7"/>
    <x v="7"/>
  </r>
  <r>
    <n v="2142"/>
    <x v="4"/>
    <x v="41"/>
    <n v="2024"/>
    <x v="0"/>
    <s v=" "/>
    <s v=" "/>
    <x v="0"/>
    <x v="0"/>
    <x v="0"/>
    <n v="31"/>
    <x v="4"/>
    <x v="0"/>
    <x v="8"/>
  </r>
  <r>
    <n v="2143"/>
    <x v="5"/>
    <x v="42"/>
    <n v="2024"/>
    <x v="0"/>
    <s v=" "/>
    <s v=" "/>
    <x v="0"/>
    <x v="0"/>
    <x v="0"/>
    <n v="52"/>
    <x v="1"/>
    <x v="1"/>
    <x v="9"/>
  </r>
  <r>
    <n v="2144"/>
    <x v="2"/>
    <x v="43"/>
    <n v="2022"/>
    <x v="0"/>
    <s v=" "/>
    <s v=" "/>
    <x v="0"/>
    <x v="0"/>
    <x v="0"/>
    <n v="25"/>
    <x v="0"/>
    <x v="1"/>
    <x v="10"/>
  </r>
  <r>
    <n v="2145"/>
    <x v="1"/>
    <x v="44"/>
    <n v="2023"/>
    <x v="0"/>
    <s v=" "/>
    <s v=" "/>
    <x v="0"/>
    <x v="0"/>
    <x v="1"/>
    <n v="46"/>
    <x v="3"/>
    <x v="2"/>
    <x v="2"/>
  </r>
  <r>
    <n v="2146"/>
    <x v="1"/>
    <x v="45"/>
    <n v="2019"/>
    <x v="17"/>
    <n v="2021"/>
    <n v="3"/>
    <x v="5"/>
    <x v="1"/>
    <x v="0"/>
    <n v="24"/>
    <x v="0"/>
    <x v="3"/>
    <x v="4"/>
  </r>
  <r>
    <n v="2147"/>
    <x v="1"/>
    <x v="46"/>
    <n v="2021"/>
    <x v="18"/>
    <n v="2024"/>
    <n v="4"/>
    <x v="7"/>
    <x v="1"/>
    <x v="1"/>
    <n v="38"/>
    <x v="4"/>
    <x v="0"/>
    <x v="9"/>
  </r>
  <r>
    <n v="2148"/>
    <x v="3"/>
    <x v="47"/>
    <n v="2019"/>
    <x v="0"/>
    <s v=" "/>
    <s v=" "/>
    <x v="0"/>
    <x v="0"/>
    <x v="0"/>
    <n v="49"/>
    <x v="3"/>
    <x v="6"/>
    <x v="1"/>
  </r>
  <r>
    <n v="2149"/>
    <x v="4"/>
    <x v="48"/>
    <n v="2024"/>
    <x v="0"/>
    <s v=" "/>
    <s v=" "/>
    <x v="0"/>
    <x v="0"/>
    <x v="1"/>
    <n v="31"/>
    <x v="4"/>
    <x v="0"/>
    <x v="2"/>
  </r>
  <r>
    <n v="2150"/>
    <x v="0"/>
    <x v="49"/>
    <n v="2018"/>
    <x v="19"/>
    <n v="2022"/>
    <n v="5"/>
    <x v="4"/>
    <x v="1"/>
    <x v="1"/>
    <n v="51"/>
    <x v="1"/>
    <x v="0"/>
    <x v="3"/>
  </r>
  <r>
    <n v="2151"/>
    <x v="0"/>
    <x v="0"/>
    <n v="2018"/>
    <x v="0"/>
    <s v=" "/>
    <s v=" "/>
    <x v="0"/>
    <x v="0"/>
    <x v="0"/>
    <n v="27"/>
    <x v="0"/>
    <x v="1"/>
    <x v="4"/>
  </r>
  <r>
    <n v="2152"/>
    <x v="1"/>
    <x v="1"/>
    <n v="2020"/>
    <x v="0"/>
    <s v=" "/>
    <s v=" "/>
    <x v="0"/>
    <x v="0"/>
    <x v="1"/>
    <n v="22"/>
    <x v="0"/>
    <x v="0"/>
    <x v="9"/>
  </r>
  <r>
    <n v="2153"/>
    <x v="1"/>
    <x v="2"/>
    <n v="2021"/>
    <x v="0"/>
    <s v=" "/>
    <s v=" "/>
    <x v="0"/>
    <x v="0"/>
    <x v="1"/>
    <n v="50"/>
    <x v="1"/>
    <x v="2"/>
    <x v="0"/>
  </r>
  <r>
    <n v="2154"/>
    <x v="1"/>
    <x v="3"/>
    <n v="2023"/>
    <x v="0"/>
    <s v=" "/>
    <s v=" "/>
    <x v="0"/>
    <x v="0"/>
    <x v="0"/>
    <n v="24"/>
    <x v="0"/>
    <x v="7"/>
    <x v="2"/>
  </r>
  <r>
    <n v="2155"/>
    <x v="1"/>
    <x v="4"/>
    <n v="2019"/>
    <x v="1"/>
    <n v="2021"/>
    <n v="3"/>
    <x v="1"/>
    <x v="1"/>
    <x v="0"/>
    <n v="50"/>
    <x v="1"/>
    <x v="0"/>
    <x v="3"/>
  </r>
  <r>
    <n v="2156"/>
    <x v="2"/>
    <x v="5"/>
    <n v="2022"/>
    <x v="2"/>
    <n v="2023"/>
    <n v="2"/>
    <x v="7"/>
    <x v="1"/>
    <x v="0"/>
    <n v="28"/>
    <x v="0"/>
    <x v="1"/>
    <x v="10"/>
  </r>
  <r>
    <n v="2157"/>
    <x v="3"/>
    <x v="6"/>
    <n v="2024"/>
    <x v="0"/>
    <s v=" "/>
    <s v=" "/>
    <x v="0"/>
    <x v="0"/>
    <x v="1"/>
    <n v="40"/>
    <x v="3"/>
    <x v="1"/>
    <x v="4"/>
  </r>
  <r>
    <n v="2158"/>
    <x v="0"/>
    <x v="7"/>
    <n v="2018"/>
    <x v="0"/>
    <s v=" "/>
    <s v=" "/>
    <x v="0"/>
    <x v="0"/>
    <x v="1"/>
    <n v="32"/>
    <x v="4"/>
    <x v="2"/>
    <x v="9"/>
  </r>
  <r>
    <n v="2159"/>
    <x v="1"/>
    <x v="8"/>
    <n v="2023"/>
    <x v="0"/>
    <s v=" "/>
    <s v=" "/>
    <x v="0"/>
    <x v="0"/>
    <x v="0"/>
    <n v="50"/>
    <x v="1"/>
    <x v="3"/>
    <x v="2"/>
  </r>
  <r>
    <n v="2160"/>
    <x v="4"/>
    <x v="9"/>
    <n v="2024"/>
    <x v="0"/>
    <s v=" "/>
    <s v=" "/>
    <x v="0"/>
    <x v="0"/>
    <x v="1"/>
    <n v="24"/>
    <x v="0"/>
    <x v="0"/>
    <x v="3"/>
  </r>
  <r>
    <n v="2161"/>
    <x v="5"/>
    <x v="10"/>
    <n v="2024"/>
    <x v="0"/>
    <s v=" "/>
    <s v=" "/>
    <x v="0"/>
    <x v="0"/>
    <x v="0"/>
    <n v="36"/>
    <x v="4"/>
    <x v="4"/>
    <x v="4"/>
  </r>
  <r>
    <n v="2162"/>
    <x v="3"/>
    <x v="11"/>
    <n v="2021"/>
    <x v="3"/>
    <n v="2024"/>
    <n v="4"/>
    <x v="7"/>
    <x v="1"/>
    <x v="0"/>
    <n v="49"/>
    <x v="3"/>
    <x v="0"/>
    <x v="5"/>
  </r>
  <r>
    <n v="2163"/>
    <x v="0"/>
    <x v="12"/>
    <n v="2018"/>
    <x v="4"/>
    <n v="2020"/>
    <n v="3"/>
    <x v="7"/>
    <x v="1"/>
    <x v="0"/>
    <n v="43"/>
    <x v="3"/>
    <x v="0"/>
    <x v="6"/>
  </r>
  <r>
    <n v="2164"/>
    <x v="1"/>
    <x v="13"/>
    <n v="2024"/>
    <x v="0"/>
    <s v=" "/>
    <s v=" "/>
    <x v="0"/>
    <x v="0"/>
    <x v="1"/>
    <n v="40"/>
    <x v="3"/>
    <x v="1"/>
    <x v="7"/>
  </r>
  <r>
    <n v="2165"/>
    <x v="1"/>
    <x v="14"/>
    <n v="2018"/>
    <x v="0"/>
    <s v=" "/>
    <s v=" "/>
    <x v="0"/>
    <x v="0"/>
    <x v="0"/>
    <n v="42"/>
    <x v="3"/>
    <x v="0"/>
    <x v="8"/>
  </r>
  <r>
    <n v="2166"/>
    <x v="0"/>
    <x v="15"/>
    <n v="2019"/>
    <x v="5"/>
    <n v="2022"/>
    <n v="4"/>
    <x v="4"/>
    <x v="1"/>
    <x v="1"/>
    <n v="35"/>
    <x v="4"/>
    <x v="2"/>
    <x v="9"/>
  </r>
  <r>
    <n v="2167"/>
    <x v="3"/>
    <x v="16"/>
    <n v="2019"/>
    <x v="6"/>
    <n v="2020"/>
    <n v="2"/>
    <x v="3"/>
    <x v="1"/>
    <x v="0"/>
    <n v="31"/>
    <x v="4"/>
    <x v="7"/>
    <x v="10"/>
  </r>
  <r>
    <n v="2168"/>
    <x v="5"/>
    <x v="17"/>
    <n v="2022"/>
    <x v="0"/>
    <s v=" "/>
    <s v=" "/>
    <x v="0"/>
    <x v="0"/>
    <x v="1"/>
    <n v="51"/>
    <x v="1"/>
    <x v="0"/>
    <x v="2"/>
  </r>
  <r>
    <n v="2169"/>
    <x v="0"/>
    <x v="18"/>
    <n v="2024"/>
    <x v="0"/>
    <s v=" "/>
    <s v=" "/>
    <x v="0"/>
    <x v="0"/>
    <x v="1"/>
    <n v="48"/>
    <x v="3"/>
    <x v="1"/>
    <x v="4"/>
  </r>
  <r>
    <n v="2170"/>
    <x v="3"/>
    <x v="19"/>
    <n v="2019"/>
    <x v="7"/>
    <n v="2022"/>
    <n v="4"/>
    <x v="5"/>
    <x v="1"/>
    <x v="0"/>
    <n v="41"/>
    <x v="3"/>
    <x v="1"/>
    <x v="9"/>
  </r>
  <r>
    <n v="2171"/>
    <x v="5"/>
    <x v="20"/>
    <n v="2021"/>
    <x v="8"/>
    <n v="2024"/>
    <n v="4"/>
    <x v="7"/>
    <x v="1"/>
    <x v="1"/>
    <n v="35"/>
    <x v="4"/>
    <x v="2"/>
    <x v="1"/>
  </r>
  <r>
    <n v="2172"/>
    <x v="2"/>
    <x v="21"/>
    <n v="2023"/>
    <x v="9"/>
    <n v="2024"/>
    <n v="2"/>
    <x v="4"/>
    <x v="1"/>
    <x v="1"/>
    <n v="24"/>
    <x v="0"/>
    <x v="3"/>
    <x v="2"/>
  </r>
  <r>
    <n v="2173"/>
    <x v="1"/>
    <x v="22"/>
    <n v="2023"/>
    <x v="0"/>
    <s v=" "/>
    <s v=" "/>
    <x v="0"/>
    <x v="0"/>
    <x v="0"/>
    <n v="41"/>
    <x v="3"/>
    <x v="0"/>
    <x v="3"/>
  </r>
  <r>
    <n v="2174"/>
    <x v="2"/>
    <x v="23"/>
    <n v="2024"/>
    <x v="0"/>
    <s v=" "/>
    <s v=" "/>
    <x v="0"/>
    <x v="0"/>
    <x v="1"/>
    <n v="40"/>
    <x v="3"/>
    <x v="4"/>
    <x v="4"/>
  </r>
  <r>
    <n v="2175"/>
    <x v="0"/>
    <x v="24"/>
    <n v="2019"/>
    <x v="0"/>
    <s v=" "/>
    <s v=" "/>
    <x v="0"/>
    <x v="0"/>
    <x v="1"/>
    <n v="48"/>
    <x v="3"/>
    <x v="0"/>
    <x v="9"/>
  </r>
  <r>
    <n v="2176"/>
    <x v="1"/>
    <x v="25"/>
    <n v="2022"/>
    <x v="0"/>
    <s v=" "/>
    <s v=" "/>
    <x v="0"/>
    <x v="0"/>
    <x v="0"/>
    <n v="52"/>
    <x v="1"/>
    <x v="0"/>
    <x v="0"/>
  </r>
  <r>
    <n v="2177"/>
    <x v="4"/>
    <x v="26"/>
    <n v="2020"/>
    <x v="10"/>
    <n v="2021"/>
    <n v="2"/>
    <x v="6"/>
    <x v="1"/>
    <x v="1"/>
    <n v="33"/>
    <x v="4"/>
    <x v="1"/>
    <x v="2"/>
  </r>
  <r>
    <n v="2178"/>
    <x v="2"/>
    <x v="27"/>
    <n v="2023"/>
    <x v="0"/>
    <s v=" "/>
    <s v=" "/>
    <x v="0"/>
    <x v="0"/>
    <x v="0"/>
    <n v="51"/>
    <x v="1"/>
    <x v="0"/>
    <x v="3"/>
  </r>
  <r>
    <n v="2179"/>
    <x v="0"/>
    <x v="28"/>
    <n v="2021"/>
    <x v="11"/>
    <n v="2022"/>
    <n v="2"/>
    <x v="7"/>
    <x v="1"/>
    <x v="0"/>
    <n v="46"/>
    <x v="3"/>
    <x v="2"/>
    <x v="10"/>
  </r>
  <r>
    <n v="2180"/>
    <x v="2"/>
    <x v="29"/>
    <n v="2018"/>
    <x v="12"/>
    <n v="2021"/>
    <n v="4"/>
    <x v="1"/>
    <x v="1"/>
    <x v="0"/>
    <n v="53"/>
    <x v="1"/>
    <x v="5"/>
    <x v="4"/>
  </r>
  <r>
    <n v="2181"/>
    <x v="5"/>
    <x v="30"/>
    <n v="2021"/>
    <x v="0"/>
    <s v=" "/>
    <s v=" "/>
    <x v="0"/>
    <x v="0"/>
    <x v="1"/>
    <n v="35"/>
    <x v="4"/>
    <x v="0"/>
    <x v="9"/>
  </r>
  <r>
    <n v="2182"/>
    <x v="0"/>
    <x v="31"/>
    <n v="2024"/>
    <x v="0"/>
    <s v=" "/>
    <s v=" "/>
    <x v="0"/>
    <x v="0"/>
    <x v="0"/>
    <n v="32"/>
    <x v="4"/>
    <x v="1"/>
    <x v="0"/>
  </r>
  <r>
    <n v="2183"/>
    <x v="5"/>
    <x v="32"/>
    <n v="2021"/>
    <x v="0"/>
    <s v=" "/>
    <s v=" "/>
    <x v="0"/>
    <x v="0"/>
    <x v="1"/>
    <n v="46"/>
    <x v="3"/>
    <x v="1"/>
    <x v="1"/>
  </r>
  <r>
    <n v="2184"/>
    <x v="0"/>
    <x v="33"/>
    <n v="2020"/>
    <x v="0"/>
    <s v=" "/>
    <s v=" "/>
    <x v="0"/>
    <x v="0"/>
    <x v="0"/>
    <n v="50"/>
    <x v="1"/>
    <x v="2"/>
    <x v="2"/>
  </r>
  <r>
    <n v="2185"/>
    <x v="2"/>
    <x v="34"/>
    <n v="2018"/>
    <x v="13"/>
    <n v="2022"/>
    <n v="5"/>
    <x v="2"/>
    <x v="1"/>
    <x v="1"/>
    <n v="61"/>
    <x v="2"/>
    <x v="3"/>
    <x v="3"/>
  </r>
  <r>
    <n v="2186"/>
    <x v="2"/>
    <x v="35"/>
    <n v="2018"/>
    <x v="0"/>
    <s v=" "/>
    <s v=" "/>
    <x v="0"/>
    <x v="0"/>
    <x v="1"/>
    <n v="29"/>
    <x v="0"/>
    <x v="0"/>
    <x v="4"/>
  </r>
  <r>
    <n v="2187"/>
    <x v="2"/>
    <x v="36"/>
    <n v="2021"/>
    <x v="14"/>
    <n v="2024"/>
    <n v="4"/>
    <x v="1"/>
    <x v="1"/>
    <x v="0"/>
    <n v="27"/>
    <x v="0"/>
    <x v="7"/>
    <x v="5"/>
  </r>
  <r>
    <n v="2188"/>
    <x v="4"/>
    <x v="37"/>
    <n v="2021"/>
    <x v="15"/>
    <n v="2023"/>
    <n v="3"/>
    <x v="4"/>
    <x v="1"/>
    <x v="1"/>
    <n v="31"/>
    <x v="4"/>
    <x v="0"/>
    <x v="6"/>
  </r>
  <r>
    <n v="2189"/>
    <x v="0"/>
    <x v="38"/>
    <n v="2019"/>
    <x v="16"/>
    <n v="2022"/>
    <n v="4"/>
    <x v="7"/>
    <x v="1"/>
    <x v="1"/>
    <n v="24"/>
    <x v="0"/>
    <x v="0"/>
    <x v="7"/>
  </r>
  <r>
    <n v="2190"/>
    <x v="5"/>
    <x v="39"/>
    <n v="2020"/>
    <x v="0"/>
    <s v=" "/>
    <s v=" "/>
    <x v="0"/>
    <x v="0"/>
    <x v="0"/>
    <n v="37"/>
    <x v="4"/>
    <x v="1"/>
    <x v="8"/>
  </r>
  <r>
    <n v="2191"/>
    <x v="4"/>
    <x v="40"/>
    <n v="2020"/>
    <x v="0"/>
    <s v=" "/>
    <s v=" "/>
    <x v="0"/>
    <x v="0"/>
    <x v="1"/>
    <n v="23"/>
    <x v="0"/>
    <x v="0"/>
    <x v="9"/>
  </r>
  <r>
    <n v="2192"/>
    <x v="4"/>
    <x v="41"/>
    <n v="2024"/>
    <x v="0"/>
    <s v=" "/>
    <s v=" "/>
    <x v="0"/>
    <x v="0"/>
    <x v="1"/>
    <n v="31"/>
    <x v="4"/>
    <x v="2"/>
    <x v="10"/>
  </r>
  <r>
    <n v="2193"/>
    <x v="5"/>
    <x v="42"/>
    <n v="2024"/>
    <x v="0"/>
    <s v=" "/>
    <s v=" "/>
    <x v="0"/>
    <x v="0"/>
    <x v="1"/>
    <n v="52"/>
    <x v="1"/>
    <x v="5"/>
    <x v="2"/>
  </r>
  <r>
    <n v="2194"/>
    <x v="2"/>
    <x v="43"/>
    <n v="2022"/>
    <x v="0"/>
    <s v=" "/>
    <s v=" "/>
    <x v="0"/>
    <x v="0"/>
    <x v="0"/>
    <n v="25"/>
    <x v="0"/>
    <x v="0"/>
    <x v="4"/>
  </r>
  <r>
    <n v="2195"/>
    <x v="1"/>
    <x v="44"/>
    <n v="2023"/>
    <x v="0"/>
    <s v=" "/>
    <s v=" "/>
    <x v="0"/>
    <x v="0"/>
    <x v="1"/>
    <n v="46"/>
    <x v="3"/>
    <x v="1"/>
    <x v="9"/>
  </r>
  <r>
    <n v="2196"/>
    <x v="1"/>
    <x v="45"/>
    <n v="2019"/>
    <x v="17"/>
    <n v="2021"/>
    <n v="3"/>
    <x v="5"/>
    <x v="1"/>
    <x v="0"/>
    <n v="24"/>
    <x v="0"/>
    <x v="1"/>
    <x v="1"/>
  </r>
  <r>
    <n v="2197"/>
    <x v="1"/>
    <x v="46"/>
    <n v="2021"/>
    <x v="18"/>
    <n v="2024"/>
    <n v="4"/>
    <x v="5"/>
    <x v="1"/>
    <x v="0"/>
    <n v="38"/>
    <x v="4"/>
    <x v="2"/>
    <x v="2"/>
  </r>
  <r>
    <n v="2198"/>
    <x v="3"/>
    <x v="47"/>
    <n v="2019"/>
    <x v="0"/>
    <s v=" "/>
    <s v=" "/>
    <x v="0"/>
    <x v="0"/>
    <x v="0"/>
    <n v="49"/>
    <x v="3"/>
    <x v="3"/>
    <x v="3"/>
  </r>
  <r>
    <n v="2199"/>
    <x v="4"/>
    <x v="48"/>
    <n v="2024"/>
    <x v="0"/>
    <s v=" "/>
    <s v=" "/>
    <x v="0"/>
    <x v="0"/>
    <x v="1"/>
    <n v="31"/>
    <x v="4"/>
    <x v="0"/>
    <x v="4"/>
  </r>
  <r>
    <n v="2200"/>
    <x v="0"/>
    <x v="49"/>
    <n v="2018"/>
    <x v="19"/>
    <n v="2022"/>
    <n v="5"/>
    <x v="4"/>
    <x v="1"/>
    <x v="0"/>
    <n v="51"/>
    <x v="1"/>
    <x v="6"/>
    <x v="9"/>
  </r>
  <r>
    <n v="2201"/>
    <x v="0"/>
    <x v="0"/>
    <n v="2018"/>
    <x v="0"/>
    <s v=" "/>
    <s v=" "/>
    <x v="0"/>
    <x v="0"/>
    <x v="1"/>
    <n v="27"/>
    <x v="0"/>
    <x v="0"/>
    <x v="0"/>
  </r>
  <r>
    <n v="2202"/>
    <x v="1"/>
    <x v="1"/>
    <n v="2020"/>
    <x v="0"/>
    <s v=" "/>
    <s v=" "/>
    <x v="0"/>
    <x v="0"/>
    <x v="0"/>
    <n v="22"/>
    <x v="0"/>
    <x v="0"/>
    <x v="2"/>
  </r>
  <r>
    <n v="2203"/>
    <x v="1"/>
    <x v="2"/>
    <n v="2021"/>
    <x v="0"/>
    <s v=" "/>
    <s v=" "/>
    <x v="0"/>
    <x v="0"/>
    <x v="1"/>
    <n v="50"/>
    <x v="1"/>
    <x v="1"/>
    <x v="3"/>
  </r>
  <r>
    <n v="2204"/>
    <x v="1"/>
    <x v="3"/>
    <n v="2023"/>
    <x v="0"/>
    <s v=" "/>
    <s v=" "/>
    <x v="0"/>
    <x v="0"/>
    <x v="1"/>
    <n v="24"/>
    <x v="0"/>
    <x v="0"/>
    <x v="10"/>
  </r>
  <r>
    <n v="2205"/>
    <x v="1"/>
    <x v="4"/>
    <n v="2019"/>
    <x v="1"/>
    <n v="2021"/>
    <n v="3"/>
    <x v="7"/>
    <x v="1"/>
    <x v="0"/>
    <n v="50"/>
    <x v="1"/>
    <x v="2"/>
    <x v="4"/>
  </r>
  <r>
    <n v="2206"/>
    <x v="2"/>
    <x v="5"/>
    <n v="2022"/>
    <x v="2"/>
    <n v="2023"/>
    <n v="2"/>
    <x v="7"/>
    <x v="1"/>
    <x v="1"/>
    <n v="28"/>
    <x v="0"/>
    <x v="5"/>
    <x v="9"/>
  </r>
  <r>
    <n v="2207"/>
    <x v="3"/>
    <x v="6"/>
    <n v="2024"/>
    <x v="0"/>
    <s v=" "/>
    <s v=" "/>
    <x v="0"/>
    <x v="0"/>
    <x v="1"/>
    <n v="40"/>
    <x v="3"/>
    <x v="0"/>
    <x v="2"/>
  </r>
  <r>
    <n v="2208"/>
    <x v="0"/>
    <x v="7"/>
    <n v="2018"/>
    <x v="0"/>
    <s v=" "/>
    <s v=" "/>
    <x v="0"/>
    <x v="0"/>
    <x v="0"/>
    <n v="32"/>
    <x v="4"/>
    <x v="1"/>
    <x v="3"/>
  </r>
  <r>
    <n v="2209"/>
    <x v="1"/>
    <x v="8"/>
    <n v="2023"/>
    <x v="0"/>
    <s v=" "/>
    <s v=" "/>
    <x v="0"/>
    <x v="0"/>
    <x v="1"/>
    <n v="50"/>
    <x v="1"/>
    <x v="1"/>
    <x v="4"/>
  </r>
  <r>
    <n v="2210"/>
    <x v="4"/>
    <x v="9"/>
    <n v="2024"/>
    <x v="0"/>
    <s v=" "/>
    <s v=" "/>
    <x v="0"/>
    <x v="0"/>
    <x v="1"/>
    <n v="24"/>
    <x v="0"/>
    <x v="2"/>
    <x v="5"/>
  </r>
  <r>
    <n v="2211"/>
    <x v="5"/>
    <x v="10"/>
    <n v="2024"/>
    <x v="0"/>
    <s v=" "/>
    <s v=" "/>
    <x v="0"/>
    <x v="0"/>
    <x v="1"/>
    <n v="36"/>
    <x v="4"/>
    <x v="3"/>
    <x v="6"/>
  </r>
  <r>
    <n v="2212"/>
    <x v="3"/>
    <x v="11"/>
    <n v="2021"/>
    <x v="3"/>
    <n v="2024"/>
    <n v="4"/>
    <x v="7"/>
    <x v="1"/>
    <x v="0"/>
    <n v="49"/>
    <x v="3"/>
    <x v="0"/>
    <x v="7"/>
  </r>
  <r>
    <n v="2213"/>
    <x v="0"/>
    <x v="12"/>
    <n v="2018"/>
    <x v="4"/>
    <n v="2020"/>
    <n v="3"/>
    <x v="3"/>
    <x v="1"/>
    <x v="1"/>
    <n v="43"/>
    <x v="3"/>
    <x v="6"/>
    <x v="8"/>
  </r>
  <r>
    <n v="2214"/>
    <x v="1"/>
    <x v="13"/>
    <n v="2024"/>
    <x v="0"/>
    <s v=" "/>
    <s v=" "/>
    <x v="0"/>
    <x v="0"/>
    <x v="0"/>
    <n v="40"/>
    <x v="3"/>
    <x v="0"/>
    <x v="9"/>
  </r>
  <r>
    <n v="2215"/>
    <x v="1"/>
    <x v="14"/>
    <n v="2018"/>
    <x v="0"/>
    <s v=" "/>
    <s v=" "/>
    <x v="0"/>
    <x v="0"/>
    <x v="0"/>
    <n v="42"/>
    <x v="3"/>
    <x v="0"/>
    <x v="10"/>
  </r>
  <r>
    <n v="2216"/>
    <x v="0"/>
    <x v="15"/>
    <n v="2019"/>
    <x v="5"/>
    <n v="2022"/>
    <n v="4"/>
    <x v="4"/>
    <x v="1"/>
    <x v="0"/>
    <n v="35"/>
    <x v="4"/>
    <x v="1"/>
    <x v="2"/>
  </r>
  <r>
    <n v="2217"/>
    <x v="3"/>
    <x v="16"/>
    <n v="2019"/>
    <x v="6"/>
    <n v="2020"/>
    <n v="2"/>
    <x v="3"/>
    <x v="1"/>
    <x v="0"/>
    <n v="31"/>
    <x v="4"/>
    <x v="0"/>
    <x v="4"/>
  </r>
  <r>
    <n v="2218"/>
    <x v="5"/>
    <x v="17"/>
    <n v="2022"/>
    <x v="0"/>
    <s v=" "/>
    <s v=" "/>
    <x v="0"/>
    <x v="0"/>
    <x v="1"/>
    <n v="51"/>
    <x v="1"/>
    <x v="2"/>
    <x v="9"/>
  </r>
  <r>
    <n v="2219"/>
    <x v="0"/>
    <x v="18"/>
    <n v="2024"/>
    <x v="0"/>
    <s v=" "/>
    <s v=" "/>
    <x v="0"/>
    <x v="0"/>
    <x v="1"/>
    <n v="48"/>
    <x v="3"/>
    <x v="5"/>
    <x v="1"/>
  </r>
  <r>
    <n v="2220"/>
    <x v="3"/>
    <x v="19"/>
    <n v="2019"/>
    <x v="7"/>
    <n v="2022"/>
    <n v="4"/>
    <x v="5"/>
    <x v="1"/>
    <x v="0"/>
    <n v="41"/>
    <x v="3"/>
    <x v="0"/>
    <x v="2"/>
  </r>
  <r>
    <n v="2221"/>
    <x v="5"/>
    <x v="20"/>
    <n v="2021"/>
    <x v="8"/>
    <n v="2024"/>
    <n v="4"/>
    <x v="7"/>
    <x v="1"/>
    <x v="0"/>
    <n v="35"/>
    <x v="4"/>
    <x v="1"/>
    <x v="3"/>
  </r>
  <r>
    <n v="2222"/>
    <x v="2"/>
    <x v="21"/>
    <n v="2023"/>
    <x v="9"/>
    <n v="2024"/>
    <n v="2"/>
    <x v="4"/>
    <x v="1"/>
    <x v="0"/>
    <n v="24"/>
    <x v="0"/>
    <x v="1"/>
    <x v="4"/>
  </r>
  <r>
    <n v="2223"/>
    <x v="1"/>
    <x v="22"/>
    <n v="2023"/>
    <x v="0"/>
    <s v=" "/>
    <s v=" "/>
    <x v="0"/>
    <x v="0"/>
    <x v="1"/>
    <n v="41"/>
    <x v="3"/>
    <x v="2"/>
    <x v="9"/>
  </r>
  <r>
    <n v="2224"/>
    <x v="2"/>
    <x v="23"/>
    <n v="2024"/>
    <x v="0"/>
    <s v=" "/>
    <s v=" "/>
    <x v="0"/>
    <x v="0"/>
    <x v="0"/>
    <n v="40"/>
    <x v="3"/>
    <x v="3"/>
    <x v="0"/>
  </r>
  <r>
    <n v="2225"/>
    <x v="0"/>
    <x v="24"/>
    <n v="2019"/>
    <x v="0"/>
    <s v=" "/>
    <s v=" "/>
    <x v="0"/>
    <x v="0"/>
    <x v="0"/>
    <n v="48"/>
    <x v="3"/>
    <x v="0"/>
    <x v="2"/>
  </r>
  <r>
    <n v="2226"/>
    <x v="1"/>
    <x v="25"/>
    <n v="2022"/>
    <x v="0"/>
    <s v=" "/>
    <s v=" "/>
    <x v="0"/>
    <x v="0"/>
    <x v="1"/>
    <n v="52"/>
    <x v="1"/>
    <x v="6"/>
    <x v="3"/>
  </r>
  <r>
    <n v="2227"/>
    <x v="4"/>
    <x v="26"/>
    <n v="2020"/>
    <x v="10"/>
    <n v="2021"/>
    <n v="2"/>
    <x v="7"/>
    <x v="1"/>
    <x v="0"/>
    <n v="33"/>
    <x v="4"/>
    <x v="0"/>
    <x v="10"/>
  </r>
  <r>
    <n v="2228"/>
    <x v="2"/>
    <x v="27"/>
    <n v="2023"/>
    <x v="0"/>
    <s v=" "/>
    <s v=" "/>
    <x v="0"/>
    <x v="0"/>
    <x v="1"/>
    <n v="51"/>
    <x v="1"/>
    <x v="0"/>
    <x v="4"/>
  </r>
  <r>
    <n v="2229"/>
    <x v="0"/>
    <x v="28"/>
    <n v="2021"/>
    <x v="11"/>
    <n v="2022"/>
    <n v="2"/>
    <x v="3"/>
    <x v="1"/>
    <x v="1"/>
    <n v="46"/>
    <x v="3"/>
    <x v="1"/>
    <x v="9"/>
  </r>
  <r>
    <n v="2230"/>
    <x v="2"/>
    <x v="29"/>
    <n v="2018"/>
    <x v="12"/>
    <n v="2021"/>
    <n v="4"/>
    <x v="1"/>
    <x v="1"/>
    <x v="0"/>
    <n v="53"/>
    <x v="1"/>
    <x v="0"/>
    <x v="0"/>
  </r>
  <r>
    <n v="2231"/>
    <x v="5"/>
    <x v="30"/>
    <n v="2021"/>
    <x v="0"/>
    <s v=" "/>
    <s v=" "/>
    <x v="0"/>
    <x v="0"/>
    <x v="0"/>
    <n v="35"/>
    <x v="4"/>
    <x v="2"/>
    <x v="1"/>
  </r>
  <r>
    <n v="2232"/>
    <x v="0"/>
    <x v="31"/>
    <n v="2024"/>
    <x v="0"/>
    <s v=" "/>
    <s v=" "/>
    <x v="0"/>
    <x v="0"/>
    <x v="0"/>
    <n v="32"/>
    <x v="4"/>
    <x v="7"/>
    <x v="2"/>
  </r>
  <r>
    <n v="2233"/>
    <x v="5"/>
    <x v="32"/>
    <n v="2021"/>
    <x v="0"/>
    <s v=" "/>
    <s v=" "/>
    <x v="0"/>
    <x v="0"/>
    <x v="1"/>
    <n v="46"/>
    <x v="3"/>
    <x v="0"/>
    <x v="3"/>
  </r>
  <r>
    <n v="2234"/>
    <x v="0"/>
    <x v="33"/>
    <n v="2020"/>
    <x v="0"/>
    <s v=" "/>
    <s v=" "/>
    <x v="0"/>
    <x v="0"/>
    <x v="1"/>
    <n v="50"/>
    <x v="1"/>
    <x v="1"/>
    <x v="4"/>
  </r>
  <r>
    <n v="2235"/>
    <x v="2"/>
    <x v="34"/>
    <n v="2018"/>
    <x v="13"/>
    <n v="2022"/>
    <n v="5"/>
    <x v="2"/>
    <x v="1"/>
    <x v="0"/>
    <n v="60"/>
    <x v="2"/>
    <x v="1"/>
    <x v="5"/>
  </r>
  <r>
    <n v="2236"/>
    <x v="2"/>
    <x v="35"/>
    <n v="2018"/>
    <x v="0"/>
    <s v=" "/>
    <s v=" "/>
    <x v="0"/>
    <x v="0"/>
    <x v="1"/>
    <n v="29"/>
    <x v="0"/>
    <x v="2"/>
    <x v="6"/>
  </r>
  <r>
    <n v="2237"/>
    <x v="2"/>
    <x v="36"/>
    <n v="2021"/>
    <x v="14"/>
    <n v="2024"/>
    <n v="4"/>
    <x v="7"/>
    <x v="1"/>
    <x v="1"/>
    <n v="27"/>
    <x v="0"/>
    <x v="3"/>
    <x v="7"/>
  </r>
  <r>
    <n v="2238"/>
    <x v="4"/>
    <x v="37"/>
    <n v="2021"/>
    <x v="15"/>
    <n v="2023"/>
    <n v="3"/>
    <x v="4"/>
    <x v="1"/>
    <x v="0"/>
    <n v="31"/>
    <x v="4"/>
    <x v="0"/>
    <x v="8"/>
  </r>
  <r>
    <n v="2239"/>
    <x v="0"/>
    <x v="38"/>
    <n v="2019"/>
    <x v="16"/>
    <n v="2022"/>
    <n v="4"/>
    <x v="3"/>
    <x v="1"/>
    <x v="0"/>
    <n v="24"/>
    <x v="0"/>
    <x v="7"/>
    <x v="9"/>
  </r>
  <r>
    <n v="2240"/>
    <x v="5"/>
    <x v="39"/>
    <n v="2020"/>
    <x v="0"/>
    <s v=" "/>
    <s v=" "/>
    <x v="0"/>
    <x v="0"/>
    <x v="0"/>
    <n v="37"/>
    <x v="4"/>
    <x v="0"/>
    <x v="10"/>
  </r>
  <r>
    <n v="2241"/>
    <x v="4"/>
    <x v="40"/>
    <n v="2020"/>
    <x v="0"/>
    <s v=" "/>
    <s v=" "/>
    <x v="0"/>
    <x v="0"/>
    <x v="0"/>
    <n v="23"/>
    <x v="0"/>
    <x v="0"/>
    <x v="2"/>
  </r>
  <r>
    <n v="2242"/>
    <x v="4"/>
    <x v="41"/>
    <n v="2024"/>
    <x v="0"/>
    <s v=" "/>
    <s v=" "/>
    <x v="0"/>
    <x v="0"/>
    <x v="1"/>
    <n v="31"/>
    <x v="4"/>
    <x v="1"/>
    <x v="4"/>
  </r>
  <r>
    <n v="2243"/>
    <x v="5"/>
    <x v="42"/>
    <n v="2024"/>
    <x v="0"/>
    <s v=" "/>
    <s v=" "/>
    <x v="0"/>
    <x v="0"/>
    <x v="1"/>
    <n v="52"/>
    <x v="1"/>
    <x v="0"/>
    <x v="9"/>
  </r>
  <r>
    <n v="2244"/>
    <x v="2"/>
    <x v="43"/>
    <n v="2022"/>
    <x v="0"/>
    <s v=" "/>
    <s v=" "/>
    <x v="0"/>
    <x v="0"/>
    <x v="1"/>
    <n v="25"/>
    <x v="0"/>
    <x v="2"/>
    <x v="1"/>
  </r>
  <r>
    <n v="2245"/>
    <x v="1"/>
    <x v="44"/>
    <n v="2023"/>
    <x v="0"/>
    <s v=" "/>
    <s v=" "/>
    <x v="0"/>
    <x v="0"/>
    <x v="0"/>
    <n v="46"/>
    <x v="3"/>
    <x v="5"/>
    <x v="2"/>
  </r>
  <r>
    <n v="2246"/>
    <x v="1"/>
    <x v="45"/>
    <n v="2019"/>
    <x v="17"/>
    <n v="2021"/>
    <n v="3"/>
    <x v="5"/>
    <x v="1"/>
    <x v="1"/>
    <n v="24"/>
    <x v="0"/>
    <x v="0"/>
    <x v="3"/>
  </r>
  <r>
    <n v="2247"/>
    <x v="1"/>
    <x v="46"/>
    <n v="2021"/>
    <x v="18"/>
    <n v="2024"/>
    <n v="4"/>
    <x v="5"/>
    <x v="1"/>
    <x v="1"/>
    <n v="38"/>
    <x v="4"/>
    <x v="1"/>
    <x v="4"/>
  </r>
  <r>
    <n v="2248"/>
    <x v="3"/>
    <x v="47"/>
    <n v="2019"/>
    <x v="0"/>
    <s v=" "/>
    <s v=" "/>
    <x v="0"/>
    <x v="0"/>
    <x v="0"/>
    <n v="49"/>
    <x v="3"/>
    <x v="1"/>
    <x v="9"/>
  </r>
  <r>
    <n v="2249"/>
    <x v="4"/>
    <x v="48"/>
    <n v="2024"/>
    <x v="0"/>
    <s v=" "/>
    <s v=" "/>
    <x v="0"/>
    <x v="0"/>
    <x v="1"/>
    <n v="31"/>
    <x v="4"/>
    <x v="2"/>
    <x v="0"/>
  </r>
  <r>
    <n v="2250"/>
    <x v="0"/>
    <x v="49"/>
    <n v="2018"/>
    <x v="19"/>
    <n v="2022"/>
    <n v="5"/>
    <x v="4"/>
    <x v="1"/>
    <x v="1"/>
    <n v="51"/>
    <x v="1"/>
    <x v="3"/>
    <x v="2"/>
  </r>
  <r>
    <n v="2251"/>
    <x v="0"/>
    <x v="0"/>
    <n v="2018"/>
    <x v="0"/>
    <s v=" "/>
    <s v=" "/>
    <x v="0"/>
    <x v="0"/>
    <x v="1"/>
    <n v="27"/>
    <x v="0"/>
    <x v="0"/>
    <x v="3"/>
  </r>
  <r>
    <n v="2252"/>
    <x v="1"/>
    <x v="1"/>
    <n v="2020"/>
    <x v="0"/>
    <s v=" "/>
    <s v=" "/>
    <x v="0"/>
    <x v="0"/>
    <x v="0"/>
    <n v="22"/>
    <x v="0"/>
    <x v="4"/>
    <x v="10"/>
  </r>
  <r>
    <n v="2253"/>
    <x v="1"/>
    <x v="2"/>
    <n v="2021"/>
    <x v="0"/>
    <s v=" "/>
    <s v=" "/>
    <x v="0"/>
    <x v="0"/>
    <x v="0"/>
    <n v="50"/>
    <x v="1"/>
    <x v="0"/>
    <x v="4"/>
  </r>
  <r>
    <n v="2254"/>
    <x v="1"/>
    <x v="3"/>
    <n v="2023"/>
    <x v="0"/>
    <s v=" "/>
    <s v=" "/>
    <x v="0"/>
    <x v="0"/>
    <x v="1"/>
    <n v="24"/>
    <x v="0"/>
    <x v="0"/>
    <x v="9"/>
  </r>
  <r>
    <n v="2255"/>
    <x v="1"/>
    <x v="4"/>
    <n v="2019"/>
    <x v="1"/>
    <n v="2021"/>
    <n v="3"/>
    <x v="1"/>
    <x v="1"/>
    <x v="1"/>
    <n v="50"/>
    <x v="1"/>
    <x v="1"/>
    <x v="2"/>
  </r>
  <r>
    <n v="2256"/>
    <x v="2"/>
    <x v="5"/>
    <n v="2022"/>
    <x v="2"/>
    <n v="2023"/>
    <n v="2"/>
    <x v="7"/>
    <x v="1"/>
    <x v="0"/>
    <n v="28"/>
    <x v="0"/>
    <x v="0"/>
    <x v="3"/>
  </r>
  <r>
    <n v="2257"/>
    <x v="3"/>
    <x v="6"/>
    <n v="2024"/>
    <x v="0"/>
    <s v=" "/>
    <s v=" "/>
    <x v="0"/>
    <x v="0"/>
    <x v="1"/>
    <n v="40"/>
    <x v="3"/>
    <x v="2"/>
    <x v="4"/>
  </r>
  <r>
    <n v="2258"/>
    <x v="0"/>
    <x v="7"/>
    <n v="2018"/>
    <x v="0"/>
    <s v=" "/>
    <s v=" "/>
    <x v="0"/>
    <x v="0"/>
    <x v="1"/>
    <n v="32"/>
    <x v="4"/>
    <x v="7"/>
    <x v="5"/>
  </r>
  <r>
    <n v="2259"/>
    <x v="1"/>
    <x v="8"/>
    <n v="2023"/>
    <x v="0"/>
    <s v=" "/>
    <s v=" "/>
    <x v="0"/>
    <x v="0"/>
    <x v="1"/>
    <n v="50"/>
    <x v="1"/>
    <x v="0"/>
    <x v="6"/>
  </r>
  <r>
    <n v="2260"/>
    <x v="4"/>
    <x v="9"/>
    <n v="2024"/>
    <x v="0"/>
    <s v=" "/>
    <s v=" "/>
    <x v="0"/>
    <x v="0"/>
    <x v="0"/>
    <n v="24"/>
    <x v="0"/>
    <x v="1"/>
    <x v="7"/>
  </r>
  <r>
    <n v="2261"/>
    <x v="5"/>
    <x v="10"/>
    <n v="2024"/>
    <x v="0"/>
    <s v=" "/>
    <s v=" "/>
    <x v="0"/>
    <x v="0"/>
    <x v="0"/>
    <n v="36"/>
    <x v="4"/>
    <x v="1"/>
    <x v="8"/>
  </r>
  <r>
    <n v="2262"/>
    <x v="3"/>
    <x v="11"/>
    <n v="2021"/>
    <x v="3"/>
    <n v="2024"/>
    <n v="4"/>
    <x v="7"/>
    <x v="1"/>
    <x v="1"/>
    <n v="49"/>
    <x v="3"/>
    <x v="2"/>
    <x v="9"/>
  </r>
  <r>
    <n v="2263"/>
    <x v="0"/>
    <x v="12"/>
    <n v="2018"/>
    <x v="4"/>
    <n v="2020"/>
    <n v="3"/>
    <x v="3"/>
    <x v="1"/>
    <x v="1"/>
    <n v="43"/>
    <x v="3"/>
    <x v="3"/>
    <x v="10"/>
  </r>
  <r>
    <n v="2264"/>
    <x v="1"/>
    <x v="13"/>
    <n v="2024"/>
    <x v="0"/>
    <s v=" "/>
    <s v=" "/>
    <x v="0"/>
    <x v="0"/>
    <x v="1"/>
    <n v="40"/>
    <x v="3"/>
    <x v="0"/>
    <x v="2"/>
  </r>
  <r>
    <n v="2265"/>
    <x v="1"/>
    <x v="14"/>
    <n v="2018"/>
    <x v="0"/>
    <s v=" "/>
    <s v=" "/>
    <x v="0"/>
    <x v="0"/>
    <x v="0"/>
    <n v="42"/>
    <x v="3"/>
    <x v="4"/>
    <x v="4"/>
  </r>
  <r>
    <n v="2266"/>
    <x v="0"/>
    <x v="15"/>
    <n v="2019"/>
    <x v="5"/>
    <n v="2022"/>
    <n v="4"/>
    <x v="4"/>
    <x v="1"/>
    <x v="0"/>
    <n v="35"/>
    <x v="4"/>
    <x v="0"/>
    <x v="9"/>
  </r>
  <r>
    <n v="2267"/>
    <x v="3"/>
    <x v="16"/>
    <n v="2019"/>
    <x v="6"/>
    <n v="2020"/>
    <n v="2"/>
    <x v="3"/>
    <x v="1"/>
    <x v="0"/>
    <n v="31"/>
    <x v="4"/>
    <x v="0"/>
    <x v="1"/>
  </r>
  <r>
    <n v="2268"/>
    <x v="5"/>
    <x v="17"/>
    <n v="2022"/>
    <x v="0"/>
    <s v=" "/>
    <s v=" "/>
    <x v="0"/>
    <x v="0"/>
    <x v="1"/>
    <n v="51"/>
    <x v="1"/>
    <x v="1"/>
    <x v="2"/>
  </r>
  <r>
    <n v="2269"/>
    <x v="0"/>
    <x v="18"/>
    <n v="2024"/>
    <x v="0"/>
    <s v=" "/>
    <s v=" "/>
    <x v="0"/>
    <x v="0"/>
    <x v="1"/>
    <n v="48"/>
    <x v="3"/>
    <x v="0"/>
    <x v="3"/>
  </r>
  <r>
    <n v="2270"/>
    <x v="3"/>
    <x v="19"/>
    <n v="2019"/>
    <x v="7"/>
    <n v="2022"/>
    <n v="4"/>
    <x v="5"/>
    <x v="1"/>
    <x v="0"/>
    <n v="41"/>
    <x v="3"/>
    <x v="2"/>
    <x v="4"/>
  </r>
  <r>
    <n v="2271"/>
    <x v="5"/>
    <x v="20"/>
    <n v="2021"/>
    <x v="8"/>
    <n v="2024"/>
    <n v="4"/>
    <x v="7"/>
    <x v="1"/>
    <x v="0"/>
    <n v="35"/>
    <x v="4"/>
    <x v="5"/>
    <x v="9"/>
  </r>
  <r>
    <n v="2272"/>
    <x v="2"/>
    <x v="21"/>
    <n v="2023"/>
    <x v="9"/>
    <n v="2024"/>
    <n v="2"/>
    <x v="4"/>
    <x v="1"/>
    <x v="0"/>
    <n v="24"/>
    <x v="0"/>
    <x v="0"/>
    <x v="0"/>
  </r>
  <r>
    <n v="2273"/>
    <x v="1"/>
    <x v="22"/>
    <n v="2023"/>
    <x v="0"/>
    <s v=" "/>
    <s v=" "/>
    <x v="0"/>
    <x v="0"/>
    <x v="0"/>
    <n v="41"/>
    <x v="3"/>
    <x v="1"/>
    <x v="2"/>
  </r>
  <r>
    <n v="2274"/>
    <x v="2"/>
    <x v="23"/>
    <n v="2024"/>
    <x v="0"/>
    <s v=" "/>
    <s v=" "/>
    <x v="0"/>
    <x v="0"/>
    <x v="0"/>
    <n v="40"/>
    <x v="3"/>
    <x v="1"/>
    <x v="3"/>
  </r>
  <r>
    <n v="2275"/>
    <x v="0"/>
    <x v="24"/>
    <n v="2019"/>
    <x v="0"/>
    <s v=" "/>
    <s v=" "/>
    <x v="0"/>
    <x v="0"/>
    <x v="0"/>
    <n v="48"/>
    <x v="3"/>
    <x v="2"/>
    <x v="10"/>
  </r>
  <r>
    <n v="2276"/>
    <x v="1"/>
    <x v="25"/>
    <n v="2022"/>
    <x v="0"/>
    <s v=" "/>
    <s v=" "/>
    <x v="0"/>
    <x v="0"/>
    <x v="1"/>
    <n v="52"/>
    <x v="1"/>
    <x v="3"/>
    <x v="4"/>
  </r>
  <r>
    <n v="2277"/>
    <x v="4"/>
    <x v="26"/>
    <n v="2020"/>
    <x v="10"/>
    <n v="2021"/>
    <n v="2"/>
    <x v="6"/>
    <x v="1"/>
    <x v="0"/>
    <n v="33"/>
    <x v="4"/>
    <x v="0"/>
    <x v="9"/>
  </r>
  <r>
    <n v="2278"/>
    <x v="2"/>
    <x v="27"/>
    <n v="2023"/>
    <x v="0"/>
    <s v=" "/>
    <s v=" "/>
    <x v="0"/>
    <x v="0"/>
    <x v="1"/>
    <n v="51"/>
    <x v="1"/>
    <x v="6"/>
    <x v="0"/>
  </r>
  <r>
    <n v="2279"/>
    <x v="0"/>
    <x v="28"/>
    <n v="2021"/>
    <x v="11"/>
    <n v="2022"/>
    <n v="2"/>
    <x v="3"/>
    <x v="1"/>
    <x v="1"/>
    <n v="46"/>
    <x v="3"/>
    <x v="0"/>
    <x v="1"/>
  </r>
  <r>
    <n v="2280"/>
    <x v="2"/>
    <x v="29"/>
    <n v="2018"/>
    <x v="12"/>
    <n v="2021"/>
    <n v="4"/>
    <x v="1"/>
    <x v="1"/>
    <x v="0"/>
    <n v="53"/>
    <x v="1"/>
    <x v="0"/>
    <x v="2"/>
  </r>
  <r>
    <n v="2281"/>
    <x v="5"/>
    <x v="30"/>
    <n v="2021"/>
    <x v="0"/>
    <s v=" "/>
    <s v=" "/>
    <x v="0"/>
    <x v="0"/>
    <x v="1"/>
    <n v="35"/>
    <x v="4"/>
    <x v="1"/>
    <x v="3"/>
  </r>
  <r>
    <n v="2282"/>
    <x v="0"/>
    <x v="31"/>
    <n v="2024"/>
    <x v="0"/>
    <s v=" "/>
    <s v=" "/>
    <x v="0"/>
    <x v="0"/>
    <x v="0"/>
    <n v="32"/>
    <x v="4"/>
    <x v="0"/>
    <x v="4"/>
  </r>
  <r>
    <n v="2283"/>
    <x v="5"/>
    <x v="32"/>
    <n v="2021"/>
    <x v="0"/>
    <s v=" "/>
    <s v=" "/>
    <x v="0"/>
    <x v="0"/>
    <x v="0"/>
    <n v="46"/>
    <x v="3"/>
    <x v="2"/>
    <x v="5"/>
  </r>
  <r>
    <n v="2284"/>
    <x v="0"/>
    <x v="33"/>
    <n v="2020"/>
    <x v="0"/>
    <s v=" "/>
    <s v=" "/>
    <x v="0"/>
    <x v="0"/>
    <x v="1"/>
    <n v="50"/>
    <x v="1"/>
    <x v="5"/>
    <x v="6"/>
  </r>
  <r>
    <n v="2285"/>
    <x v="2"/>
    <x v="34"/>
    <n v="2018"/>
    <x v="13"/>
    <n v="2022"/>
    <n v="5"/>
    <x v="2"/>
    <x v="1"/>
    <x v="0"/>
    <n v="62"/>
    <x v="2"/>
    <x v="0"/>
    <x v="7"/>
  </r>
  <r>
    <n v="2286"/>
    <x v="2"/>
    <x v="35"/>
    <n v="2018"/>
    <x v="0"/>
    <s v=" "/>
    <s v=" "/>
    <x v="0"/>
    <x v="0"/>
    <x v="1"/>
    <n v="29"/>
    <x v="0"/>
    <x v="1"/>
    <x v="8"/>
  </r>
  <r>
    <n v="2287"/>
    <x v="2"/>
    <x v="36"/>
    <n v="2021"/>
    <x v="14"/>
    <n v="2024"/>
    <n v="4"/>
    <x v="1"/>
    <x v="1"/>
    <x v="1"/>
    <n v="27"/>
    <x v="0"/>
    <x v="1"/>
    <x v="9"/>
  </r>
  <r>
    <n v="2288"/>
    <x v="4"/>
    <x v="37"/>
    <n v="2021"/>
    <x v="15"/>
    <n v="2023"/>
    <n v="3"/>
    <x v="4"/>
    <x v="1"/>
    <x v="0"/>
    <n v="31"/>
    <x v="4"/>
    <x v="2"/>
    <x v="10"/>
  </r>
  <r>
    <n v="2289"/>
    <x v="0"/>
    <x v="38"/>
    <n v="2019"/>
    <x v="16"/>
    <n v="2022"/>
    <n v="4"/>
    <x v="3"/>
    <x v="1"/>
    <x v="0"/>
    <n v="24"/>
    <x v="0"/>
    <x v="3"/>
    <x v="2"/>
  </r>
  <r>
    <n v="2290"/>
    <x v="5"/>
    <x v="39"/>
    <n v="2020"/>
    <x v="0"/>
    <s v=" "/>
    <s v=" "/>
    <x v="0"/>
    <x v="0"/>
    <x v="0"/>
    <n v="37"/>
    <x v="4"/>
    <x v="0"/>
    <x v="4"/>
  </r>
  <r>
    <n v="2291"/>
    <x v="4"/>
    <x v="40"/>
    <n v="2020"/>
    <x v="0"/>
    <s v=" "/>
    <s v=" "/>
    <x v="0"/>
    <x v="0"/>
    <x v="0"/>
    <n v="23"/>
    <x v="0"/>
    <x v="4"/>
    <x v="9"/>
  </r>
  <r>
    <n v="2292"/>
    <x v="4"/>
    <x v="41"/>
    <n v="2024"/>
    <x v="0"/>
    <s v=" "/>
    <s v=" "/>
    <x v="0"/>
    <x v="0"/>
    <x v="0"/>
    <n v="31"/>
    <x v="4"/>
    <x v="0"/>
    <x v="1"/>
  </r>
  <r>
    <n v="2293"/>
    <x v="5"/>
    <x v="42"/>
    <n v="2024"/>
    <x v="0"/>
    <s v=" "/>
    <s v=" "/>
    <x v="0"/>
    <x v="0"/>
    <x v="1"/>
    <n v="52"/>
    <x v="1"/>
    <x v="0"/>
    <x v="2"/>
  </r>
  <r>
    <n v="2294"/>
    <x v="2"/>
    <x v="43"/>
    <n v="2022"/>
    <x v="0"/>
    <s v=" "/>
    <s v=" "/>
    <x v="0"/>
    <x v="0"/>
    <x v="1"/>
    <n v="25"/>
    <x v="0"/>
    <x v="1"/>
    <x v="3"/>
  </r>
  <r>
    <n v="2295"/>
    <x v="1"/>
    <x v="44"/>
    <n v="2023"/>
    <x v="0"/>
    <s v=" "/>
    <s v=" "/>
    <x v="0"/>
    <x v="0"/>
    <x v="1"/>
    <n v="46"/>
    <x v="3"/>
    <x v="0"/>
    <x v="4"/>
  </r>
  <r>
    <n v="2296"/>
    <x v="1"/>
    <x v="45"/>
    <n v="2019"/>
    <x v="17"/>
    <n v="2021"/>
    <n v="3"/>
    <x v="5"/>
    <x v="1"/>
    <x v="1"/>
    <n v="24"/>
    <x v="0"/>
    <x v="2"/>
    <x v="9"/>
  </r>
  <r>
    <n v="2297"/>
    <x v="1"/>
    <x v="46"/>
    <n v="2021"/>
    <x v="18"/>
    <n v="2024"/>
    <n v="4"/>
    <x v="5"/>
    <x v="1"/>
    <x v="1"/>
    <n v="38"/>
    <x v="4"/>
    <x v="5"/>
    <x v="0"/>
  </r>
  <r>
    <n v="2298"/>
    <x v="3"/>
    <x v="47"/>
    <n v="2019"/>
    <x v="0"/>
    <s v=" "/>
    <s v=" "/>
    <x v="0"/>
    <x v="0"/>
    <x v="0"/>
    <n v="49"/>
    <x v="3"/>
    <x v="0"/>
    <x v="2"/>
  </r>
  <r>
    <n v="2299"/>
    <x v="4"/>
    <x v="48"/>
    <n v="2024"/>
    <x v="0"/>
    <s v=" "/>
    <s v=" "/>
    <x v="0"/>
    <x v="0"/>
    <x v="1"/>
    <n v="31"/>
    <x v="4"/>
    <x v="1"/>
    <x v="3"/>
  </r>
  <r>
    <n v="2300"/>
    <x v="0"/>
    <x v="49"/>
    <n v="2018"/>
    <x v="19"/>
    <n v="2022"/>
    <n v="5"/>
    <x v="4"/>
    <x v="1"/>
    <x v="1"/>
    <n v="51"/>
    <x v="1"/>
    <x v="1"/>
    <x v="10"/>
  </r>
  <r>
    <n v="2301"/>
    <x v="0"/>
    <x v="0"/>
    <n v="2018"/>
    <x v="0"/>
    <s v=" "/>
    <s v=" "/>
    <x v="0"/>
    <x v="0"/>
    <x v="1"/>
    <n v="27"/>
    <x v="0"/>
    <x v="2"/>
    <x v="4"/>
  </r>
  <r>
    <n v="2302"/>
    <x v="1"/>
    <x v="1"/>
    <n v="2020"/>
    <x v="0"/>
    <s v=" "/>
    <s v=" "/>
    <x v="0"/>
    <x v="0"/>
    <x v="0"/>
    <n v="22"/>
    <x v="0"/>
    <x v="3"/>
    <x v="9"/>
  </r>
  <r>
    <n v="2303"/>
    <x v="1"/>
    <x v="2"/>
    <n v="2021"/>
    <x v="0"/>
    <s v=" "/>
    <s v=" "/>
    <x v="0"/>
    <x v="0"/>
    <x v="0"/>
    <n v="50"/>
    <x v="1"/>
    <x v="0"/>
    <x v="2"/>
  </r>
  <r>
    <n v="2304"/>
    <x v="1"/>
    <x v="3"/>
    <n v="2023"/>
    <x v="0"/>
    <s v=" "/>
    <s v=" "/>
    <x v="0"/>
    <x v="0"/>
    <x v="1"/>
    <n v="24"/>
    <x v="0"/>
    <x v="4"/>
    <x v="3"/>
  </r>
  <r>
    <n v="2305"/>
    <x v="1"/>
    <x v="4"/>
    <n v="2019"/>
    <x v="1"/>
    <n v="2021"/>
    <n v="3"/>
    <x v="1"/>
    <x v="1"/>
    <x v="0"/>
    <n v="50"/>
    <x v="1"/>
    <x v="0"/>
    <x v="4"/>
  </r>
  <r>
    <n v="2306"/>
    <x v="2"/>
    <x v="5"/>
    <n v="2022"/>
    <x v="2"/>
    <n v="2023"/>
    <n v="2"/>
    <x v="7"/>
    <x v="1"/>
    <x v="0"/>
    <n v="28"/>
    <x v="0"/>
    <x v="0"/>
    <x v="5"/>
  </r>
  <r>
    <n v="2307"/>
    <x v="3"/>
    <x v="6"/>
    <n v="2024"/>
    <x v="0"/>
    <s v=" "/>
    <s v=" "/>
    <x v="0"/>
    <x v="0"/>
    <x v="1"/>
    <n v="40"/>
    <x v="3"/>
    <x v="1"/>
    <x v="6"/>
  </r>
  <r>
    <n v="2308"/>
    <x v="0"/>
    <x v="7"/>
    <n v="2018"/>
    <x v="0"/>
    <s v=" "/>
    <s v=" "/>
    <x v="0"/>
    <x v="0"/>
    <x v="0"/>
    <n v="32"/>
    <x v="4"/>
    <x v="0"/>
    <x v="7"/>
  </r>
  <r>
    <n v="2309"/>
    <x v="1"/>
    <x v="8"/>
    <n v="2023"/>
    <x v="0"/>
    <s v=" "/>
    <s v=" "/>
    <x v="0"/>
    <x v="0"/>
    <x v="0"/>
    <n v="50"/>
    <x v="1"/>
    <x v="2"/>
    <x v="8"/>
  </r>
  <r>
    <n v="2310"/>
    <x v="4"/>
    <x v="9"/>
    <n v="2024"/>
    <x v="0"/>
    <s v=" "/>
    <s v=" "/>
    <x v="0"/>
    <x v="0"/>
    <x v="0"/>
    <n v="24"/>
    <x v="0"/>
    <x v="7"/>
    <x v="9"/>
  </r>
  <r>
    <n v="2311"/>
    <x v="5"/>
    <x v="10"/>
    <n v="2024"/>
    <x v="0"/>
    <s v=" "/>
    <s v=" "/>
    <x v="0"/>
    <x v="0"/>
    <x v="1"/>
    <n v="36"/>
    <x v="4"/>
    <x v="0"/>
    <x v="10"/>
  </r>
  <r>
    <n v="2312"/>
    <x v="3"/>
    <x v="11"/>
    <n v="2021"/>
    <x v="3"/>
    <n v="2024"/>
    <n v="4"/>
    <x v="7"/>
    <x v="1"/>
    <x v="0"/>
    <n v="49"/>
    <x v="3"/>
    <x v="1"/>
    <x v="2"/>
  </r>
  <r>
    <n v="2313"/>
    <x v="0"/>
    <x v="12"/>
    <n v="2018"/>
    <x v="4"/>
    <n v="2020"/>
    <n v="3"/>
    <x v="3"/>
    <x v="1"/>
    <x v="1"/>
    <n v="43"/>
    <x v="3"/>
    <x v="1"/>
    <x v="4"/>
  </r>
  <r>
    <n v="2314"/>
    <x v="1"/>
    <x v="13"/>
    <n v="2024"/>
    <x v="0"/>
    <s v=" "/>
    <s v=" "/>
    <x v="0"/>
    <x v="0"/>
    <x v="1"/>
    <n v="40"/>
    <x v="3"/>
    <x v="2"/>
    <x v="9"/>
  </r>
  <r>
    <n v="2315"/>
    <x v="1"/>
    <x v="14"/>
    <n v="2018"/>
    <x v="0"/>
    <s v=" "/>
    <s v=" "/>
    <x v="0"/>
    <x v="0"/>
    <x v="1"/>
    <n v="42"/>
    <x v="3"/>
    <x v="3"/>
    <x v="1"/>
  </r>
  <r>
    <n v="2316"/>
    <x v="0"/>
    <x v="15"/>
    <n v="2019"/>
    <x v="5"/>
    <n v="2022"/>
    <n v="4"/>
    <x v="4"/>
    <x v="1"/>
    <x v="0"/>
    <n v="35"/>
    <x v="4"/>
    <x v="0"/>
    <x v="2"/>
  </r>
  <r>
    <n v="2317"/>
    <x v="3"/>
    <x v="16"/>
    <n v="2019"/>
    <x v="6"/>
    <n v="2020"/>
    <n v="2"/>
    <x v="7"/>
    <x v="1"/>
    <x v="0"/>
    <n v="31"/>
    <x v="4"/>
    <x v="7"/>
    <x v="3"/>
  </r>
  <r>
    <n v="2318"/>
    <x v="5"/>
    <x v="17"/>
    <n v="2022"/>
    <x v="0"/>
    <s v=" "/>
    <s v=" "/>
    <x v="0"/>
    <x v="0"/>
    <x v="1"/>
    <n v="51"/>
    <x v="1"/>
    <x v="0"/>
    <x v="4"/>
  </r>
  <r>
    <n v="2319"/>
    <x v="0"/>
    <x v="18"/>
    <n v="2024"/>
    <x v="0"/>
    <s v=" "/>
    <s v=" "/>
    <x v="0"/>
    <x v="0"/>
    <x v="1"/>
    <n v="48"/>
    <x v="3"/>
    <x v="0"/>
    <x v="9"/>
  </r>
  <r>
    <n v="2320"/>
    <x v="3"/>
    <x v="19"/>
    <n v="2019"/>
    <x v="7"/>
    <n v="2022"/>
    <n v="4"/>
    <x v="5"/>
    <x v="1"/>
    <x v="0"/>
    <n v="41"/>
    <x v="3"/>
    <x v="1"/>
    <x v="0"/>
  </r>
  <r>
    <n v="2321"/>
    <x v="5"/>
    <x v="20"/>
    <n v="2021"/>
    <x v="8"/>
    <n v="2024"/>
    <n v="4"/>
    <x v="7"/>
    <x v="1"/>
    <x v="0"/>
    <n v="35"/>
    <x v="4"/>
    <x v="0"/>
    <x v="2"/>
  </r>
  <r>
    <n v="2322"/>
    <x v="2"/>
    <x v="21"/>
    <n v="2023"/>
    <x v="9"/>
    <n v="2024"/>
    <n v="2"/>
    <x v="4"/>
    <x v="1"/>
    <x v="0"/>
    <n v="24"/>
    <x v="0"/>
    <x v="2"/>
    <x v="3"/>
  </r>
  <r>
    <n v="2323"/>
    <x v="1"/>
    <x v="22"/>
    <n v="2023"/>
    <x v="0"/>
    <s v=" "/>
    <s v=" "/>
    <x v="0"/>
    <x v="0"/>
    <x v="0"/>
    <n v="41"/>
    <x v="3"/>
    <x v="5"/>
    <x v="10"/>
  </r>
  <r>
    <n v="2324"/>
    <x v="2"/>
    <x v="23"/>
    <n v="2024"/>
    <x v="0"/>
    <s v=" "/>
    <s v=" "/>
    <x v="0"/>
    <x v="0"/>
    <x v="1"/>
    <n v="40"/>
    <x v="3"/>
    <x v="0"/>
    <x v="4"/>
  </r>
  <r>
    <n v="2325"/>
    <x v="0"/>
    <x v="24"/>
    <n v="2019"/>
    <x v="0"/>
    <s v=" "/>
    <s v=" "/>
    <x v="0"/>
    <x v="0"/>
    <x v="0"/>
    <n v="48"/>
    <x v="3"/>
    <x v="1"/>
    <x v="9"/>
  </r>
  <r>
    <n v="2326"/>
    <x v="1"/>
    <x v="25"/>
    <n v="2022"/>
    <x v="0"/>
    <s v=" "/>
    <s v=" "/>
    <x v="0"/>
    <x v="0"/>
    <x v="1"/>
    <n v="52"/>
    <x v="1"/>
    <x v="1"/>
    <x v="0"/>
  </r>
  <r>
    <n v="2327"/>
    <x v="4"/>
    <x v="26"/>
    <n v="2020"/>
    <x v="10"/>
    <n v="2021"/>
    <n v="2"/>
    <x v="6"/>
    <x v="1"/>
    <x v="1"/>
    <n v="33"/>
    <x v="4"/>
    <x v="2"/>
    <x v="1"/>
  </r>
  <r>
    <n v="2328"/>
    <x v="2"/>
    <x v="27"/>
    <n v="2023"/>
    <x v="0"/>
    <s v=" "/>
    <s v=" "/>
    <x v="0"/>
    <x v="0"/>
    <x v="0"/>
    <n v="51"/>
    <x v="1"/>
    <x v="3"/>
    <x v="2"/>
  </r>
  <r>
    <n v="2329"/>
    <x v="0"/>
    <x v="28"/>
    <n v="2021"/>
    <x v="11"/>
    <n v="2022"/>
    <n v="2"/>
    <x v="3"/>
    <x v="1"/>
    <x v="0"/>
    <n v="46"/>
    <x v="3"/>
    <x v="0"/>
    <x v="3"/>
  </r>
  <r>
    <n v="2330"/>
    <x v="2"/>
    <x v="29"/>
    <n v="2018"/>
    <x v="12"/>
    <n v="2021"/>
    <n v="4"/>
    <x v="1"/>
    <x v="1"/>
    <x v="0"/>
    <n v="53"/>
    <x v="1"/>
    <x v="6"/>
    <x v="4"/>
  </r>
  <r>
    <n v="2331"/>
    <x v="5"/>
    <x v="30"/>
    <n v="2021"/>
    <x v="0"/>
    <s v=" "/>
    <s v=" "/>
    <x v="0"/>
    <x v="0"/>
    <x v="1"/>
    <n v="35"/>
    <x v="4"/>
    <x v="0"/>
    <x v="5"/>
  </r>
  <r>
    <n v="2332"/>
    <x v="0"/>
    <x v="31"/>
    <n v="2024"/>
    <x v="0"/>
    <s v=" "/>
    <s v=" "/>
    <x v="0"/>
    <x v="0"/>
    <x v="0"/>
    <n v="32"/>
    <x v="4"/>
    <x v="0"/>
    <x v="6"/>
  </r>
  <r>
    <n v="2333"/>
    <x v="5"/>
    <x v="32"/>
    <n v="2021"/>
    <x v="0"/>
    <s v=" "/>
    <s v=" "/>
    <x v="0"/>
    <x v="0"/>
    <x v="1"/>
    <n v="46"/>
    <x v="3"/>
    <x v="1"/>
    <x v="7"/>
  </r>
  <r>
    <n v="2334"/>
    <x v="0"/>
    <x v="33"/>
    <n v="2020"/>
    <x v="0"/>
    <s v=" "/>
    <s v=" "/>
    <x v="0"/>
    <x v="0"/>
    <x v="0"/>
    <n v="50"/>
    <x v="1"/>
    <x v="0"/>
    <x v="8"/>
  </r>
  <r>
    <n v="2335"/>
    <x v="2"/>
    <x v="34"/>
    <n v="2018"/>
    <x v="13"/>
    <n v="2022"/>
    <n v="5"/>
    <x v="2"/>
    <x v="1"/>
    <x v="0"/>
    <n v="63"/>
    <x v="2"/>
    <x v="2"/>
    <x v="9"/>
  </r>
  <r>
    <n v="2336"/>
    <x v="2"/>
    <x v="35"/>
    <n v="2018"/>
    <x v="0"/>
    <s v=" "/>
    <s v=" "/>
    <x v="0"/>
    <x v="0"/>
    <x v="1"/>
    <n v="29"/>
    <x v="0"/>
    <x v="7"/>
    <x v="10"/>
  </r>
  <r>
    <n v="2337"/>
    <x v="2"/>
    <x v="36"/>
    <n v="2021"/>
    <x v="14"/>
    <n v="2024"/>
    <n v="4"/>
    <x v="1"/>
    <x v="1"/>
    <x v="1"/>
    <n v="27"/>
    <x v="0"/>
    <x v="0"/>
    <x v="2"/>
  </r>
  <r>
    <n v="2338"/>
    <x v="4"/>
    <x v="37"/>
    <n v="2021"/>
    <x v="15"/>
    <n v="2023"/>
    <n v="3"/>
    <x v="4"/>
    <x v="1"/>
    <x v="0"/>
    <n v="31"/>
    <x v="4"/>
    <x v="1"/>
    <x v="4"/>
  </r>
  <r>
    <n v="2339"/>
    <x v="0"/>
    <x v="38"/>
    <n v="2019"/>
    <x v="16"/>
    <n v="2022"/>
    <n v="4"/>
    <x v="7"/>
    <x v="1"/>
    <x v="1"/>
    <n v="24"/>
    <x v="0"/>
    <x v="1"/>
    <x v="9"/>
  </r>
  <r>
    <n v="2340"/>
    <x v="5"/>
    <x v="39"/>
    <n v="2020"/>
    <x v="0"/>
    <s v=" "/>
    <s v=" "/>
    <x v="0"/>
    <x v="0"/>
    <x v="0"/>
    <n v="37"/>
    <x v="4"/>
    <x v="2"/>
    <x v="1"/>
  </r>
  <r>
    <n v="2341"/>
    <x v="4"/>
    <x v="40"/>
    <n v="2020"/>
    <x v="0"/>
    <s v=" "/>
    <s v=" "/>
    <x v="0"/>
    <x v="0"/>
    <x v="0"/>
    <n v="23"/>
    <x v="0"/>
    <x v="3"/>
    <x v="2"/>
  </r>
  <r>
    <n v="2342"/>
    <x v="4"/>
    <x v="41"/>
    <n v="2024"/>
    <x v="0"/>
    <s v=" "/>
    <s v=" "/>
    <x v="0"/>
    <x v="0"/>
    <x v="0"/>
    <n v="31"/>
    <x v="4"/>
    <x v="0"/>
    <x v="3"/>
  </r>
  <r>
    <n v="2343"/>
    <x v="5"/>
    <x v="42"/>
    <n v="2024"/>
    <x v="0"/>
    <s v=" "/>
    <s v=" "/>
    <x v="0"/>
    <x v="0"/>
    <x v="1"/>
    <n v="52"/>
    <x v="1"/>
    <x v="6"/>
    <x v="4"/>
  </r>
  <r>
    <n v="2344"/>
    <x v="2"/>
    <x v="43"/>
    <n v="2022"/>
    <x v="0"/>
    <s v=" "/>
    <s v=" "/>
    <x v="0"/>
    <x v="0"/>
    <x v="0"/>
    <n v="25"/>
    <x v="0"/>
    <x v="0"/>
    <x v="9"/>
  </r>
  <r>
    <n v="2345"/>
    <x v="1"/>
    <x v="44"/>
    <n v="2023"/>
    <x v="0"/>
    <s v=" "/>
    <s v=" "/>
    <x v="0"/>
    <x v="0"/>
    <x v="1"/>
    <n v="46"/>
    <x v="3"/>
    <x v="0"/>
    <x v="0"/>
  </r>
  <r>
    <n v="2346"/>
    <x v="1"/>
    <x v="45"/>
    <n v="2019"/>
    <x v="17"/>
    <n v="2021"/>
    <n v="3"/>
    <x v="5"/>
    <x v="1"/>
    <x v="0"/>
    <n v="24"/>
    <x v="0"/>
    <x v="1"/>
    <x v="2"/>
  </r>
  <r>
    <n v="2347"/>
    <x v="1"/>
    <x v="46"/>
    <n v="2021"/>
    <x v="18"/>
    <n v="2024"/>
    <n v="4"/>
    <x v="5"/>
    <x v="1"/>
    <x v="1"/>
    <n v="38"/>
    <x v="4"/>
    <x v="0"/>
    <x v="3"/>
  </r>
  <r>
    <n v="2348"/>
    <x v="3"/>
    <x v="47"/>
    <n v="2019"/>
    <x v="0"/>
    <s v=" "/>
    <s v=" "/>
    <x v="0"/>
    <x v="0"/>
    <x v="1"/>
    <n v="49"/>
    <x v="3"/>
    <x v="2"/>
    <x v="10"/>
  </r>
  <r>
    <n v="2349"/>
    <x v="4"/>
    <x v="48"/>
    <n v="2024"/>
    <x v="0"/>
    <s v=" "/>
    <s v=" "/>
    <x v="0"/>
    <x v="0"/>
    <x v="0"/>
    <n v="31"/>
    <x v="4"/>
    <x v="7"/>
    <x v="4"/>
  </r>
  <r>
    <n v="2350"/>
    <x v="0"/>
    <x v="49"/>
    <n v="2018"/>
    <x v="19"/>
    <n v="2022"/>
    <n v="5"/>
    <x v="4"/>
    <x v="1"/>
    <x v="1"/>
    <n v="51"/>
    <x v="1"/>
    <x v="0"/>
    <x v="9"/>
  </r>
  <r>
    <n v="2351"/>
    <x v="0"/>
    <x v="0"/>
    <n v="2018"/>
    <x v="0"/>
    <s v=" "/>
    <s v=" "/>
    <x v="0"/>
    <x v="0"/>
    <x v="1"/>
    <n v="27"/>
    <x v="0"/>
    <x v="1"/>
    <x v="2"/>
  </r>
  <r>
    <n v="2352"/>
    <x v="1"/>
    <x v="1"/>
    <n v="2020"/>
    <x v="0"/>
    <s v=" "/>
    <s v=" "/>
    <x v="0"/>
    <x v="0"/>
    <x v="0"/>
    <n v="22"/>
    <x v="0"/>
    <x v="1"/>
    <x v="3"/>
  </r>
  <r>
    <n v="2353"/>
    <x v="1"/>
    <x v="2"/>
    <n v="2021"/>
    <x v="0"/>
    <s v=" "/>
    <s v=" "/>
    <x v="0"/>
    <x v="0"/>
    <x v="0"/>
    <n v="50"/>
    <x v="1"/>
    <x v="2"/>
    <x v="4"/>
  </r>
  <r>
    <n v="2354"/>
    <x v="1"/>
    <x v="3"/>
    <n v="2023"/>
    <x v="0"/>
    <s v=" "/>
    <s v=" "/>
    <x v="0"/>
    <x v="0"/>
    <x v="1"/>
    <n v="24"/>
    <x v="0"/>
    <x v="3"/>
    <x v="5"/>
  </r>
  <r>
    <n v="2355"/>
    <x v="1"/>
    <x v="4"/>
    <n v="2019"/>
    <x v="1"/>
    <n v="2021"/>
    <n v="3"/>
    <x v="7"/>
    <x v="1"/>
    <x v="1"/>
    <n v="50"/>
    <x v="1"/>
    <x v="0"/>
    <x v="6"/>
  </r>
  <r>
    <n v="2356"/>
    <x v="2"/>
    <x v="5"/>
    <n v="2022"/>
    <x v="2"/>
    <n v="2023"/>
    <n v="2"/>
    <x v="7"/>
    <x v="1"/>
    <x v="0"/>
    <n v="28"/>
    <x v="0"/>
    <x v="6"/>
    <x v="7"/>
  </r>
  <r>
    <n v="2357"/>
    <x v="3"/>
    <x v="6"/>
    <n v="2024"/>
    <x v="0"/>
    <s v=" "/>
    <s v=" "/>
    <x v="0"/>
    <x v="0"/>
    <x v="1"/>
    <n v="40"/>
    <x v="3"/>
    <x v="0"/>
    <x v="8"/>
  </r>
  <r>
    <n v="2358"/>
    <x v="0"/>
    <x v="7"/>
    <n v="2018"/>
    <x v="0"/>
    <s v=" "/>
    <s v=" "/>
    <x v="0"/>
    <x v="0"/>
    <x v="0"/>
    <n v="32"/>
    <x v="4"/>
    <x v="0"/>
    <x v="9"/>
  </r>
  <r>
    <n v="2359"/>
    <x v="1"/>
    <x v="8"/>
    <n v="2023"/>
    <x v="0"/>
    <s v=" "/>
    <s v=" "/>
    <x v="0"/>
    <x v="0"/>
    <x v="0"/>
    <n v="50"/>
    <x v="1"/>
    <x v="1"/>
    <x v="10"/>
  </r>
  <r>
    <n v="2360"/>
    <x v="4"/>
    <x v="9"/>
    <n v="2024"/>
    <x v="0"/>
    <s v=" "/>
    <s v=" "/>
    <x v="0"/>
    <x v="0"/>
    <x v="0"/>
    <n v="24"/>
    <x v="0"/>
    <x v="0"/>
    <x v="2"/>
  </r>
  <r>
    <n v="2361"/>
    <x v="5"/>
    <x v="10"/>
    <n v="2024"/>
    <x v="0"/>
    <s v=" "/>
    <s v=" "/>
    <x v="0"/>
    <x v="0"/>
    <x v="1"/>
    <n v="36"/>
    <x v="4"/>
    <x v="2"/>
    <x v="4"/>
  </r>
  <r>
    <n v="2362"/>
    <x v="3"/>
    <x v="11"/>
    <n v="2021"/>
    <x v="3"/>
    <n v="2024"/>
    <n v="4"/>
    <x v="7"/>
    <x v="1"/>
    <x v="0"/>
    <n v="49"/>
    <x v="3"/>
    <x v="5"/>
    <x v="9"/>
  </r>
  <r>
    <n v="2363"/>
    <x v="0"/>
    <x v="12"/>
    <n v="2018"/>
    <x v="4"/>
    <n v="2020"/>
    <n v="3"/>
    <x v="3"/>
    <x v="1"/>
    <x v="1"/>
    <n v="43"/>
    <x v="3"/>
    <x v="0"/>
    <x v="1"/>
  </r>
  <r>
    <n v="2364"/>
    <x v="1"/>
    <x v="13"/>
    <n v="2024"/>
    <x v="0"/>
    <s v=" "/>
    <s v=" "/>
    <x v="0"/>
    <x v="0"/>
    <x v="0"/>
    <n v="40"/>
    <x v="3"/>
    <x v="1"/>
    <x v="2"/>
  </r>
  <r>
    <n v="2365"/>
    <x v="1"/>
    <x v="14"/>
    <n v="2018"/>
    <x v="0"/>
    <s v=" "/>
    <s v=" "/>
    <x v="0"/>
    <x v="0"/>
    <x v="1"/>
    <n v="42"/>
    <x v="3"/>
    <x v="1"/>
    <x v="3"/>
  </r>
  <r>
    <n v="2366"/>
    <x v="0"/>
    <x v="15"/>
    <n v="2019"/>
    <x v="5"/>
    <n v="2022"/>
    <n v="4"/>
    <x v="4"/>
    <x v="1"/>
    <x v="1"/>
    <n v="35"/>
    <x v="4"/>
    <x v="2"/>
    <x v="4"/>
  </r>
  <r>
    <n v="2367"/>
    <x v="3"/>
    <x v="16"/>
    <n v="2019"/>
    <x v="6"/>
    <n v="2020"/>
    <n v="2"/>
    <x v="3"/>
    <x v="1"/>
    <x v="0"/>
    <n v="31"/>
    <x v="4"/>
    <x v="3"/>
    <x v="9"/>
  </r>
  <r>
    <n v="2368"/>
    <x v="5"/>
    <x v="17"/>
    <n v="2022"/>
    <x v="0"/>
    <s v=" "/>
    <s v=" "/>
    <x v="0"/>
    <x v="0"/>
    <x v="1"/>
    <n v="51"/>
    <x v="1"/>
    <x v="0"/>
    <x v="0"/>
  </r>
  <r>
    <n v="2369"/>
    <x v="0"/>
    <x v="18"/>
    <n v="2024"/>
    <x v="0"/>
    <s v=" "/>
    <s v=" "/>
    <x v="0"/>
    <x v="0"/>
    <x v="1"/>
    <n v="48"/>
    <x v="3"/>
    <x v="6"/>
    <x v="2"/>
  </r>
  <r>
    <n v="2370"/>
    <x v="3"/>
    <x v="19"/>
    <n v="2019"/>
    <x v="7"/>
    <n v="2022"/>
    <n v="4"/>
    <x v="5"/>
    <x v="1"/>
    <x v="0"/>
    <n v="41"/>
    <x v="3"/>
    <x v="0"/>
    <x v="3"/>
  </r>
  <r>
    <n v="2371"/>
    <x v="5"/>
    <x v="20"/>
    <n v="2021"/>
    <x v="8"/>
    <n v="2024"/>
    <n v="4"/>
    <x v="7"/>
    <x v="1"/>
    <x v="0"/>
    <n v="35"/>
    <x v="4"/>
    <x v="0"/>
    <x v="10"/>
  </r>
  <r>
    <n v="2372"/>
    <x v="2"/>
    <x v="21"/>
    <n v="2023"/>
    <x v="9"/>
    <n v="2024"/>
    <n v="2"/>
    <x v="4"/>
    <x v="1"/>
    <x v="0"/>
    <n v="24"/>
    <x v="0"/>
    <x v="1"/>
    <x v="4"/>
  </r>
  <r>
    <n v="2373"/>
    <x v="1"/>
    <x v="22"/>
    <n v="2023"/>
    <x v="0"/>
    <s v=" "/>
    <s v=" "/>
    <x v="0"/>
    <x v="0"/>
    <x v="1"/>
    <n v="41"/>
    <x v="3"/>
    <x v="0"/>
    <x v="9"/>
  </r>
  <r>
    <n v="2374"/>
    <x v="2"/>
    <x v="23"/>
    <n v="2024"/>
    <x v="0"/>
    <s v=" "/>
    <s v=" "/>
    <x v="0"/>
    <x v="0"/>
    <x v="1"/>
    <n v="40"/>
    <x v="3"/>
    <x v="2"/>
    <x v="0"/>
  </r>
  <r>
    <n v="2375"/>
    <x v="0"/>
    <x v="24"/>
    <n v="2019"/>
    <x v="0"/>
    <s v=" "/>
    <s v=" "/>
    <x v="0"/>
    <x v="0"/>
    <x v="0"/>
    <n v="48"/>
    <x v="3"/>
    <x v="5"/>
    <x v="1"/>
  </r>
  <r>
    <n v="2376"/>
    <x v="1"/>
    <x v="25"/>
    <n v="2022"/>
    <x v="0"/>
    <s v=" "/>
    <s v=" "/>
    <x v="0"/>
    <x v="0"/>
    <x v="1"/>
    <n v="52"/>
    <x v="1"/>
    <x v="0"/>
    <x v="2"/>
  </r>
  <r>
    <n v="2377"/>
    <x v="4"/>
    <x v="26"/>
    <n v="2020"/>
    <x v="10"/>
    <n v="2021"/>
    <n v="2"/>
    <x v="6"/>
    <x v="1"/>
    <x v="0"/>
    <n v="33"/>
    <x v="4"/>
    <x v="1"/>
    <x v="3"/>
  </r>
  <r>
    <n v="2378"/>
    <x v="2"/>
    <x v="27"/>
    <n v="2023"/>
    <x v="0"/>
    <s v=" "/>
    <s v=" "/>
    <x v="0"/>
    <x v="0"/>
    <x v="0"/>
    <n v="51"/>
    <x v="1"/>
    <x v="1"/>
    <x v="4"/>
  </r>
  <r>
    <n v="2379"/>
    <x v="0"/>
    <x v="28"/>
    <n v="2021"/>
    <x v="11"/>
    <n v="2022"/>
    <n v="2"/>
    <x v="3"/>
    <x v="1"/>
    <x v="0"/>
    <n v="46"/>
    <x v="3"/>
    <x v="2"/>
    <x v="5"/>
  </r>
  <r>
    <n v="2380"/>
    <x v="2"/>
    <x v="29"/>
    <n v="2018"/>
    <x v="12"/>
    <n v="2021"/>
    <n v="4"/>
    <x v="1"/>
    <x v="1"/>
    <x v="1"/>
    <n v="53"/>
    <x v="1"/>
    <x v="3"/>
    <x v="6"/>
  </r>
  <r>
    <n v="2381"/>
    <x v="5"/>
    <x v="30"/>
    <n v="2021"/>
    <x v="0"/>
    <s v=" "/>
    <s v=" "/>
    <x v="0"/>
    <x v="0"/>
    <x v="0"/>
    <n v="35"/>
    <x v="4"/>
    <x v="0"/>
    <x v="7"/>
  </r>
  <r>
    <n v="2382"/>
    <x v="0"/>
    <x v="31"/>
    <n v="2024"/>
    <x v="0"/>
    <s v=" "/>
    <s v=" "/>
    <x v="0"/>
    <x v="0"/>
    <x v="1"/>
    <n v="32"/>
    <x v="4"/>
    <x v="4"/>
    <x v="8"/>
  </r>
  <r>
    <n v="2383"/>
    <x v="5"/>
    <x v="32"/>
    <n v="2021"/>
    <x v="0"/>
    <s v=" "/>
    <s v=" "/>
    <x v="0"/>
    <x v="0"/>
    <x v="0"/>
    <n v="46"/>
    <x v="3"/>
    <x v="0"/>
    <x v="9"/>
  </r>
  <r>
    <n v="2384"/>
    <x v="0"/>
    <x v="33"/>
    <n v="2020"/>
    <x v="0"/>
    <s v=" "/>
    <s v=" "/>
    <x v="0"/>
    <x v="0"/>
    <x v="1"/>
    <n v="50"/>
    <x v="1"/>
    <x v="0"/>
    <x v="10"/>
  </r>
  <r>
    <n v="2385"/>
    <x v="2"/>
    <x v="34"/>
    <n v="2018"/>
    <x v="13"/>
    <n v="2022"/>
    <n v="5"/>
    <x v="2"/>
    <x v="1"/>
    <x v="1"/>
    <n v="62"/>
    <x v="2"/>
    <x v="1"/>
    <x v="2"/>
  </r>
  <r>
    <n v="2386"/>
    <x v="2"/>
    <x v="35"/>
    <n v="2018"/>
    <x v="0"/>
    <s v=" "/>
    <s v=" "/>
    <x v="0"/>
    <x v="0"/>
    <x v="0"/>
    <n v="29"/>
    <x v="0"/>
    <x v="0"/>
    <x v="4"/>
  </r>
  <r>
    <n v="2387"/>
    <x v="2"/>
    <x v="36"/>
    <n v="2021"/>
    <x v="14"/>
    <n v="2024"/>
    <n v="4"/>
    <x v="7"/>
    <x v="1"/>
    <x v="1"/>
    <n v="27"/>
    <x v="0"/>
    <x v="2"/>
    <x v="9"/>
  </r>
  <r>
    <n v="2388"/>
    <x v="4"/>
    <x v="37"/>
    <n v="2021"/>
    <x v="15"/>
    <n v="2023"/>
    <n v="3"/>
    <x v="4"/>
    <x v="1"/>
    <x v="1"/>
    <n v="31"/>
    <x v="4"/>
    <x v="7"/>
    <x v="1"/>
  </r>
  <r>
    <n v="2389"/>
    <x v="0"/>
    <x v="38"/>
    <n v="2019"/>
    <x v="16"/>
    <n v="2022"/>
    <n v="4"/>
    <x v="3"/>
    <x v="1"/>
    <x v="0"/>
    <n v="24"/>
    <x v="0"/>
    <x v="0"/>
    <x v="2"/>
  </r>
  <r>
    <n v="2390"/>
    <x v="5"/>
    <x v="39"/>
    <n v="2020"/>
    <x v="0"/>
    <s v=" "/>
    <s v=" "/>
    <x v="0"/>
    <x v="0"/>
    <x v="0"/>
    <n v="37"/>
    <x v="4"/>
    <x v="1"/>
    <x v="3"/>
  </r>
  <r>
    <n v="2391"/>
    <x v="4"/>
    <x v="40"/>
    <n v="2020"/>
    <x v="0"/>
    <s v=" "/>
    <s v=" "/>
    <x v="0"/>
    <x v="0"/>
    <x v="0"/>
    <n v="23"/>
    <x v="0"/>
    <x v="1"/>
    <x v="4"/>
  </r>
  <r>
    <n v="2392"/>
    <x v="4"/>
    <x v="41"/>
    <n v="2024"/>
    <x v="0"/>
    <s v=" "/>
    <s v=" "/>
    <x v="0"/>
    <x v="0"/>
    <x v="1"/>
    <n v="31"/>
    <x v="4"/>
    <x v="2"/>
    <x v="9"/>
  </r>
  <r>
    <n v="2393"/>
    <x v="5"/>
    <x v="42"/>
    <n v="2024"/>
    <x v="0"/>
    <s v=" "/>
    <s v=" "/>
    <x v="0"/>
    <x v="0"/>
    <x v="1"/>
    <n v="52"/>
    <x v="1"/>
    <x v="3"/>
    <x v="0"/>
  </r>
  <r>
    <n v="2394"/>
    <x v="2"/>
    <x v="43"/>
    <n v="2022"/>
    <x v="0"/>
    <s v=" "/>
    <s v=" "/>
    <x v="0"/>
    <x v="0"/>
    <x v="0"/>
    <n v="25"/>
    <x v="0"/>
    <x v="0"/>
    <x v="2"/>
  </r>
  <r>
    <n v="2395"/>
    <x v="1"/>
    <x v="44"/>
    <n v="2023"/>
    <x v="0"/>
    <s v=" "/>
    <s v=" "/>
    <x v="0"/>
    <x v="0"/>
    <x v="1"/>
    <n v="46"/>
    <x v="3"/>
    <x v="6"/>
    <x v="3"/>
  </r>
  <r>
    <n v="2396"/>
    <x v="1"/>
    <x v="45"/>
    <n v="2019"/>
    <x v="17"/>
    <n v="2021"/>
    <n v="3"/>
    <x v="5"/>
    <x v="1"/>
    <x v="0"/>
    <n v="24"/>
    <x v="0"/>
    <x v="0"/>
    <x v="10"/>
  </r>
  <r>
    <n v="2397"/>
    <x v="1"/>
    <x v="46"/>
    <n v="2021"/>
    <x v="18"/>
    <n v="2024"/>
    <n v="4"/>
    <x v="7"/>
    <x v="1"/>
    <x v="0"/>
    <n v="38"/>
    <x v="4"/>
    <x v="0"/>
    <x v="4"/>
  </r>
  <r>
    <n v="2398"/>
    <x v="3"/>
    <x v="47"/>
    <n v="2019"/>
    <x v="0"/>
    <s v=" "/>
    <s v=" "/>
    <x v="0"/>
    <x v="0"/>
    <x v="0"/>
    <n v="49"/>
    <x v="3"/>
    <x v="1"/>
    <x v="9"/>
  </r>
  <r>
    <n v="2399"/>
    <x v="4"/>
    <x v="48"/>
    <n v="2024"/>
    <x v="0"/>
    <s v=" "/>
    <s v=" "/>
    <x v="0"/>
    <x v="0"/>
    <x v="1"/>
    <n v="31"/>
    <x v="4"/>
    <x v="0"/>
    <x v="4"/>
  </r>
  <r>
    <n v="2400"/>
    <x v="0"/>
    <x v="49"/>
    <n v="2018"/>
    <x v="19"/>
    <n v="2022"/>
    <n v="5"/>
    <x v="4"/>
    <x v="1"/>
    <x v="0"/>
    <n v="51"/>
    <x v="1"/>
    <x v="2"/>
    <x v="5"/>
  </r>
  <r>
    <n v="2401"/>
    <x v="0"/>
    <x v="0"/>
    <n v="2018"/>
    <x v="0"/>
    <s v=" "/>
    <s v=" "/>
    <x v="0"/>
    <x v="0"/>
    <x v="1"/>
    <n v="27"/>
    <x v="0"/>
    <x v="7"/>
    <x v="6"/>
  </r>
  <r>
    <n v="2402"/>
    <x v="1"/>
    <x v="1"/>
    <n v="2020"/>
    <x v="0"/>
    <s v=" "/>
    <s v=" "/>
    <x v="0"/>
    <x v="0"/>
    <x v="0"/>
    <n v="22"/>
    <x v="0"/>
    <x v="0"/>
    <x v="7"/>
  </r>
  <r>
    <n v="2403"/>
    <x v="1"/>
    <x v="2"/>
    <n v="2021"/>
    <x v="0"/>
    <s v=" "/>
    <s v=" "/>
    <x v="0"/>
    <x v="0"/>
    <x v="1"/>
    <n v="50"/>
    <x v="1"/>
    <x v="1"/>
    <x v="8"/>
  </r>
  <r>
    <n v="2404"/>
    <x v="1"/>
    <x v="3"/>
    <n v="2023"/>
    <x v="0"/>
    <s v=" "/>
    <s v=" "/>
    <x v="0"/>
    <x v="0"/>
    <x v="1"/>
    <n v="24"/>
    <x v="0"/>
    <x v="1"/>
    <x v="9"/>
  </r>
  <r>
    <n v="2405"/>
    <x v="1"/>
    <x v="4"/>
    <n v="2019"/>
    <x v="1"/>
    <n v="2021"/>
    <n v="3"/>
    <x v="1"/>
    <x v="1"/>
    <x v="0"/>
    <n v="50"/>
    <x v="1"/>
    <x v="2"/>
    <x v="10"/>
  </r>
  <r>
    <n v="2406"/>
    <x v="2"/>
    <x v="5"/>
    <n v="2022"/>
    <x v="2"/>
    <n v="2023"/>
    <n v="2"/>
    <x v="7"/>
    <x v="1"/>
    <x v="1"/>
    <n v="28"/>
    <x v="0"/>
    <x v="3"/>
    <x v="2"/>
  </r>
  <r>
    <n v="2407"/>
    <x v="3"/>
    <x v="6"/>
    <n v="2024"/>
    <x v="0"/>
    <s v=" "/>
    <s v=" "/>
    <x v="0"/>
    <x v="0"/>
    <x v="1"/>
    <n v="40"/>
    <x v="3"/>
    <x v="0"/>
    <x v="4"/>
  </r>
  <r>
    <n v="2408"/>
    <x v="0"/>
    <x v="7"/>
    <n v="2018"/>
    <x v="0"/>
    <s v=" "/>
    <s v=" "/>
    <x v="0"/>
    <x v="0"/>
    <x v="0"/>
    <n v="32"/>
    <x v="4"/>
    <x v="4"/>
    <x v="9"/>
  </r>
  <r>
    <n v="2409"/>
    <x v="1"/>
    <x v="8"/>
    <n v="2023"/>
    <x v="0"/>
    <s v=" "/>
    <s v=" "/>
    <x v="0"/>
    <x v="0"/>
    <x v="1"/>
    <n v="50"/>
    <x v="1"/>
    <x v="0"/>
    <x v="1"/>
  </r>
  <r>
    <n v="2410"/>
    <x v="4"/>
    <x v="9"/>
    <n v="2024"/>
    <x v="0"/>
    <s v=" "/>
    <s v=" "/>
    <x v="0"/>
    <x v="0"/>
    <x v="1"/>
    <n v="24"/>
    <x v="0"/>
    <x v="0"/>
    <x v="2"/>
  </r>
  <r>
    <n v="2411"/>
    <x v="5"/>
    <x v="10"/>
    <n v="2024"/>
    <x v="0"/>
    <s v=" "/>
    <s v=" "/>
    <x v="0"/>
    <x v="0"/>
    <x v="0"/>
    <n v="36"/>
    <x v="4"/>
    <x v="1"/>
    <x v="3"/>
  </r>
  <r>
    <n v="2412"/>
    <x v="3"/>
    <x v="11"/>
    <n v="2021"/>
    <x v="3"/>
    <n v="2024"/>
    <n v="4"/>
    <x v="7"/>
    <x v="1"/>
    <x v="1"/>
    <n v="49"/>
    <x v="3"/>
    <x v="0"/>
    <x v="4"/>
  </r>
  <r>
    <n v="2413"/>
    <x v="0"/>
    <x v="12"/>
    <n v="2018"/>
    <x v="4"/>
    <n v="2020"/>
    <n v="3"/>
    <x v="7"/>
    <x v="1"/>
    <x v="0"/>
    <n v="43"/>
    <x v="3"/>
    <x v="2"/>
    <x v="9"/>
  </r>
  <r>
    <n v="2414"/>
    <x v="1"/>
    <x v="13"/>
    <n v="2024"/>
    <x v="0"/>
    <s v=" "/>
    <s v=" "/>
    <x v="0"/>
    <x v="0"/>
    <x v="0"/>
    <n v="40"/>
    <x v="3"/>
    <x v="5"/>
    <x v="0"/>
  </r>
  <r>
    <n v="2415"/>
    <x v="1"/>
    <x v="14"/>
    <n v="2018"/>
    <x v="0"/>
    <s v=" "/>
    <s v=" "/>
    <x v="0"/>
    <x v="0"/>
    <x v="0"/>
    <n v="42"/>
    <x v="3"/>
    <x v="0"/>
    <x v="2"/>
  </r>
  <r>
    <n v="2416"/>
    <x v="0"/>
    <x v="15"/>
    <n v="2019"/>
    <x v="5"/>
    <n v="2022"/>
    <n v="4"/>
    <x v="4"/>
    <x v="1"/>
    <x v="1"/>
    <n v="35"/>
    <x v="4"/>
    <x v="1"/>
    <x v="3"/>
  </r>
  <r>
    <n v="2417"/>
    <x v="3"/>
    <x v="16"/>
    <n v="2019"/>
    <x v="6"/>
    <n v="2020"/>
    <n v="2"/>
    <x v="3"/>
    <x v="1"/>
    <x v="0"/>
    <n v="31"/>
    <x v="4"/>
    <x v="1"/>
    <x v="10"/>
  </r>
  <r>
    <n v="2418"/>
    <x v="5"/>
    <x v="17"/>
    <n v="2022"/>
    <x v="0"/>
    <s v=" "/>
    <s v=" "/>
    <x v="0"/>
    <x v="0"/>
    <x v="1"/>
    <n v="51"/>
    <x v="1"/>
    <x v="2"/>
    <x v="4"/>
  </r>
  <r>
    <n v="2419"/>
    <x v="0"/>
    <x v="18"/>
    <n v="2024"/>
    <x v="0"/>
    <s v=" "/>
    <s v=" "/>
    <x v="0"/>
    <x v="0"/>
    <x v="0"/>
    <n v="48"/>
    <x v="3"/>
    <x v="3"/>
    <x v="9"/>
  </r>
  <r>
    <n v="2420"/>
    <x v="3"/>
    <x v="19"/>
    <n v="2019"/>
    <x v="7"/>
    <n v="2022"/>
    <n v="4"/>
    <x v="5"/>
    <x v="1"/>
    <x v="1"/>
    <n v="41"/>
    <x v="3"/>
    <x v="0"/>
    <x v="2"/>
  </r>
  <r>
    <n v="2421"/>
    <x v="5"/>
    <x v="20"/>
    <n v="2021"/>
    <x v="8"/>
    <n v="2024"/>
    <n v="4"/>
    <x v="7"/>
    <x v="1"/>
    <x v="1"/>
    <n v="35"/>
    <x v="4"/>
    <x v="6"/>
    <x v="3"/>
  </r>
  <r>
    <n v="2422"/>
    <x v="2"/>
    <x v="21"/>
    <n v="2023"/>
    <x v="9"/>
    <n v="2024"/>
    <n v="2"/>
    <x v="4"/>
    <x v="1"/>
    <x v="0"/>
    <n v="24"/>
    <x v="0"/>
    <x v="0"/>
    <x v="4"/>
  </r>
  <r>
    <n v="2423"/>
    <x v="1"/>
    <x v="22"/>
    <n v="2023"/>
    <x v="0"/>
    <s v=" "/>
    <s v=" "/>
    <x v="0"/>
    <x v="0"/>
    <x v="1"/>
    <n v="41"/>
    <x v="3"/>
    <x v="0"/>
    <x v="5"/>
  </r>
  <r>
    <n v="2424"/>
    <x v="2"/>
    <x v="23"/>
    <n v="2024"/>
    <x v="0"/>
    <s v=" "/>
    <s v=" "/>
    <x v="0"/>
    <x v="0"/>
    <x v="1"/>
    <n v="40"/>
    <x v="3"/>
    <x v="1"/>
    <x v="6"/>
  </r>
  <r>
    <n v="2425"/>
    <x v="0"/>
    <x v="24"/>
    <n v="2019"/>
    <x v="0"/>
    <s v=" "/>
    <s v=" "/>
    <x v="0"/>
    <x v="0"/>
    <x v="0"/>
    <n v="48"/>
    <x v="3"/>
    <x v="0"/>
    <x v="7"/>
  </r>
  <r>
    <n v="2426"/>
    <x v="1"/>
    <x v="25"/>
    <n v="2022"/>
    <x v="0"/>
    <s v=" "/>
    <s v=" "/>
    <x v="0"/>
    <x v="0"/>
    <x v="1"/>
    <n v="52"/>
    <x v="1"/>
    <x v="2"/>
    <x v="8"/>
  </r>
  <r>
    <n v="2427"/>
    <x v="4"/>
    <x v="26"/>
    <n v="2020"/>
    <x v="10"/>
    <n v="2021"/>
    <n v="2"/>
    <x v="6"/>
    <x v="1"/>
    <x v="1"/>
    <n v="33"/>
    <x v="4"/>
    <x v="7"/>
    <x v="9"/>
  </r>
  <r>
    <n v="2428"/>
    <x v="2"/>
    <x v="27"/>
    <n v="2023"/>
    <x v="0"/>
    <s v=" "/>
    <s v=" "/>
    <x v="0"/>
    <x v="0"/>
    <x v="1"/>
    <n v="51"/>
    <x v="1"/>
    <x v="0"/>
    <x v="10"/>
  </r>
  <r>
    <n v="2429"/>
    <x v="0"/>
    <x v="28"/>
    <n v="2021"/>
    <x v="11"/>
    <n v="2022"/>
    <n v="2"/>
    <x v="7"/>
    <x v="1"/>
    <x v="0"/>
    <n v="46"/>
    <x v="3"/>
    <x v="1"/>
    <x v="2"/>
  </r>
  <r>
    <n v="2430"/>
    <x v="2"/>
    <x v="29"/>
    <n v="2018"/>
    <x v="12"/>
    <n v="2021"/>
    <n v="4"/>
    <x v="1"/>
    <x v="1"/>
    <x v="1"/>
    <n v="53"/>
    <x v="1"/>
    <x v="1"/>
    <x v="4"/>
  </r>
  <r>
    <n v="2431"/>
    <x v="5"/>
    <x v="30"/>
    <n v="2021"/>
    <x v="0"/>
    <s v=" "/>
    <s v=" "/>
    <x v="0"/>
    <x v="0"/>
    <x v="0"/>
    <n v="35"/>
    <x v="4"/>
    <x v="2"/>
    <x v="9"/>
  </r>
  <r>
    <n v="2432"/>
    <x v="0"/>
    <x v="31"/>
    <n v="2024"/>
    <x v="0"/>
    <s v=" "/>
    <s v=" "/>
    <x v="0"/>
    <x v="0"/>
    <x v="0"/>
    <n v="32"/>
    <x v="4"/>
    <x v="3"/>
    <x v="1"/>
  </r>
  <r>
    <n v="2433"/>
    <x v="5"/>
    <x v="32"/>
    <n v="2021"/>
    <x v="0"/>
    <s v=" "/>
    <s v=" "/>
    <x v="0"/>
    <x v="0"/>
    <x v="0"/>
    <n v="46"/>
    <x v="3"/>
    <x v="0"/>
    <x v="2"/>
  </r>
  <r>
    <n v="2434"/>
    <x v="0"/>
    <x v="33"/>
    <n v="2020"/>
    <x v="0"/>
    <s v=" "/>
    <s v=" "/>
    <x v="0"/>
    <x v="0"/>
    <x v="1"/>
    <n v="50"/>
    <x v="1"/>
    <x v="6"/>
    <x v="3"/>
  </r>
  <r>
    <n v="2435"/>
    <x v="2"/>
    <x v="34"/>
    <n v="2018"/>
    <x v="13"/>
    <n v="2022"/>
    <n v="5"/>
    <x v="2"/>
    <x v="1"/>
    <x v="0"/>
    <n v="61"/>
    <x v="2"/>
    <x v="0"/>
    <x v="4"/>
  </r>
  <r>
    <n v="2436"/>
    <x v="2"/>
    <x v="35"/>
    <n v="2018"/>
    <x v="0"/>
    <s v=" "/>
    <s v=" "/>
    <x v="0"/>
    <x v="0"/>
    <x v="1"/>
    <n v="29"/>
    <x v="0"/>
    <x v="0"/>
    <x v="9"/>
  </r>
  <r>
    <n v="2437"/>
    <x v="2"/>
    <x v="36"/>
    <n v="2021"/>
    <x v="14"/>
    <n v="2024"/>
    <n v="4"/>
    <x v="1"/>
    <x v="1"/>
    <x v="0"/>
    <n v="27"/>
    <x v="0"/>
    <x v="1"/>
    <x v="0"/>
  </r>
  <r>
    <n v="2438"/>
    <x v="4"/>
    <x v="37"/>
    <n v="2021"/>
    <x v="15"/>
    <n v="2023"/>
    <n v="3"/>
    <x v="4"/>
    <x v="1"/>
    <x v="1"/>
    <n v="31"/>
    <x v="4"/>
    <x v="0"/>
    <x v="2"/>
  </r>
  <r>
    <n v="2439"/>
    <x v="0"/>
    <x v="38"/>
    <n v="2019"/>
    <x v="16"/>
    <n v="2022"/>
    <n v="4"/>
    <x v="3"/>
    <x v="1"/>
    <x v="1"/>
    <n v="24"/>
    <x v="0"/>
    <x v="2"/>
    <x v="3"/>
  </r>
  <r>
    <n v="2440"/>
    <x v="5"/>
    <x v="39"/>
    <n v="2020"/>
    <x v="0"/>
    <s v=" "/>
    <s v=" "/>
    <x v="0"/>
    <x v="0"/>
    <x v="0"/>
    <n v="37"/>
    <x v="4"/>
    <x v="5"/>
    <x v="10"/>
  </r>
  <r>
    <n v="2441"/>
    <x v="4"/>
    <x v="40"/>
    <n v="2020"/>
    <x v="0"/>
    <s v=" "/>
    <s v=" "/>
    <x v="0"/>
    <x v="0"/>
    <x v="1"/>
    <n v="23"/>
    <x v="0"/>
    <x v="0"/>
    <x v="4"/>
  </r>
  <r>
    <n v="2442"/>
    <x v="4"/>
    <x v="41"/>
    <n v="2024"/>
    <x v="0"/>
    <s v=" "/>
    <s v=" "/>
    <x v="0"/>
    <x v="0"/>
    <x v="1"/>
    <n v="31"/>
    <x v="4"/>
    <x v="1"/>
    <x v="9"/>
  </r>
  <r>
    <n v="2443"/>
    <x v="5"/>
    <x v="42"/>
    <n v="2024"/>
    <x v="0"/>
    <s v=" "/>
    <s v=" "/>
    <x v="0"/>
    <x v="0"/>
    <x v="0"/>
    <n v="52"/>
    <x v="1"/>
    <x v="1"/>
    <x v="0"/>
  </r>
  <r>
    <n v="2444"/>
    <x v="2"/>
    <x v="43"/>
    <n v="2022"/>
    <x v="0"/>
    <s v=" "/>
    <s v=" "/>
    <x v="0"/>
    <x v="0"/>
    <x v="1"/>
    <n v="25"/>
    <x v="0"/>
    <x v="2"/>
    <x v="1"/>
  </r>
  <r>
    <n v="2445"/>
    <x v="1"/>
    <x v="44"/>
    <n v="2023"/>
    <x v="0"/>
    <s v=" "/>
    <s v=" "/>
    <x v="0"/>
    <x v="0"/>
    <x v="1"/>
    <n v="46"/>
    <x v="3"/>
    <x v="3"/>
    <x v="2"/>
  </r>
  <r>
    <n v="2446"/>
    <x v="1"/>
    <x v="45"/>
    <n v="2019"/>
    <x v="17"/>
    <n v="2021"/>
    <n v="3"/>
    <x v="5"/>
    <x v="1"/>
    <x v="1"/>
    <n v="24"/>
    <x v="0"/>
    <x v="0"/>
    <x v="3"/>
  </r>
  <r>
    <n v="2447"/>
    <x v="1"/>
    <x v="46"/>
    <n v="2021"/>
    <x v="18"/>
    <n v="2024"/>
    <n v="4"/>
    <x v="5"/>
    <x v="1"/>
    <x v="0"/>
    <n v="38"/>
    <x v="4"/>
    <x v="6"/>
    <x v="4"/>
  </r>
  <r>
    <n v="2448"/>
    <x v="3"/>
    <x v="47"/>
    <n v="2019"/>
    <x v="0"/>
    <s v=" "/>
    <s v=" "/>
    <x v="0"/>
    <x v="0"/>
    <x v="1"/>
    <n v="49"/>
    <x v="3"/>
    <x v="0"/>
    <x v="5"/>
  </r>
  <r>
    <n v="2449"/>
    <x v="4"/>
    <x v="48"/>
    <n v="2024"/>
    <x v="0"/>
    <s v=" "/>
    <s v=" "/>
    <x v="0"/>
    <x v="0"/>
    <x v="0"/>
    <n v="31"/>
    <x v="4"/>
    <x v="0"/>
    <x v="6"/>
  </r>
  <r>
    <n v="2450"/>
    <x v="0"/>
    <x v="49"/>
    <n v="2018"/>
    <x v="19"/>
    <n v="2022"/>
    <n v="5"/>
    <x v="4"/>
    <x v="1"/>
    <x v="0"/>
    <n v="51"/>
    <x v="1"/>
    <x v="1"/>
    <x v="7"/>
  </r>
  <r>
    <n v="2451"/>
    <x v="0"/>
    <x v="0"/>
    <n v="2018"/>
    <x v="0"/>
    <s v=" "/>
    <s v=" "/>
    <x v="0"/>
    <x v="0"/>
    <x v="0"/>
    <n v="27"/>
    <x v="0"/>
    <x v="0"/>
    <x v="8"/>
  </r>
  <r>
    <n v="2452"/>
    <x v="1"/>
    <x v="1"/>
    <n v="2020"/>
    <x v="0"/>
    <s v=" "/>
    <s v=" "/>
    <x v="0"/>
    <x v="0"/>
    <x v="0"/>
    <n v="22"/>
    <x v="0"/>
    <x v="2"/>
    <x v="9"/>
  </r>
  <r>
    <n v="2453"/>
    <x v="1"/>
    <x v="2"/>
    <n v="2021"/>
    <x v="0"/>
    <s v=" "/>
    <s v=" "/>
    <x v="0"/>
    <x v="0"/>
    <x v="1"/>
    <n v="50"/>
    <x v="1"/>
    <x v="5"/>
    <x v="10"/>
  </r>
  <r>
    <n v="2454"/>
    <x v="1"/>
    <x v="3"/>
    <n v="2023"/>
    <x v="0"/>
    <s v=" "/>
    <s v=" "/>
    <x v="0"/>
    <x v="0"/>
    <x v="1"/>
    <n v="24"/>
    <x v="0"/>
    <x v="0"/>
    <x v="2"/>
  </r>
  <r>
    <n v="2455"/>
    <x v="1"/>
    <x v="4"/>
    <n v="2019"/>
    <x v="1"/>
    <n v="2021"/>
    <n v="3"/>
    <x v="1"/>
    <x v="1"/>
    <x v="0"/>
    <n v="50"/>
    <x v="1"/>
    <x v="1"/>
    <x v="4"/>
  </r>
  <r>
    <n v="2456"/>
    <x v="2"/>
    <x v="5"/>
    <n v="2022"/>
    <x v="2"/>
    <n v="2023"/>
    <n v="2"/>
    <x v="7"/>
    <x v="1"/>
    <x v="0"/>
    <n v="28"/>
    <x v="0"/>
    <x v="1"/>
    <x v="9"/>
  </r>
  <r>
    <n v="2457"/>
    <x v="3"/>
    <x v="6"/>
    <n v="2024"/>
    <x v="0"/>
    <s v=" "/>
    <s v=" "/>
    <x v="0"/>
    <x v="0"/>
    <x v="0"/>
    <n v="40"/>
    <x v="3"/>
    <x v="2"/>
    <x v="1"/>
  </r>
  <r>
    <n v="2458"/>
    <x v="0"/>
    <x v="7"/>
    <n v="2018"/>
    <x v="0"/>
    <s v=" "/>
    <s v=" "/>
    <x v="0"/>
    <x v="0"/>
    <x v="1"/>
    <n v="32"/>
    <x v="4"/>
    <x v="3"/>
    <x v="2"/>
  </r>
  <r>
    <n v="2459"/>
    <x v="1"/>
    <x v="8"/>
    <n v="2023"/>
    <x v="0"/>
    <s v=" "/>
    <s v=" "/>
    <x v="0"/>
    <x v="0"/>
    <x v="0"/>
    <n v="50"/>
    <x v="1"/>
    <x v="0"/>
    <x v="3"/>
  </r>
  <r>
    <n v="2460"/>
    <x v="4"/>
    <x v="9"/>
    <n v="2024"/>
    <x v="0"/>
    <s v=" "/>
    <s v=" "/>
    <x v="0"/>
    <x v="0"/>
    <x v="0"/>
    <n v="24"/>
    <x v="0"/>
    <x v="4"/>
    <x v="4"/>
  </r>
  <r>
    <n v="2461"/>
    <x v="5"/>
    <x v="10"/>
    <n v="2024"/>
    <x v="0"/>
    <s v=" "/>
    <s v=" "/>
    <x v="0"/>
    <x v="0"/>
    <x v="1"/>
    <n v="36"/>
    <x v="4"/>
    <x v="0"/>
    <x v="9"/>
  </r>
  <r>
    <n v="2462"/>
    <x v="3"/>
    <x v="11"/>
    <n v="2021"/>
    <x v="3"/>
    <n v="2024"/>
    <n v="4"/>
    <x v="7"/>
    <x v="1"/>
    <x v="0"/>
    <n v="49"/>
    <x v="3"/>
    <x v="0"/>
    <x v="0"/>
  </r>
  <r>
    <n v="2463"/>
    <x v="0"/>
    <x v="12"/>
    <n v="2018"/>
    <x v="4"/>
    <n v="2020"/>
    <n v="3"/>
    <x v="3"/>
    <x v="1"/>
    <x v="1"/>
    <n v="43"/>
    <x v="3"/>
    <x v="1"/>
    <x v="2"/>
  </r>
  <r>
    <n v="2464"/>
    <x v="1"/>
    <x v="13"/>
    <n v="2024"/>
    <x v="0"/>
    <s v=" "/>
    <s v=" "/>
    <x v="0"/>
    <x v="0"/>
    <x v="1"/>
    <n v="40"/>
    <x v="3"/>
    <x v="0"/>
    <x v="3"/>
  </r>
  <r>
    <n v="2465"/>
    <x v="1"/>
    <x v="14"/>
    <n v="2018"/>
    <x v="0"/>
    <s v=" "/>
    <s v=" "/>
    <x v="0"/>
    <x v="0"/>
    <x v="0"/>
    <n v="42"/>
    <x v="3"/>
    <x v="2"/>
    <x v="10"/>
  </r>
  <r>
    <n v="2466"/>
    <x v="0"/>
    <x v="15"/>
    <n v="2019"/>
    <x v="5"/>
    <n v="2022"/>
    <n v="4"/>
    <x v="4"/>
    <x v="1"/>
    <x v="0"/>
    <n v="35"/>
    <x v="4"/>
    <x v="5"/>
    <x v="4"/>
  </r>
  <r>
    <n v="2467"/>
    <x v="3"/>
    <x v="16"/>
    <n v="2019"/>
    <x v="6"/>
    <n v="2020"/>
    <n v="2"/>
    <x v="7"/>
    <x v="1"/>
    <x v="0"/>
    <n v="31"/>
    <x v="4"/>
    <x v="0"/>
    <x v="9"/>
  </r>
  <r>
    <n v="2468"/>
    <x v="5"/>
    <x v="17"/>
    <n v="2022"/>
    <x v="0"/>
    <s v=" "/>
    <s v=" "/>
    <x v="0"/>
    <x v="0"/>
    <x v="1"/>
    <n v="51"/>
    <x v="1"/>
    <x v="1"/>
    <x v="2"/>
  </r>
  <r>
    <n v="2469"/>
    <x v="0"/>
    <x v="18"/>
    <n v="2024"/>
    <x v="0"/>
    <s v=" "/>
    <s v=" "/>
    <x v="0"/>
    <x v="0"/>
    <x v="1"/>
    <n v="48"/>
    <x v="3"/>
    <x v="1"/>
    <x v="3"/>
  </r>
  <r>
    <n v="2470"/>
    <x v="3"/>
    <x v="19"/>
    <n v="2019"/>
    <x v="7"/>
    <n v="2022"/>
    <n v="4"/>
    <x v="5"/>
    <x v="1"/>
    <x v="0"/>
    <n v="41"/>
    <x v="3"/>
    <x v="2"/>
    <x v="4"/>
  </r>
  <r>
    <n v="2471"/>
    <x v="5"/>
    <x v="20"/>
    <n v="2021"/>
    <x v="8"/>
    <n v="2024"/>
    <n v="4"/>
    <x v="7"/>
    <x v="1"/>
    <x v="1"/>
    <n v="35"/>
    <x v="4"/>
    <x v="3"/>
    <x v="5"/>
  </r>
  <r>
    <n v="2472"/>
    <x v="2"/>
    <x v="21"/>
    <n v="2023"/>
    <x v="9"/>
    <n v="2024"/>
    <n v="2"/>
    <x v="4"/>
    <x v="1"/>
    <x v="1"/>
    <n v="24"/>
    <x v="0"/>
    <x v="0"/>
    <x v="6"/>
  </r>
  <r>
    <n v="2473"/>
    <x v="1"/>
    <x v="22"/>
    <n v="2023"/>
    <x v="0"/>
    <s v=" "/>
    <s v=" "/>
    <x v="0"/>
    <x v="0"/>
    <x v="0"/>
    <n v="41"/>
    <x v="3"/>
    <x v="4"/>
    <x v="7"/>
  </r>
  <r>
    <n v="2474"/>
    <x v="2"/>
    <x v="23"/>
    <n v="2024"/>
    <x v="0"/>
    <s v=" "/>
    <s v=" "/>
    <x v="0"/>
    <x v="0"/>
    <x v="0"/>
    <n v="40"/>
    <x v="3"/>
    <x v="0"/>
    <x v="8"/>
  </r>
  <r>
    <n v="2475"/>
    <x v="0"/>
    <x v="24"/>
    <n v="2019"/>
    <x v="0"/>
    <s v=" "/>
    <s v=" "/>
    <x v="0"/>
    <x v="0"/>
    <x v="0"/>
    <n v="48"/>
    <x v="3"/>
    <x v="0"/>
    <x v="9"/>
  </r>
  <r>
    <n v="2476"/>
    <x v="1"/>
    <x v="25"/>
    <n v="2022"/>
    <x v="0"/>
    <s v=" "/>
    <s v=" "/>
    <x v="0"/>
    <x v="0"/>
    <x v="0"/>
    <n v="52"/>
    <x v="1"/>
    <x v="1"/>
    <x v="10"/>
  </r>
  <r>
    <n v="2477"/>
    <x v="4"/>
    <x v="26"/>
    <n v="2020"/>
    <x v="10"/>
    <n v="2021"/>
    <n v="2"/>
    <x v="7"/>
    <x v="1"/>
    <x v="1"/>
    <n v="33"/>
    <x v="4"/>
    <x v="0"/>
    <x v="2"/>
  </r>
  <r>
    <n v="2478"/>
    <x v="2"/>
    <x v="27"/>
    <n v="2023"/>
    <x v="0"/>
    <s v=" "/>
    <s v=" "/>
    <x v="0"/>
    <x v="0"/>
    <x v="1"/>
    <n v="51"/>
    <x v="1"/>
    <x v="2"/>
    <x v="4"/>
  </r>
  <r>
    <n v="2479"/>
    <x v="0"/>
    <x v="28"/>
    <n v="2021"/>
    <x v="11"/>
    <n v="2022"/>
    <n v="2"/>
    <x v="3"/>
    <x v="1"/>
    <x v="1"/>
    <n v="46"/>
    <x v="3"/>
    <x v="5"/>
    <x v="9"/>
  </r>
  <r>
    <n v="2480"/>
    <x v="2"/>
    <x v="29"/>
    <n v="2018"/>
    <x v="12"/>
    <n v="2021"/>
    <n v="4"/>
    <x v="1"/>
    <x v="1"/>
    <x v="0"/>
    <n v="53"/>
    <x v="1"/>
    <x v="0"/>
    <x v="1"/>
  </r>
  <r>
    <n v="2481"/>
    <x v="5"/>
    <x v="30"/>
    <n v="2021"/>
    <x v="0"/>
    <s v=" "/>
    <s v=" "/>
    <x v="0"/>
    <x v="0"/>
    <x v="1"/>
    <n v="35"/>
    <x v="4"/>
    <x v="1"/>
    <x v="2"/>
  </r>
  <r>
    <n v="2482"/>
    <x v="0"/>
    <x v="31"/>
    <n v="2024"/>
    <x v="0"/>
    <s v=" "/>
    <s v=" "/>
    <x v="0"/>
    <x v="0"/>
    <x v="1"/>
    <n v="32"/>
    <x v="4"/>
    <x v="1"/>
    <x v="3"/>
  </r>
  <r>
    <n v="2483"/>
    <x v="5"/>
    <x v="32"/>
    <n v="2021"/>
    <x v="0"/>
    <s v=" "/>
    <s v=" "/>
    <x v="0"/>
    <x v="0"/>
    <x v="0"/>
    <n v="46"/>
    <x v="3"/>
    <x v="2"/>
    <x v="4"/>
  </r>
  <r>
    <n v="2484"/>
    <x v="0"/>
    <x v="33"/>
    <n v="2020"/>
    <x v="0"/>
    <s v=" "/>
    <s v=" "/>
    <x v="0"/>
    <x v="0"/>
    <x v="1"/>
    <n v="50"/>
    <x v="1"/>
    <x v="3"/>
    <x v="9"/>
  </r>
  <r>
    <n v="2485"/>
    <x v="2"/>
    <x v="34"/>
    <n v="2018"/>
    <x v="13"/>
    <n v="2022"/>
    <n v="5"/>
    <x v="2"/>
    <x v="1"/>
    <x v="1"/>
    <n v="63"/>
    <x v="2"/>
    <x v="0"/>
    <x v="0"/>
  </r>
  <r>
    <n v="2486"/>
    <x v="2"/>
    <x v="35"/>
    <n v="2018"/>
    <x v="0"/>
    <s v=" "/>
    <s v=" "/>
    <x v="0"/>
    <x v="0"/>
    <x v="1"/>
    <n v="29"/>
    <x v="0"/>
    <x v="4"/>
    <x v="2"/>
  </r>
  <r>
    <n v="2487"/>
    <x v="2"/>
    <x v="36"/>
    <n v="2021"/>
    <x v="14"/>
    <n v="2024"/>
    <n v="4"/>
    <x v="1"/>
    <x v="1"/>
    <x v="0"/>
    <n v="27"/>
    <x v="0"/>
    <x v="0"/>
    <x v="3"/>
  </r>
  <r>
    <n v="2488"/>
    <x v="4"/>
    <x v="37"/>
    <n v="2021"/>
    <x v="15"/>
    <n v="2023"/>
    <n v="3"/>
    <x v="4"/>
    <x v="1"/>
    <x v="0"/>
    <n v="31"/>
    <x v="4"/>
    <x v="0"/>
    <x v="10"/>
  </r>
  <r>
    <n v="2489"/>
    <x v="0"/>
    <x v="38"/>
    <n v="2019"/>
    <x v="16"/>
    <n v="2022"/>
    <n v="4"/>
    <x v="3"/>
    <x v="1"/>
    <x v="1"/>
    <n v="24"/>
    <x v="0"/>
    <x v="1"/>
    <x v="4"/>
  </r>
  <r>
    <n v="2490"/>
    <x v="5"/>
    <x v="39"/>
    <n v="2020"/>
    <x v="0"/>
    <s v=" "/>
    <s v=" "/>
    <x v="0"/>
    <x v="0"/>
    <x v="1"/>
    <n v="37"/>
    <x v="4"/>
    <x v="0"/>
    <x v="9"/>
  </r>
  <r>
    <n v="2491"/>
    <x v="4"/>
    <x v="40"/>
    <n v="2020"/>
    <x v="0"/>
    <s v=" "/>
    <s v=" "/>
    <x v="0"/>
    <x v="0"/>
    <x v="0"/>
    <n v="23"/>
    <x v="0"/>
    <x v="2"/>
    <x v="0"/>
  </r>
  <r>
    <n v="2492"/>
    <x v="4"/>
    <x v="41"/>
    <n v="2024"/>
    <x v="0"/>
    <s v=" "/>
    <s v=" "/>
    <x v="0"/>
    <x v="0"/>
    <x v="1"/>
    <n v="31"/>
    <x v="4"/>
    <x v="7"/>
    <x v="1"/>
  </r>
  <r>
    <n v="2493"/>
    <x v="5"/>
    <x v="42"/>
    <n v="2024"/>
    <x v="0"/>
    <s v=" "/>
    <s v=" "/>
    <x v="0"/>
    <x v="0"/>
    <x v="1"/>
    <n v="52"/>
    <x v="1"/>
    <x v="0"/>
    <x v="2"/>
  </r>
  <r>
    <n v="2494"/>
    <x v="2"/>
    <x v="43"/>
    <n v="2022"/>
    <x v="0"/>
    <s v=" "/>
    <s v=" "/>
    <x v="0"/>
    <x v="0"/>
    <x v="1"/>
    <n v="25"/>
    <x v="0"/>
    <x v="1"/>
    <x v="3"/>
  </r>
  <r>
    <n v="2495"/>
    <x v="1"/>
    <x v="44"/>
    <n v="2023"/>
    <x v="0"/>
    <s v=" "/>
    <s v=" "/>
    <x v="0"/>
    <x v="0"/>
    <x v="0"/>
    <n v="46"/>
    <x v="3"/>
    <x v="1"/>
    <x v="4"/>
  </r>
  <r>
    <n v="2496"/>
    <x v="1"/>
    <x v="45"/>
    <n v="2019"/>
    <x v="17"/>
    <n v="2021"/>
    <n v="3"/>
    <x v="5"/>
    <x v="1"/>
    <x v="0"/>
    <n v="24"/>
    <x v="0"/>
    <x v="2"/>
    <x v="5"/>
  </r>
  <r>
    <n v="2497"/>
    <x v="1"/>
    <x v="46"/>
    <n v="2021"/>
    <x v="18"/>
    <n v="2024"/>
    <n v="4"/>
    <x v="5"/>
    <x v="1"/>
    <x v="1"/>
    <n v="38"/>
    <x v="4"/>
    <x v="3"/>
    <x v="6"/>
  </r>
  <r>
    <n v="2498"/>
    <x v="3"/>
    <x v="47"/>
    <n v="2019"/>
    <x v="0"/>
    <s v=" "/>
    <s v=" "/>
    <x v="0"/>
    <x v="0"/>
    <x v="1"/>
    <n v="49"/>
    <x v="3"/>
    <x v="0"/>
    <x v="3"/>
  </r>
  <r>
    <n v="2499"/>
    <x v="4"/>
    <x v="48"/>
    <n v="2024"/>
    <x v="0"/>
    <s v=" "/>
    <s v=" "/>
    <x v="0"/>
    <x v="0"/>
    <x v="1"/>
    <n v="31"/>
    <x v="4"/>
    <x v="4"/>
    <x v="0"/>
  </r>
  <r>
    <n v="2500"/>
    <x v="0"/>
    <x v="49"/>
    <n v="2018"/>
    <x v="19"/>
    <n v="2022"/>
    <n v="5"/>
    <x v="4"/>
    <x v="1"/>
    <x v="0"/>
    <n v="5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61022C-905C-4096-8395-96A78BCE376A}"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2:J13"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showAll="0"/>
    <pivotField axis="axisRow"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11">
    <i>
      <x/>
    </i>
    <i>
      <x v="1"/>
    </i>
    <i>
      <x v="2"/>
    </i>
    <i>
      <x v="3"/>
    </i>
    <i>
      <x v="4"/>
    </i>
    <i>
      <x v="5"/>
    </i>
    <i>
      <x v="6"/>
    </i>
    <i>
      <x v="7"/>
    </i>
    <i>
      <x v="8"/>
    </i>
    <i>
      <x v="9"/>
    </i>
    <i>
      <x v="10"/>
    </i>
  </rowItems>
  <colItems count="1">
    <i/>
  </colItems>
  <dataFields count="1">
    <dataField name="Count of Employee ID" fld="0" subtotal="count" baseField="1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6B5703-0FED-4899-832D-ADC7EFFC14A2}" name="PivotTable4"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14:F16"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9"/>
  </rowFields>
  <rowItems count="2">
    <i>
      <x/>
    </i>
    <i>
      <x v="1"/>
    </i>
  </rowItems>
  <colItems count="1">
    <i/>
  </colItems>
  <dataFields count="1">
    <dataField name="Count of Employee 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377B5-EB45-4190-89BB-E815CF762F1F}" name="PivotTable1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M20:O27" firstHeaderRow="1" firstDataRow="2" firstDataCol="1" rowPageCount="1" colPageCount="1"/>
  <pivotFields count="17">
    <pivotField showAll="0"/>
    <pivotField axis="axisRow" showAll="0">
      <items count="7">
        <item x="1"/>
        <item x="3"/>
        <item x="5"/>
        <item x="0"/>
        <item x="2"/>
        <item x="4"/>
        <item t="default"/>
      </items>
    </pivotField>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axis="axisPage" showAll="0">
      <items count="21">
        <item sd="0" x="0"/>
        <item x="4"/>
        <item x="6"/>
        <item x="17"/>
        <item x="12"/>
        <item x="1"/>
        <item x="10"/>
        <item x="5"/>
        <item x="19"/>
        <item x="11"/>
        <item x="13"/>
        <item x="7"/>
        <item x="16"/>
        <item x="2"/>
        <item x="15"/>
        <item x="3"/>
        <item x="8"/>
        <item x="9"/>
        <item x="18"/>
        <item x="14"/>
        <item t="default"/>
      </items>
    </pivotField>
    <pivotField showAll="0"/>
    <pivotField showAll="0"/>
    <pivotField showAll="0"/>
    <pivotField axis="axisCol" dataField="1" showAll="0">
      <items count="3">
        <item x="0"/>
        <item x="1"/>
        <item t="default"/>
      </items>
    </pivotField>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x="1"/>
        <item sd="0" x="2"/>
        <item sd="0" x="3"/>
        <item sd="0" x="4"/>
        <item sd="0" x="5"/>
        <item sd="0" x="6"/>
        <item sd="0" x="7"/>
        <item sd="0" x="8"/>
        <item t="default"/>
      </items>
    </pivotField>
  </pivotFields>
  <rowFields count="1">
    <field x="1"/>
  </rowFields>
  <rowItems count="6">
    <i>
      <x/>
    </i>
    <i>
      <x v="1"/>
    </i>
    <i>
      <x v="2"/>
    </i>
    <i>
      <x v="3"/>
    </i>
    <i>
      <x v="4"/>
    </i>
    <i>
      <x v="5"/>
    </i>
  </rowItems>
  <colFields count="1">
    <field x="8"/>
  </colFields>
  <colItems count="2">
    <i>
      <x/>
    </i>
    <i>
      <x v="1"/>
    </i>
  </colItems>
  <pageFields count="1">
    <pageField fld="4" hier="-1"/>
  </pageFields>
  <dataFields count="1">
    <dataField name="Count of Status" fld="8" subtotal="count" baseField="0" baseItem="0"/>
  </dataFields>
  <chartFormats count="15">
    <chartFormat chart="5" format="22" series="1">
      <pivotArea type="data" outline="0" fieldPosition="0">
        <references count="2">
          <reference field="4294967294" count="1" selected="0">
            <x v="0"/>
          </reference>
          <reference field="8" count="1" selected="0">
            <x v="0"/>
          </reference>
        </references>
      </pivotArea>
    </chartFormat>
    <chartFormat chart="5" format="23">
      <pivotArea type="data" outline="0" fieldPosition="0">
        <references count="3">
          <reference field="4294967294" count="1" selected="0">
            <x v="0"/>
          </reference>
          <reference field="1" count="1" selected="0">
            <x v="0"/>
          </reference>
          <reference field="8" count="1" selected="0">
            <x v="0"/>
          </reference>
        </references>
      </pivotArea>
    </chartFormat>
    <chartFormat chart="5" format="24">
      <pivotArea type="data" outline="0" fieldPosition="0">
        <references count="3">
          <reference field="4294967294" count="1" selected="0">
            <x v="0"/>
          </reference>
          <reference field="1" count="1" selected="0">
            <x v="1"/>
          </reference>
          <reference field="8" count="1" selected="0">
            <x v="0"/>
          </reference>
        </references>
      </pivotArea>
    </chartFormat>
    <chartFormat chart="5" format="25">
      <pivotArea type="data" outline="0" fieldPosition="0">
        <references count="3">
          <reference field="4294967294" count="1" selected="0">
            <x v="0"/>
          </reference>
          <reference field="1" count="1" selected="0">
            <x v="2"/>
          </reference>
          <reference field="8" count="1" selected="0">
            <x v="0"/>
          </reference>
        </references>
      </pivotArea>
    </chartFormat>
    <chartFormat chart="5" format="26">
      <pivotArea type="data" outline="0" fieldPosition="0">
        <references count="3">
          <reference field="4294967294" count="1" selected="0">
            <x v="0"/>
          </reference>
          <reference field="1" count="1" selected="0">
            <x v="3"/>
          </reference>
          <reference field="8" count="1" selected="0">
            <x v="0"/>
          </reference>
        </references>
      </pivotArea>
    </chartFormat>
    <chartFormat chart="5" format="27">
      <pivotArea type="data" outline="0" fieldPosition="0">
        <references count="3">
          <reference field="4294967294" count="1" selected="0">
            <x v="0"/>
          </reference>
          <reference field="1" count="1" selected="0">
            <x v="4"/>
          </reference>
          <reference field="8" count="1" selected="0">
            <x v="0"/>
          </reference>
        </references>
      </pivotArea>
    </chartFormat>
    <chartFormat chart="5" format="28">
      <pivotArea type="data" outline="0" fieldPosition="0">
        <references count="3">
          <reference field="4294967294" count="1" selected="0">
            <x v="0"/>
          </reference>
          <reference field="1" count="1" selected="0">
            <x v="5"/>
          </reference>
          <reference field="8" count="1" selected="0">
            <x v="0"/>
          </reference>
        </references>
      </pivotArea>
    </chartFormat>
    <chartFormat chart="5" format="29" series="1">
      <pivotArea type="data" outline="0" fieldPosition="0">
        <references count="2">
          <reference field="4294967294" count="1" selected="0">
            <x v="0"/>
          </reference>
          <reference field="8" count="1" selected="0">
            <x v="1"/>
          </reference>
        </references>
      </pivotArea>
    </chartFormat>
    <chartFormat chart="5" format="30">
      <pivotArea type="data" outline="0" fieldPosition="0">
        <references count="3">
          <reference field="4294967294" count="1" selected="0">
            <x v="0"/>
          </reference>
          <reference field="1" count="1" selected="0">
            <x v="0"/>
          </reference>
          <reference field="8" count="1" selected="0">
            <x v="1"/>
          </reference>
        </references>
      </pivotArea>
    </chartFormat>
    <chartFormat chart="5" format="31">
      <pivotArea type="data" outline="0" fieldPosition="0">
        <references count="3">
          <reference field="4294967294" count="1" selected="0">
            <x v="0"/>
          </reference>
          <reference field="1" count="1" selected="0">
            <x v="1"/>
          </reference>
          <reference field="8" count="1" selected="0">
            <x v="1"/>
          </reference>
        </references>
      </pivotArea>
    </chartFormat>
    <chartFormat chart="5" format="32">
      <pivotArea type="data" outline="0" fieldPosition="0">
        <references count="3">
          <reference field="4294967294" count="1" selected="0">
            <x v="0"/>
          </reference>
          <reference field="1" count="1" selected="0">
            <x v="2"/>
          </reference>
          <reference field="8" count="1" selected="0">
            <x v="1"/>
          </reference>
        </references>
      </pivotArea>
    </chartFormat>
    <chartFormat chart="5" format="33">
      <pivotArea type="data" outline="0" fieldPosition="0">
        <references count="3">
          <reference field="4294967294" count="1" selected="0">
            <x v="0"/>
          </reference>
          <reference field="1" count="1" selected="0">
            <x v="3"/>
          </reference>
          <reference field="8" count="1" selected="0">
            <x v="1"/>
          </reference>
        </references>
      </pivotArea>
    </chartFormat>
    <chartFormat chart="5" format="34">
      <pivotArea type="data" outline="0" fieldPosition="0">
        <references count="3">
          <reference field="4294967294" count="1" selected="0">
            <x v="0"/>
          </reference>
          <reference field="1" count="1" selected="0">
            <x v="4"/>
          </reference>
          <reference field="8" count="1" selected="0">
            <x v="1"/>
          </reference>
        </references>
      </pivotArea>
    </chartFormat>
    <chartFormat chart="5" format="35">
      <pivotArea type="data" outline="0" fieldPosition="0">
        <references count="3">
          <reference field="4294967294" count="1" selected="0">
            <x v="0"/>
          </reference>
          <reference field="1" count="1" selected="0">
            <x v="5"/>
          </reference>
          <reference field="8" count="1" selected="0">
            <x v="1"/>
          </reference>
        </references>
      </pivotArea>
    </chartFormat>
    <chartFormat chart="5"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DBAB2-04D6-43F0-B690-1B2AA2152E3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8:F27"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axis="axisRow" showAll="0">
      <items count="9">
        <item x="4"/>
        <item x="5"/>
        <item x="7"/>
        <item x="3"/>
        <item x="1"/>
        <item x="6"/>
        <item x="0"/>
        <item x="2"/>
        <item t="default"/>
      </items>
    </pivotField>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2"/>
  </rowFields>
  <rowItems count="9">
    <i>
      <x/>
    </i>
    <i>
      <x v="1"/>
    </i>
    <i>
      <x v="2"/>
    </i>
    <i>
      <x v="3"/>
    </i>
    <i>
      <x v="4"/>
    </i>
    <i>
      <x v="5"/>
    </i>
    <i>
      <x v="6"/>
    </i>
    <i>
      <x v="7"/>
    </i>
    <i t="grand">
      <x/>
    </i>
  </rowItems>
  <colItems count="1">
    <i/>
  </colItems>
  <dataFields count="1">
    <dataField name="Count of Employee ID" fld="0" subtotal="count"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3C3839-5D77-4B4F-985E-8EE3D948B098}"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6:J35"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axis="axisRow" showAll="0">
      <items count="9">
        <item x="1"/>
        <item x="4"/>
        <item x="7"/>
        <item x="0"/>
        <item x="6"/>
        <item x="5"/>
        <item x="2"/>
        <item x="3"/>
        <item t="default"/>
      </items>
    </pivotField>
    <pivotField showAll="0"/>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9">
    <i>
      <x/>
    </i>
    <i>
      <x v="1"/>
    </i>
    <i>
      <x v="2"/>
    </i>
    <i>
      <x v="3"/>
    </i>
    <i>
      <x v="4"/>
    </i>
    <i>
      <x v="5"/>
    </i>
    <i>
      <x v="6"/>
    </i>
    <i>
      <x v="7"/>
    </i>
    <i t="grand">
      <x/>
    </i>
  </rowItems>
  <colItems count="1">
    <i/>
  </colItems>
  <dataFields count="1">
    <dataField name="Count of Employee ID" fld="0" subtotal="count"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80ED7-328F-45A2-8D0C-F15ACC23C402}" name="PivotTable7" cacheId="3"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9">
  <location ref="M31:N61" firstHeaderRow="1" firstDataRow="1" firstDataCol="1"/>
  <pivotFields count="17">
    <pivotField dataField="1" showAll="0"/>
    <pivotField showAll="0"/>
    <pivotField axis="axisRow"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x="1"/>
        <item x="2"/>
        <item x="3"/>
        <item x="4"/>
        <item x="5"/>
        <item x="6"/>
        <item x="7"/>
        <item sd="0" x="8"/>
        <item t="default"/>
      </items>
    </pivotField>
  </pivotFields>
  <rowFields count="4">
    <field x="16"/>
    <field x="15"/>
    <field x="14"/>
    <field x="2"/>
  </rowFields>
  <rowItems count="30">
    <i>
      <x v="1"/>
    </i>
    <i r="1">
      <x v="1"/>
    </i>
    <i r="1">
      <x v="3"/>
    </i>
    <i r="1">
      <x v="4"/>
    </i>
    <i>
      <x v="2"/>
    </i>
    <i r="1">
      <x v="1"/>
    </i>
    <i r="1">
      <x v="2"/>
    </i>
    <i r="1">
      <x v="3"/>
    </i>
    <i>
      <x v="3"/>
    </i>
    <i r="1">
      <x v="2"/>
    </i>
    <i r="1">
      <x v="3"/>
    </i>
    <i r="1">
      <x v="4"/>
    </i>
    <i>
      <x v="4"/>
    </i>
    <i r="1">
      <x v="1"/>
    </i>
    <i r="1">
      <x v="2"/>
    </i>
    <i r="1">
      <x v="3"/>
    </i>
    <i r="1">
      <x v="4"/>
    </i>
    <i>
      <x v="5"/>
    </i>
    <i r="1">
      <x v="1"/>
    </i>
    <i r="1">
      <x v="3"/>
    </i>
    <i r="1">
      <x v="4"/>
    </i>
    <i>
      <x v="6"/>
    </i>
    <i r="1">
      <x v="1"/>
    </i>
    <i r="1">
      <x v="2"/>
    </i>
    <i r="1">
      <x v="4"/>
    </i>
    <i>
      <x v="7"/>
    </i>
    <i r="1">
      <x v="1"/>
    </i>
    <i r="1">
      <x v="2"/>
    </i>
    <i r="1">
      <x v="3"/>
    </i>
    <i r="1">
      <x v="4"/>
    </i>
  </rowItems>
  <colItems count="1">
    <i/>
  </colItems>
  <dataFields count="1">
    <dataField name="Count of Employee ID" fld="0" subtotal="count" baseField="5" baseItem="0"/>
  </dataFields>
  <chartFormats count="3">
    <chartFormat chart="6" format="20"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3">
          <reference field="4294967294" count="1" selected="0">
            <x v="0"/>
          </reference>
          <reference field="15" count="1" selected="0">
            <x v="4"/>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A0D651-A244-4D06-9D80-BC24AE44A3FB}" name="PivotTable1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F50:H57" firstHeaderRow="1" firstDataRow="2" firstDataCol="1"/>
  <pivotFields count="17">
    <pivotField dataField="1" showAll="0"/>
    <pivotField axis="axisRow" showAll="0">
      <items count="7">
        <item x="1"/>
        <item x="3"/>
        <item x="5"/>
        <item x="0"/>
        <item x="2"/>
        <item x="4"/>
        <item t="default"/>
      </items>
    </pivotField>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1"/>
  </rowFields>
  <rowItems count="6">
    <i>
      <x/>
    </i>
    <i>
      <x v="1"/>
    </i>
    <i>
      <x v="2"/>
    </i>
    <i>
      <x v="3"/>
    </i>
    <i>
      <x v="4"/>
    </i>
    <i>
      <x v="5"/>
    </i>
  </rowItems>
  <colFields count="1">
    <field x="9"/>
  </colFields>
  <colItems count="2">
    <i>
      <x/>
    </i>
    <i>
      <x v="1"/>
    </i>
  </colItems>
  <dataFields count="1">
    <dataField name="Count of Employee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6A4089-FDA5-4BD8-8C80-34B10AB7B19C}" name="PivotTable19"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3:B29" firstHeaderRow="1" firstDataRow="1" firstDataCol="1"/>
  <pivotFields count="17">
    <pivotField dataField="1" showAll="0"/>
    <pivotField axis="axisRow" showAll="0">
      <items count="7">
        <item x="1"/>
        <item x="3"/>
        <item x="5"/>
        <item x="0"/>
        <item x="2"/>
        <item x="4"/>
        <item t="default"/>
      </items>
    </pivotField>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6">
    <i>
      <x/>
    </i>
    <i>
      <x v="1"/>
    </i>
    <i>
      <x v="2"/>
    </i>
    <i>
      <x v="3"/>
    </i>
    <i>
      <x v="4"/>
    </i>
    <i>
      <x v="5"/>
    </i>
  </rowItems>
  <colItems count="1">
    <i/>
  </colItems>
  <dataFields count="1">
    <dataField name="Count of Employee ID" fld="0" subtotal="count" baseField="1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D6FDC4-FF85-4D49-91EE-F4E1A37B7EA3}" name="PivotTable18" cacheId="2" applyNumberFormats="0" applyBorderFormats="0" applyFontFormats="0" applyPatternFormats="0" applyAlignmentFormats="0" applyWidthHeightFormats="1" dataCaption="Values" tag="2d41db2d-1e3a-4969-a702-72847a926993" updatedVersion="8" minRefreshableVersion="3" useAutoFormatting="1" subtotalHiddenItems="1" itemPrintTitles="1" createdVersion="8" indent="0" outline="1" outlineData="1" multipleFieldFilters="0">
  <location ref="A10:B1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Employee ID" fld="1"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IP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BC93D6-7C91-41B5-BD75-C5F515ABD5C7}"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8:G10"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2">
    <i>
      <x/>
    </i>
    <i>
      <x v="1"/>
    </i>
  </rowItems>
  <colItems count="1">
    <i/>
  </colItems>
  <dataFields count="1">
    <dataField name="Count of Employee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EF869A-4793-4700-86D0-C2FDC1B728EF}"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4:M15" firstHeaderRow="1" firstDataRow="1" firstDataCol="0"/>
  <pivotFields count="17">
    <pivotField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dataField="1" showAll="0"/>
    <pivotField showAll="0"/>
    <pivotField showAll="0"/>
    <pivotField showAll="0"/>
    <pivotField showAll="0"/>
    <pivotField showAll="0">
      <items count="6">
        <item x="0"/>
        <item x="4"/>
        <item x="3"/>
        <item x="1"/>
        <item x="2"/>
        <item t="default"/>
      </items>
    </pivotField>
    <pivotField showAll="0"/>
    <pivotField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Year of Service" fld="6"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D64820-6A56-4EBA-9329-4A296165993C}"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0:F41" firstHeaderRow="1" firstDataRow="1" firstDataCol="1"/>
  <pivotFields count="17">
    <pivotField dataField="1" showAll="0"/>
    <pivotField showAll="0"/>
    <pivotField numFmtId="14" showAll="0">
      <items count="51">
        <item x="14"/>
        <item x="49"/>
        <item x="7"/>
        <item x="35"/>
        <item x="34"/>
        <item x="0"/>
        <item x="29"/>
        <item x="12"/>
        <item x="4"/>
        <item x="38"/>
        <item x="16"/>
        <item x="19"/>
        <item x="24"/>
        <item x="45"/>
        <item x="47"/>
        <item x="15"/>
        <item x="26"/>
        <item x="33"/>
        <item x="40"/>
        <item x="1"/>
        <item x="39"/>
        <item x="11"/>
        <item x="30"/>
        <item x="20"/>
        <item x="37"/>
        <item x="28"/>
        <item x="32"/>
        <item x="36"/>
        <item x="2"/>
        <item x="46"/>
        <item x="43"/>
        <item x="17"/>
        <item x="5"/>
        <item x="25"/>
        <item x="8"/>
        <item x="3"/>
        <item x="27"/>
        <item x="44"/>
        <item x="21"/>
        <item x="22"/>
        <item x="42"/>
        <item x="13"/>
        <item x="9"/>
        <item x="6"/>
        <item x="23"/>
        <item x="10"/>
        <item x="18"/>
        <item x="31"/>
        <item x="48"/>
        <item x="41"/>
        <item t="default"/>
      </items>
    </pivotField>
    <pivotField showAll="0"/>
    <pivotField showAll="0"/>
    <pivotField showAll="0"/>
    <pivotField showAll="0"/>
    <pivotField showAll="0"/>
    <pivotField showAll="0"/>
    <pivotField showAll="0"/>
    <pivotField showAll="0"/>
    <pivotField showAll="0">
      <items count="6">
        <item x="0"/>
        <item x="4"/>
        <item x="3"/>
        <item x="1"/>
        <item x="2"/>
        <item t="default"/>
      </items>
    </pivotField>
    <pivotField showAll="0"/>
    <pivotField axis="axisRow" showAll="0">
      <items count="12">
        <item x="6"/>
        <item x="10"/>
        <item x="0"/>
        <item x="3"/>
        <item x="5"/>
        <item x="4"/>
        <item x="2"/>
        <item x="1"/>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11">
    <i>
      <x/>
    </i>
    <i>
      <x v="1"/>
    </i>
    <i>
      <x v="2"/>
    </i>
    <i>
      <x v="3"/>
    </i>
    <i>
      <x v="4"/>
    </i>
    <i>
      <x v="5"/>
    </i>
    <i>
      <x v="6"/>
    </i>
    <i>
      <x v="7"/>
    </i>
    <i>
      <x v="8"/>
    </i>
    <i>
      <x v="9"/>
    </i>
    <i>
      <x v="10"/>
    </i>
  </rowItems>
  <colItems count="1">
    <i/>
  </colItems>
  <dataFields count="1">
    <dataField name="Count of Employee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48EBD3-ACEF-4333-98E3-24C04E4D7F92}" name="PivotTable1" cacheId="1" applyNumberFormats="0" applyBorderFormats="0" applyFontFormats="0" applyPatternFormats="0" applyAlignmentFormats="0" applyWidthHeightFormats="1" dataCaption="Values" tag="bf4d3baf-e630-4d62-be3c-c5448f7e286d" updatedVersion="8" minRefreshableVersion="3"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Count of Employee ID"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IP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FCEF96-B840-471A-8B5B-C1108A8728EA}" sourceName="Country">
  <pivotTables>
    <pivotTable tabId="12" name="PivotTable9"/>
    <pivotTable tabId="12" name="PivotTable10"/>
    <pivotTable tabId="12" name="PivotTable11"/>
    <pivotTable tabId="12" name="PivotTable13"/>
    <pivotTable tabId="12" name="PivotTable4"/>
    <pivotTable tabId="12" name="PivotTable5"/>
    <pivotTable tabId="12" name="PivotTable6"/>
    <pivotTable tabId="12" name="PivotTable7"/>
    <pivotTable tabId="12" name="PivotTable8"/>
    <pivotTable tabId="12" name="PivotTable3"/>
    <pivotTable tabId="12" name="PivotTable19"/>
  </pivotTables>
  <data>
    <tabular pivotCacheId="543162988">
      <items count="11">
        <i x="6" s="1"/>
        <i x="10" s="1"/>
        <i x="0" s="1"/>
        <i x="3" s="1"/>
        <i x="5" s="1"/>
        <i x="4" s="1"/>
        <i x="2" s="1"/>
        <i x="1"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C89E3C51-5D77-4E08-A1C6-C2B14353B983}" sourceName="Age Range">
  <pivotTables>
    <pivotTable tabId="12" name="PivotTable19"/>
    <pivotTable tabId="12" name="PivotTable10"/>
    <pivotTable tabId="12" name="PivotTable11"/>
    <pivotTable tabId="12" name="PivotTable13"/>
    <pivotTable tabId="12" name="PivotTable3"/>
    <pivotTable tabId="12" name="PivotTable4"/>
    <pivotTable tabId="12" name="PivotTable5"/>
    <pivotTable tabId="12" name="PivotTable6"/>
    <pivotTable tabId="12" name="PivotTable7"/>
    <pivotTable tabId="12" name="PivotTable8"/>
    <pivotTable tabId="12" name="PivotTable9"/>
  </pivotTables>
  <data>
    <tabular pivotCacheId="543162988">
      <items count="5">
        <i x="0" s="1"/>
        <i x="4"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4C38D4C-F70A-4C8D-B237-110523CF9C7C}" cache="Slicer_Country" caption="Country" showCaption="0" style="SlicerStyleDark6" rowHeight="251883"/>
  <slicer name="Age Range" xr10:uid="{2746A3DC-FD8C-4381-84CC-8A6518C2C649}" cache="Slicer_Age_Range" caption="Age Range"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0EF073-E5DA-4655-83F2-85DA4886B26A}" name="Table1" displayName="Table1" ref="A1:N2401" totalsRowShown="0">
  <autoFilter ref="A1:N2401" xr:uid="{920EF073-E5DA-4655-83F2-85DA4886B26A}"/>
  <tableColumns count="14">
    <tableColumn id="1" xr3:uid="{4A3A3137-CD51-45DA-B2FB-88FF6A6BF8F3}" name="Employee ID"/>
    <tableColumn id="2" xr3:uid="{AD7F045F-AAB5-426D-975C-AE4B911A7840}" name="Department"/>
    <tableColumn id="3" xr3:uid="{4DE20181-4854-4BF9-A3ED-EFBC3F871894}" name="Join Date" dataDxfId="6"/>
    <tableColumn id="11" xr3:uid="{019CBBCD-66D8-4BE5-A68A-795FB5494376}" name="Join Year" dataDxfId="5">
      <calculatedColumnFormula>YEAR(Table1[[#This Row],[Join Date]])</calculatedColumnFormula>
    </tableColumn>
    <tableColumn id="4" xr3:uid="{437DB88D-2E55-4AE8-9E16-470B9BDF5A48}" name="Exit Date" dataDxfId="4"/>
    <tableColumn id="12" xr3:uid="{18300A63-7FC8-4D08-8479-FEAE7C7B257D}" name="Exit Year" dataDxfId="3">
      <calculatedColumnFormula>IFERROR(YEAR(Table1[[#This Row],[Exit Date]]), " ")</calculatedColumnFormula>
    </tableColumn>
    <tableColumn id="13" xr3:uid="{C090BD3D-FEC7-4A22-AFA0-0DBE00DE016F}" name="Year of Service" dataDxfId="2">
      <calculatedColumnFormula>IFERROR((Table1[[#This Row],[Exit Year]]-Table1[[#This Row],[Join Year]])+1," ")</calculatedColumnFormula>
    </tableColumn>
    <tableColumn id="5" xr3:uid="{99BF8361-6357-4948-A83A-D9CB50DAC9E3}" name="Exit Reason"/>
    <tableColumn id="6" xr3:uid="{D0637E17-EC4D-4BAC-B223-E625EA8C44E8}" name="Status"/>
    <tableColumn id="7" xr3:uid="{5C46E1AE-C8C9-44BA-94D7-481AE50AA71A}" name="Gender"/>
    <tableColumn id="8" xr3:uid="{96DDE7C5-6515-4F1B-8E67-C46927320B54}" name="Age"/>
    <tableColumn id="15" xr3:uid="{87E36E03-DC18-4A42-97CA-0F67477302B8}" name="Age Range" dataDxfId="1">
      <calculatedColumnFormula>IF(Table1[[#This Row],[Age]]&lt;30,"20-29",
IF(Table1[[#This Row],[Age]]&lt;40,"30-39",
IF(Table1[[#This Row],[Age]]&lt;50,"40-49",
IF(Table1[[#This Row],[Age]]&lt;60,"50-59","60+"))))</calculatedColumnFormula>
    </tableColumn>
    <tableColumn id="9" xr3:uid="{F713975A-CEA3-4A4C-A9B5-CD15190FA197}" name="Seniority"/>
    <tableColumn id="10" xr3:uid="{A9E9F5E9-D2AB-424A-AE32-935C40525446}"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29A5-BEB4-406B-93A2-AF54A498E63B}">
  <sheetPr codeName="Sheet1"/>
  <dimension ref="B2:N39"/>
  <sheetViews>
    <sheetView workbookViewId="0">
      <selection activeCell="D8" sqref="D8:M39"/>
    </sheetView>
  </sheetViews>
  <sheetFormatPr defaultColWidth="8.90625" defaultRowHeight="14.5" x14ac:dyDescent="0.35"/>
  <cols>
    <col min="1" max="1" width="13.6328125" style="1" customWidth="1"/>
    <col min="2" max="2" width="0.54296875" style="1" customWidth="1"/>
    <col min="3" max="3" width="1.453125" style="1" customWidth="1"/>
    <col min="4" max="5" width="8.90625" style="1"/>
    <col min="6" max="6" width="11.453125" style="1" customWidth="1"/>
    <col min="7" max="9" width="8.90625" style="1"/>
    <col min="10" max="10" width="11.90625" style="1" customWidth="1"/>
    <col min="11" max="11" width="13.453125" style="1" customWidth="1"/>
    <col min="12" max="12" width="11.54296875" style="1" customWidth="1"/>
    <col min="13" max="13" width="1.453125" style="1" customWidth="1"/>
    <col min="14" max="14" width="1.6328125" style="1" customWidth="1"/>
    <col min="15" max="16384" width="8.90625" style="1"/>
  </cols>
  <sheetData>
    <row r="2" spans="2:14" ht="3.65" customHeight="1" x14ac:dyDescent="0.35">
      <c r="B2" s="5"/>
      <c r="C2" s="5"/>
      <c r="D2" s="5"/>
      <c r="E2" s="5"/>
      <c r="F2" s="5"/>
      <c r="G2" s="5"/>
      <c r="H2" s="5"/>
      <c r="I2" s="5"/>
      <c r="J2" s="5"/>
      <c r="K2" s="5"/>
      <c r="L2" s="5"/>
    </row>
    <row r="3" spans="2:14" ht="14.4" customHeight="1" x14ac:dyDescent="0.35">
      <c r="B3" s="5"/>
      <c r="C3" s="12" t="s">
        <v>45</v>
      </c>
      <c r="D3" s="12"/>
      <c r="E3" s="12"/>
      <c r="F3" s="12"/>
      <c r="G3" s="12"/>
      <c r="H3" s="12"/>
      <c r="I3" s="12"/>
      <c r="J3" s="12"/>
      <c r="K3" s="12"/>
      <c r="L3" s="12"/>
      <c r="M3" s="12"/>
    </row>
    <row r="4" spans="2:14" ht="14.4" customHeight="1" x14ac:dyDescent="0.35">
      <c r="C4" s="12"/>
      <c r="D4" s="12"/>
      <c r="E4" s="12"/>
      <c r="F4" s="12"/>
      <c r="G4" s="12"/>
      <c r="H4" s="12"/>
      <c r="I4" s="12"/>
      <c r="J4" s="12"/>
      <c r="K4" s="12"/>
      <c r="L4" s="12"/>
      <c r="M4" s="12"/>
    </row>
    <row r="5" spans="2:14" ht="9" customHeight="1" x14ac:dyDescent="0.35"/>
    <row r="6" spans="2:14" ht="2.4" customHeight="1" x14ac:dyDescent="0.35"/>
    <row r="7" spans="2:14" ht="8.4" customHeight="1" x14ac:dyDescent="0.35">
      <c r="C7" s="2"/>
      <c r="D7" s="2"/>
      <c r="E7" s="2"/>
      <c r="F7" s="2"/>
      <c r="G7" s="2"/>
      <c r="H7" s="2"/>
      <c r="I7" s="2"/>
      <c r="J7" s="2"/>
      <c r="K7" s="2"/>
      <c r="L7" s="2"/>
      <c r="M7" s="2"/>
    </row>
    <row r="8" spans="2:14" ht="2.4" customHeight="1" x14ac:dyDescent="0.35">
      <c r="C8" s="3"/>
      <c r="D8" s="13" t="s">
        <v>47</v>
      </c>
      <c r="E8" s="13"/>
      <c r="F8" s="13"/>
      <c r="G8" s="13"/>
      <c r="H8" s="13"/>
      <c r="I8" s="13"/>
      <c r="J8" s="13"/>
      <c r="K8" s="13"/>
      <c r="L8" s="13"/>
      <c r="M8" s="13"/>
      <c r="N8" s="4"/>
    </row>
    <row r="9" spans="2:14" ht="3" customHeight="1" x14ac:dyDescent="0.35">
      <c r="C9" s="3"/>
      <c r="D9" s="13"/>
      <c r="E9" s="13"/>
      <c r="F9" s="13"/>
      <c r="G9" s="13"/>
      <c r="H9" s="13"/>
      <c r="I9" s="13"/>
      <c r="J9" s="13"/>
      <c r="K9" s="13"/>
      <c r="L9" s="13"/>
      <c r="M9" s="13"/>
      <c r="N9" s="4"/>
    </row>
    <row r="10" spans="2:14" ht="15" hidden="1" customHeight="1" x14ac:dyDescent="0.35">
      <c r="C10" s="3"/>
      <c r="D10" s="13"/>
      <c r="E10" s="13"/>
      <c r="F10" s="13"/>
      <c r="G10" s="13"/>
      <c r="H10" s="13"/>
      <c r="I10" s="13"/>
      <c r="J10" s="13"/>
      <c r="K10" s="13"/>
      <c r="L10" s="13"/>
      <c r="M10" s="13"/>
      <c r="N10" s="4"/>
    </row>
    <row r="11" spans="2:14" x14ac:dyDescent="0.35">
      <c r="C11" s="3"/>
      <c r="D11" s="13"/>
      <c r="E11" s="13"/>
      <c r="F11" s="13"/>
      <c r="G11" s="13"/>
      <c r="H11" s="13"/>
      <c r="I11" s="13"/>
      <c r="J11" s="13"/>
      <c r="K11" s="13"/>
      <c r="L11" s="13"/>
      <c r="M11" s="13"/>
      <c r="N11" s="4"/>
    </row>
    <row r="12" spans="2:14" x14ac:dyDescent="0.35">
      <c r="C12" s="3"/>
      <c r="D12" s="13"/>
      <c r="E12" s="13"/>
      <c r="F12" s="13"/>
      <c r="G12" s="13"/>
      <c r="H12" s="13"/>
      <c r="I12" s="13"/>
      <c r="J12" s="13"/>
      <c r="K12" s="13"/>
      <c r="L12" s="13"/>
      <c r="M12" s="13"/>
      <c r="N12" s="4"/>
    </row>
    <row r="13" spans="2:14" x14ac:dyDescent="0.35">
      <c r="C13" s="3"/>
      <c r="D13" s="13"/>
      <c r="E13" s="13"/>
      <c r="F13" s="13"/>
      <c r="G13" s="13"/>
      <c r="H13" s="13"/>
      <c r="I13" s="13"/>
      <c r="J13" s="13"/>
      <c r="K13" s="13"/>
      <c r="L13" s="13"/>
      <c r="M13" s="13"/>
      <c r="N13" s="4"/>
    </row>
    <row r="14" spans="2:14" x14ac:dyDescent="0.35">
      <c r="C14" s="3"/>
      <c r="D14" s="13"/>
      <c r="E14" s="13"/>
      <c r="F14" s="13"/>
      <c r="G14" s="13"/>
      <c r="H14" s="13"/>
      <c r="I14" s="13"/>
      <c r="J14" s="13"/>
      <c r="K14" s="13"/>
      <c r="L14" s="13"/>
      <c r="M14" s="13"/>
      <c r="N14" s="4"/>
    </row>
    <row r="15" spans="2:14" x14ac:dyDescent="0.35">
      <c r="C15" s="3"/>
      <c r="D15" s="13"/>
      <c r="E15" s="13"/>
      <c r="F15" s="13"/>
      <c r="G15" s="13"/>
      <c r="H15" s="13"/>
      <c r="I15" s="13"/>
      <c r="J15" s="13"/>
      <c r="K15" s="13"/>
      <c r="L15" s="13"/>
      <c r="M15" s="13"/>
      <c r="N15" s="4"/>
    </row>
    <row r="16" spans="2:14" x14ac:dyDescent="0.35">
      <c r="C16" s="3"/>
      <c r="D16" s="13"/>
      <c r="E16" s="13"/>
      <c r="F16" s="13"/>
      <c r="G16" s="13"/>
      <c r="H16" s="13"/>
      <c r="I16" s="13"/>
      <c r="J16" s="13"/>
      <c r="K16" s="13"/>
      <c r="L16" s="13"/>
      <c r="M16" s="13"/>
      <c r="N16" s="4"/>
    </row>
    <row r="17" spans="3:14" x14ac:dyDescent="0.35">
      <c r="C17" s="3"/>
      <c r="D17" s="13"/>
      <c r="E17" s="13"/>
      <c r="F17" s="13"/>
      <c r="G17" s="13"/>
      <c r="H17" s="13"/>
      <c r="I17" s="13"/>
      <c r="J17" s="13"/>
      <c r="K17" s="13"/>
      <c r="L17" s="13"/>
      <c r="M17" s="13"/>
      <c r="N17" s="4"/>
    </row>
    <row r="18" spans="3:14" x14ac:dyDescent="0.35">
      <c r="C18" s="3"/>
      <c r="D18" s="13"/>
      <c r="E18" s="13"/>
      <c r="F18" s="13"/>
      <c r="G18" s="13"/>
      <c r="H18" s="13"/>
      <c r="I18" s="13"/>
      <c r="J18" s="13"/>
      <c r="K18" s="13"/>
      <c r="L18" s="13"/>
      <c r="M18" s="13"/>
      <c r="N18" s="4"/>
    </row>
    <row r="19" spans="3:14" x14ac:dyDescent="0.35">
      <c r="C19" s="3"/>
      <c r="D19" s="13"/>
      <c r="E19" s="13"/>
      <c r="F19" s="13"/>
      <c r="G19" s="13"/>
      <c r="H19" s="13"/>
      <c r="I19" s="13"/>
      <c r="J19" s="13"/>
      <c r="K19" s="13"/>
      <c r="L19" s="13"/>
      <c r="M19" s="13"/>
      <c r="N19" s="4"/>
    </row>
    <row r="20" spans="3:14" x14ac:dyDescent="0.35">
      <c r="C20" s="3"/>
      <c r="D20" s="13"/>
      <c r="E20" s="13"/>
      <c r="F20" s="13"/>
      <c r="G20" s="13"/>
      <c r="H20" s="13"/>
      <c r="I20" s="13"/>
      <c r="J20" s="13"/>
      <c r="K20" s="13"/>
      <c r="L20" s="13"/>
      <c r="M20" s="13"/>
      <c r="N20" s="4"/>
    </row>
    <row r="21" spans="3:14" x14ac:dyDescent="0.35">
      <c r="C21" s="3"/>
      <c r="D21" s="13"/>
      <c r="E21" s="13"/>
      <c r="F21" s="13"/>
      <c r="G21" s="13"/>
      <c r="H21" s="13"/>
      <c r="I21" s="13"/>
      <c r="J21" s="13"/>
      <c r="K21" s="13"/>
      <c r="L21" s="13"/>
      <c r="M21" s="13"/>
      <c r="N21" s="4"/>
    </row>
    <row r="22" spans="3:14" x14ac:dyDescent="0.35">
      <c r="C22" s="3"/>
      <c r="D22" s="13"/>
      <c r="E22" s="13"/>
      <c r="F22" s="13"/>
      <c r="G22" s="13"/>
      <c r="H22" s="13"/>
      <c r="I22" s="13"/>
      <c r="J22" s="13"/>
      <c r="K22" s="13"/>
      <c r="L22" s="13"/>
      <c r="M22" s="13"/>
      <c r="N22" s="4"/>
    </row>
    <row r="23" spans="3:14" x14ac:dyDescent="0.35">
      <c r="C23" s="3"/>
      <c r="D23" s="13"/>
      <c r="E23" s="13"/>
      <c r="F23" s="13"/>
      <c r="G23" s="13"/>
      <c r="H23" s="13"/>
      <c r="I23" s="13"/>
      <c r="J23" s="13"/>
      <c r="K23" s="13"/>
      <c r="L23" s="13"/>
      <c r="M23" s="13"/>
      <c r="N23" s="4"/>
    </row>
    <row r="24" spans="3:14" x14ac:dyDescent="0.35">
      <c r="C24" s="3"/>
      <c r="D24" s="13"/>
      <c r="E24" s="13"/>
      <c r="F24" s="13"/>
      <c r="G24" s="13"/>
      <c r="H24" s="13"/>
      <c r="I24" s="13"/>
      <c r="J24" s="13"/>
      <c r="K24" s="13"/>
      <c r="L24" s="13"/>
      <c r="M24" s="13"/>
      <c r="N24" s="4"/>
    </row>
    <row r="25" spans="3:14" x14ac:dyDescent="0.35">
      <c r="C25" s="3"/>
      <c r="D25" s="13"/>
      <c r="E25" s="13"/>
      <c r="F25" s="13"/>
      <c r="G25" s="13"/>
      <c r="H25" s="13"/>
      <c r="I25" s="13"/>
      <c r="J25" s="13"/>
      <c r="K25" s="13"/>
      <c r="L25" s="13"/>
      <c r="M25" s="13"/>
      <c r="N25" s="4"/>
    </row>
    <row r="26" spans="3:14" x14ac:dyDescent="0.35">
      <c r="C26" s="3"/>
      <c r="D26" s="13"/>
      <c r="E26" s="13"/>
      <c r="F26" s="13"/>
      <c r="G26" s="13"/>
      <c r="H26" s="13"/>
      <c r="I26" s="13"/>
      <c r="J26" s="13"/>
      <c r="K26" s="13"/>
      <c r="L26" s="13"/>
      <c r="M26" s="13"/>
      <c r="N26" s="4"/>
    </row>
    <row r="27" spans="3:14" ht="3" customHeight="1" x14ac:dyDescent="0.35">
      <c r="C27" s="3"/>
      <c r="D27" s="13"/>
      <c r="E27" s="13"/>
      <c r="F27" s="13"/>
      <c r="G27" s="13"/>
      <c r="H27" s="13"/>
      <c r="I27" s="13"/>
      <c r="J27" s="13"/>
      <c r="K27" s="13"/>
      <c r="L27" s="13"/>
      <c r="M27" s="13"/>
      <c r="N27" s="4"/>
    </row>
    <row r="28" spans="3:14" ht="11" customHeight="1" x14ac:dyDescent="0.35">
      <c r="C28" s="3"/>
      <c r="D28" s="13"/>
      <c r="E28" s="13"/>
      <c r="F28" s="13"/>
      <c r="G28" s="13"/>
      <c r="H28" s="13"/>
      <c r="I28" s="13"/>
      <c r="J28" s="13"/>
      <c r="K28" s="13"/>
      <c r="L28" s="13"/>
      <c r="M28" s="13"/>
      <c r="N28" s="4"/>
    </row>
    <row r="29" spans="3:14" ht="15" hidden="1" customHeight="1" x14ac:dyDescent="0.35">
      <c r="C29" s="2"/>
      <c r="D29" s="13"/>
      <c r="E29" s="13"/>
      <c r="F29" s="13"/>
      <c r="G29" s="13"/>
      <c r="H29" s="13"/>
      <c r="I29" s="13"/>
      <c r="J29" s="13"/>
      <c r="K29" s="13"/>
      <c r="L29" s="13"/>
      <c r="M29" s="13"/>
      <c r="N29" s="4"/>
    </row>
    <row r="30" spans="3:14" ht="21" customHeight="1" x14ac:dyDescent="0.35">
      <c r="C30" s="2"/>
      <c r="D30" s="13"/>
      <c r="E30" s="13"/>
      <c r="F30" s="13"/>
      <c r="G30" s="13"/>
      <c r="H30" s="13"/>
      <c r="I30" s="13"/>
      <c r="J30" s="13"/>
      <c r="K30" s="13"/>
      <c r="L30" s="13"/>
      <c r="M30" s="13"/>
      <c r="N30" s="4"/>
    </row>
    <row r="31" spans="3:14" x14ac:dyDescent="0.35">
      <c r="C31" s="2"/>
      <c r="D31" s="13"/>
      <c r="E31" s="13"/>
      <c r="F31" s="13"/>
      <c r="G31" s="13"/>
      <c r="H31" s="13"/>
      <c r="I31" s="13"/>
      <c r="J31" s="13"/>
      <c r="K31" s="13"/>
      <c r="L31" s="13"/>
      <c r="M31" s="13"/>
      <c r="N31" s="4"/>
    </row>
    <row r="32" spans="3:14" x14ac:dyDescent="0.35">
      <c r="C32" s="2"/>
      <c r="D32" s="13"/>
      <c r="E32" s="13"/>
      <c r="F32" s="13"/>
      <c r="G32" s="13"/>
      <c r="H32" s="13"/>
      <c r="I32" s="13"/>
      <c r="J32" s="13"/>
      <c r="K32" s="13"/>
      <c r="L32" s="13"/>
      <c r="M32" s="13"/>
      <c r="N32" s="4"/>
    </row>
    <row r="33" spans="3:14" x14ac:dyDescent="0.35">
      <c r="C33" s="2"/>
      <c r="D33" s="13"/>
      <c r="E33" s="13"/>
      <c r="F33" s="13"/>
      <c r="G33" s="13"/>
      <c r="H33" s="13"/>
      <c r="I33" s="13"/>
      <c r="J33" s="13"/>
      <c r="K33" s="13"/>
      <c r="L33" s="13"/>
      <c r="M33" s="13"/>
      <c r="N33" s="4"/>
    </row>
    <row r="34" spans="3:14" x14ac:dyDescent="0.35">
      <c r="C34" s="2"/>
      <c r="D34" s="13"/>
      <c r="E34" s="13"/>
      <c r="F34" s="13"/>
      <c r="G34" s="13"/>
      <c r="H34" s="13"/>
      <c r="I34" s="13"/>
      <c r="J34" s="13"/>
      <c r="K34" s="13"/>
      <c r="L34" s="13"/>
      <c r="M34" s="13"/>
      <c r="N34" s="4"/>
    </row>
    <row r="35" spans="3:14" x14ac:dyDescent="0.35">
      <c r="C35" s="2"/>
      <c r="D35" s="13"/>
      <c r="E35" s="13"/>
      <c r="F35" s="13"/>
      <c r="G35" s="13"/>
      <c r="H35" s="13"/>
      <c r="I35" s="13"/>
      <c r="J35" s="13"/>
      <c r="K35" s="13"/>
      <c r="L35" s="13"/>
      <c r="M35" s="13"/>
      <c r="N35" s="4"/>
    </row>
    <row r="36" spans="3:14" x14ac:dyDescent="0.35">
      <c r="C36" s="2"/>
      <c r="D36" s="13"/>
      <c r="E36" s="13"/>
      <c r="F36" s="13"/>
      <c r="G36" s="13"/>
      <c r="H36" s="13"/>
      <c r="I36" s="13"/>
      <c r="J36" s="13"/>
      <c r="K36" s="13"/>
      <c r="L36" s="13"/>
      <c r="M36" s="13"/>
      <c r="N36" s="4"/>
    </row>
    <row r="37" spans="3:14" x14ac:dyDescent="0.35">
      <c r="C37" s="2"/>
      <c r="D37" s="13"/>
      <c r="E37" s="13"/>
      <c r="F37" s="13"/>
      <c r="G37" s="13"/>
      <c r="H37" s="13"/>
      <c r="I37" s="13"/>
      <c r="J37" s="13"/>
      <c r="K37" s="13"/>
      <c r="L37" s="13"/>
      <c r="M37" s="13"/>
      <c r="N37" s="4"/>
    </row>
    <row r="38" spans="3:14" x14ac:dyDescent="0.35">
      <c r="C38" s="2"/>
      <c r="D38" s="13"/>
      <c r="E38" s="13"/>
      <c r="F38" s="13"/>
      <c r="G38" s="13"/>
      <c r="H38" s="13"/>
      <c r="I38" s="13"/>
      <c r="J38" s="13"/>
      <c r="K38" s="13"/>
      <c r="L38" s="13"/>
      <c r="M38" s="13"/>
      <c r="N38" s="4"/>
    </row>
    <row r="39" spans="3:14" x14ac:dyDescent="0.35">
      <c r="D39" s="13"/>
      <c r="E39" s="13"/>
      <c r="F39" s="13"/>
      <c r="G39" s="13"/>
      <c r="H39" s="13"/>
      <c r="I39" s="13"/>
      <c r="J39" s="13"/>
      <c r="K39" s="13"/>
      <c r="L39" s="13"/>
      <c r="M39" s="13"/>
      <c r="N39" s="4"/>
    </row>
  </sheetData>
  <mergeCells count="2">
    <mergeCell ref="C3:M4"/>
    <mergeCell ref="D8:M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246F-10B3-4339-90D0-D4730C5CE961}">
  <sheetPr codeName="Sheet2"/>
  <dimension ref="A1:N2401"/>
  <sheetViews>
    <sheetView workbookViewId="0">
      <selection activeCell="H12" sqref="H12"/>
    </sheetView>
  </sheetViews>
  <sheetFormatPr defaultRowHeight="14.5" x14ac:dyDescent="0.35"/>
  <cols>
    <col min="1" max="1" width="14.1796875" bestFit="1" customWidth="1"/>
    <col min="2" max="2" width="16.08984375" bestFit="1" customWidth="1"/>
    <col min="3" max="3" width="11.1796875" style="6" bestFit="1" customWidth="1"/>
    <col min="4" max="4" width="10.90625" style="6" bestFit="1" customWidth="1"/>
    <col min="5" max="5" width="13.453125" style="6" bestFit="1" customWidth="1"/>
    <col min="6" max="6" width="10.7265625" bestFit="1" customWidth="1"/>
    <col min="7" max="8" width="16.1796875" bestFit="1" customWidth="1"/>
    <col min="10" max="10" width="9.6328125" bestFit="1" customWidth="1"/>
    <col min="11" max="11" width="6.36328125" bestFit="1" customWidth="1"/>
    <col min="12" max="12" width="12.08984375" bestFit="1" customWidth="1"/>
    <col min="13" max="13" width="14.1796875" bestFit="1" customWidth="1"/>
    <col min="14" max="14" width="11.81640625" bestFit="1" customWidth="1"/>
    <col min="16" max="16" width="4.81640625" bestFit="1" customWidth="1"/>
    <col min="17" max="17" width="3.81640625" bestFit="1" customWidth="1"/>
    <col min="18" max="18" width="4.81640625" bestFit="1" customWidth="1"/>
    <col min="19" max="19" width="5.81640625" bestFit="1" customWidth="1"/>
  </cols>
  <sheetData>
    <row r="1" spans="1:14" x14ac:dyDescent="0.35">
      <c r="A1" t="s">
        <v>0</v>
      </c>
      <c r="B1" t="s">
        <v>1</v>
      </c>
      <c r="C1" s="6" t="s">
        <v>2</v>
      </c>
      <c r="D1" s="6" t="s">
        <v>49</v>
      </c>
      <c r="E1" s="6" t="s">
        <v>3</v>
      </c>
      <c r="F1" t="s">
        <v>50</v>
      </c>
      <c r="G1" t="s">
        <v>54</v>
      </c>
      <c r="H1" t="s">
        <v>4</v>
      </c>
      <c r="I1" t="s">
        <v>5</v>
      </c>
      <c r="J1" t="s">
        <v>6</v>
      </c>
      <c r="K1" t="s">
        <v>7</v>
      </c>
      <c r="L1" t="s">
        <v>72</v>
      </c>
      <c r="M1" t="s">
        <v>8</v>
      </c>
      <c r="N1" t="s">
        <v>9</v>
      </c>
    </row>
    <row r="2" spans="1:14" x14ac:dyDescent="0.35">
      <c r="A2">
        <v>101</v>
      </c>
      <c r="B2" t="s">
        <v>10</v>
      </c>
      <c r="C2" s="6">
        <v>43407</v>
      </c>
      <c r="D2">
        <f>YEAR(Table1[[#This Row],[Join Date]])</f>
        <v>2018</v>
      </c>
      <c r="E2" s="6" t="s">
        <v>48</v>
      </c>
      <c r="F2" t="str">
        <f>IFERROR(YEAR(Table1[[#This Row],[Exit Date]]), " ")</f>
        <v xml:space="preserve"> </v>
      </c>
      <c r="G2" t="str">
        <f>IFERROR((Table1[[#This Row],[Exit Year]]-Table1[[#This Row],[Join Year]])+1," ")</f>
        <v xml:space="preserve"> </v>
      </c>
      <c r="H2" t="s">
        <v>48</v>
      </c>
      <c r="I2" t="s">
        <v>11</v>
      </c>
      <c r="J2" t="s">
        <v>12</v>
      </c>
      <c r="K2">
        <v>27</v>
      </c>
      <c r="L2" t="str">
        <f>IF(Table1[[#This Row],[Age]]&lt;30,"20-29",
IF(Table1[[#This Row],[Age]]&lt;40,"30-39",
IF(Table1[[#This Row],[Age]]&lt;50,"40-49",
IF(Table1[[#This Row],[Age]]&lt;60,"50-59","60+"))))</f>
        <v>20-29</v>
      </c>
      <c r="M2" t="s">
        <v>13</v>
      </c>
      <c r="N2" t="s">
        <v>14</v>
      </c>
    </row>
    <row r="3" spans="1:14" x14ac:dyDescent="0.35">
      <c r="A3">
        <v>102</v>
      </c>
      <c r="B3" t="s">
        <v>15</v>
      </c>
      <c r="C3" s="6">
        <v>44121</v>
      </c>
      <c r="D3">
        <f>YEAR(Table1[[#This Row],[Join Date]])</f>
        <v>2020</v>
      </c>
      <c r="E3" s="6" t="s">
        <v>48</v>
      </c>
      <c r="F3" t="str">
        <f>IFERROR(YEAR(Table1[[#This Row],[Exit Date]]), " ")</f>
        <v xml:space="preserve"> </v>
      </c>
      <c r="G3" t="str">
        <f>IFERROR((Table1[[#This Row],[Exit Year]]-Table1[[#This Row],[Join Year]])+1," ")</f>
        <v xml:space="preserve"> </v>
      </c>
      <c r="H3" t="s">
        <v>48</v>
      </c>
      <c r="I3" t="s">
        <v>11</v>
      </c>
      <c r="J3" t="s">
        <v>12</v>
      </c>
      <c r="K3">
        <v>22</v>
      </c>
      <c r="L3" t="str">
        <f>IF(Table1[[#This Row],[Age]]&lt;30,"20-29",
IF(Table1[[#This Row],[Age]]&lt;40,"30-39",
IF(Table1[[#This Row],[Age]]&lt;50,"40-49",
IF(Table1[[#This Row],[Age]]&lt;60,"50-59","60+"))))</f>
        <v>20-29</v>
      </c>
      <c r="M3" t="s">
        <v>16</v>
      </c>
      <c r="N3" t="s">
        <v>17</v>
      </c>
    </row>
    <row r="4" spans="1:14" x14ac:dyDescent="0.35">
      <c r="A4">
        <v>103</v>
      </c>
      <c r="B4" t="s">
        <v>15</v>
      </c>
      <c r="C4" s="6">
        <v>44423</v>
      </c>
      <c r="D4">
        <f>YEAR(Table1[[#This Row],[Join Date]])</f>
        <v>2021</v>
      </c>
      <c r="E4" s="6" t="s">
        <v>48</v>
      </c>
      <c r="F4" t="str">
        <f>IFERROR(YEAR(Table1[[#This Row],[Exit Date]]), " ")</f>
        <v xml:space="preserve"> </v>
      </c>
      <c r="G4" t="str">
        <f>IFERROR((Table1[[#This Row],[Exit Year]]-Table1[[#This Row],[Join Year]])+1," ")</f>
        <v xml:space="preserve"> </v>
      </c>
      <c r="H4" t="s">
        <v>48</v>
      </c>
      <c r="I4" t="s">
        <v>11</v>
      </c>
      <c r="J4" t="s">
        <v>18</v>
      </c>
      <c r="K4">
        <v>50</v>
      </c>
      <c r="L4" t="str">
        <f>IF(Table1[[#This Row],[Age]]&lt;30,"20-29",
IF(Table1[[#This Row],[Age]]&lt;40,"30-39",
IF(Table1[[#This Row],[Age]]&lt;50,"40-49",
IF(Table1[[#This Row],[Age]]&lt;60,"50-59","60+"))))</f>
        <v>50-59</v>
      </c>
      <c r="M4" t="s">
        <v>16</v>
      </c>
      <c r="N4" t="s">
        <v>19</v>
      </c>
    </row>
    <row r="5" spans="1:14" x14ac:dyDescent="0.35">
      <c r="A5">
        <v>104</v>
      </c>
      <c r="B5" t="s">
        <v>15</v>
      </c>
      <c r="C5" s="6">
        <v>45087</v>
      </c>
      <c r="D5">
        <f>YEAR(Table1[[#This Row],[Join Date]])</f>
        <v>2023</v>
      </c>
      <c r="E5" s="6" t="s">
        <v>48</v>
      </c>
      <c r="F5" t="str">
        <f>IFERROR(YEAR(Table1[[#This Row],[Exit Date]]), " ")</f>
        <v xml:space="preserve"> </v>
      </c>
      <c r="G5" t="str">
        <f>IFERROR((Table1[[#This Row],[Exit Year]]-Table1[[#This Row],[Join Year]])+1," ")</f>
        <v xml:space="preserve"> </v>
      </c>
      <c r="H5" t="s">
        <v>48</v>
      </c>
      <c r="I5" t="s">
        <v>11</v>
      </c>
      <c r="J5" t="s">
        <v>18</v>
      </c>
      <c r="K5">
        <v>24</v>
      </c>
      <c r="L5" t="str">
        <f>IF(Table1[[#This Row],[Age]]&lt;30,"20-29",
IF(Table1[[#This Row],[Age]]&lt;40,"30-39",
IF(Table1[[#This Row],[Age]]&lt;50,"40-49",
IF(Table1[[#This Row],[Age]]&lt;60,"50-59","60+"))))</f>
        <v>20-29</v>
      </c>
      <c r="M5" t="s">
        <v>20</v>
      </c>
      <c r="N5" t="s">
        <v>21</v>
      </c>
    </row>
    <row r="6" spans="1:14" x14ac:dyDescent="0.35">
      <c r="A6">
        <v>105</v>
      </c>
      <c r="B6" t="s">
        <v>15</v>
      </c>
      <c r="C6" s="6">
        <v>43479</v>
      </c>
      <c r="D6">
        <f>YEAR(Table1[[#This Row],[Join Date]])</f>
        <v>2019</v>
      </c>
      <c r="E6" s="6">
        <v>44449</v>
      </c>
      <c r="F6">
        <f>IFERROR(YEAR(Table1[[#This Row],[Exit Date]]), " ")</f>
        <v>2021</v>
      </c>
      <c r="G6">
        <f>IFERROR((Table1[[#This Row],[Exit Year]]-Table1[[#This Row],[Join Year]])+1," ")</f>
        <v>3</v>
      </c>
      <c r="H6" t="s">
        <v>22</v>
      </c>
      <c r="I6" t="s">
        <v>23</v>
      </c>
      <c r="J6" t="s">
        <v>12</v>
      </c>
      <c r="K6">
        <v>50</v>
      </c>
      <c r="L6" t="str">
        <f>IF(Table1[[#This Row],[Age]]&lt;30,"20-29",
IF(Table1[[#This Row],[Age]]&lt;40,"30-39",
IF(Table1[[#This Row],[Age]]&lt;50,"40-49",
IF(Table1[[#This Row],[Age]]&lt;60,"50-59","60+"))))</f>
        <v>50-59</v>
      </c>
      <c r="M6" t="s">
        <v>24</v>
      </c>
      <c r="N6" t="s">
        <v>25</v>
      </c>
    </row>
    <row r="7" spans="1:14" x14ac:dyDescent="0.35">
      <c r="A7">
        <v>106</v>
      </c>
      <c r="B7" t="s">
        <v>26</v>
      </c>
      <c r="C7" s="6">
        <v>44749</v>
      </c>
      <c r="D7">
        <f>YEAR(Table1[[#This Row],[Join Date]])</f>
        <v>2022</v>
      </c>
      <c r="E7" s="6">
        <v>44972</v>
      </c>
      <c r="F7">
        <f>IFERROR(YEAR(Table1[[#This Row],[Exit Date]]), " ")</f>
        <v>2023</v>
      </c>
      <c r="G7">
        <f>IFERROR((Table1[[#This Row],[Exit Year]]-Table1[[#This Row],[Join Year]])+1," ")</f>
        <v>2</v>
      </c>
      <c r="H7" t="s">
        <v>27</v>
      </c>
      <c r="I7" t="s">
        <v>23</v>
      </c>
      <c r="J7" t="s">
        <v>12</v>
      </c>
      <c r="K7">
        <v>60</v>
      </c>
      <c r="L7" t="str">
        <f>IF(Table1[[#This Row],[Age]]&lt;30,"20-29",
IF(Table1[[#This Row],[Age]]&lt;40,"30-39",
IF(Table1[[#This Row],[Age]]&lt;50,"40-49",
IF(Table1[[#This Row],[Age]]&lt;60,"50-59","60+"))))</f>
        <v>60+</v>
      </c>
      <c r="M7" t="s">
        <v>13</v>
      </c>
      <c r="N7" t="s">
        <v>28</v>
      </c>
    </row>
    <row r="8" spans="1:14" x14ac:dyDescent="0.35">
      <c r="A8">
        <v>107</v>
      </c>
      <c r="B8" t="s">
        <v>29</v>
      </c>
      <c r="C8" s="6">
        <v>45457</v>
      </c>
      <c r="D8">
        <f>YEAR(Table1[[#This Row],[Join Date]])</f>
        <v>2024</v>
      </c>
      <c r="E8" s="6" t="s">
        <v>48</v>
      </c>
      <c r="F8" t="str">
        <f>IFERROR(YEAR(Table1[[#This Row],[Exit Date]]), " ")</f>
        <v xml:space="preserve"> </v>
      </c>
      <c r="G8" t="str">
        <f>IFERROR((Table1[[#This Row],[Exit Year]]-Table1[[#This Row],[Join Year]])+1," ")</f>
        <v xml:space="preserve"> </v>
      </c>
      <c r="H8" t="s">
        <v>48</v>
      </c>
      <c r="I8" t="s">
        <v>11</v>
      </c>
      <c r="J8" t="s">
        <v>12</v>
      </c>
      <c r="K8">
        <v>40</v>
      </c>
      <c r="L8" t="str">
        <f>IF(Table1[[#This Row],[Age]]&lt;30,"20-29",
IF(Table1[[#This Row],[Age]]&lt;40,"30-39",
IF(Table1[[#This Row],[Age]]&lt;50,"40-49",
IF(Table1[[#This Row],[Age]]&lt;60,"50-59","60+"))))</f>
        <v>40-49</v>
      </c>
      <c r="M8" t="s">
        <v>30</v>
      </c>
      <c r="N8" t="s">
        <v>31</v>
      </c>
    </row>
    <row r="9" spans="1:14" x14ac:dyDescent="0.35">
      <c r="A9">
        <v>108</v>
      </c>
      <c r="B9" t="s">
        <v>10</v>
      </c>
      <c r="C9" s="6">
        <v>43304</v>
      </c>
      <c r="D9">
        <f>YEAR(Table1[[#This Row],[Join Date]])</f>
        <v>2018</v>
      </c>
      <c r="E9" s="6" t="s">
        <v>48</v>
      </c>
      <c r="F9" t="str">
        <f>IFERROR(YEAR(Table1[[#This Row],[Exit Date]]), " ")</f>
        <v xml:space="preserve"> </v>
      </c>
      <c r="G9" t="str">
        <f>IFERROR((Table1[[#This Row],[Exit Year]]-Table1[[#This Row],[Join Year]])+1," ")</f>
        <v xml:space="preserve"> </v>
      </c>
      <c r="H9" t="s">
        <v>48</v>
      </c>
      <c r="I9" t="s">
        <v>11</v>
      </c>
      <c r="J9" t="s">
        <v>18</v>
      </c>
      <c r="K9">
        <v>32</v>
      </c>
      <c r="L9" t="str">
        <f>IF(Table1[[#This Row],[Age]]&lt;30,"20-29",
IF(Table1[[#This Row],[Age]]&lt;40,"30-39",
IF(Table1[[#This Row],[Age]]&lt;50,"40-49",
IF(Table1[[#This Row],[Age]]&lt;60,"50-59","60+"))))</f>
        <v>30-39</v>
      </c>
      <c r="M9" t="s">
        <v>13</v>
      </c>
      <c r="N9" t="s">
        <v>32</v>
      </c>
    </row>
    <row r="10" spans="1:14" x14ac:dyDescent="0.35">
      <c r="A10">
        <v>109</v>
      </c>
      <c r="B10" t="s">
        <v>15</v>
      </c>
      <c r="C10" s="6">
        <v>44987</v>
      </c>
      <c r="D10">
        <f>YEAR(Table1[[#This Row],[Join Date]])</f>
        <v>2023</v>
      </c>
      <c r="E10" s="6" t="s">
        <v>48</v>
      </c>
      <c r="F10" t="str">
        <f>IFERROR(YEAR(Table1[[#This Row],[Exit Date]]), " ")</f>
        <v xml:space="preserve"> </v>
      </c>
      <c r="G10" t="str">
        <f>IFERROR((Table1[[#This Row],[Exit Year]]-Table1[[#This Row],[Join Year]])+1," ")</f>
        <v xml:space="preserve"> </v>
      </c>
      <c r="H10" t="s">
        <v>48</v>
      </c>
      <c r="I10" t="s">
        <v>11</v>
      </c>
      <c r="J10" t="s">
        <v>12</v>
      </c>
      <c r="K10">
        <v>50</v>
      </c>
      <c r="L10" t="str">
        <f>IF(Table1[[#This Row],[Age]]&lt;30,"20-29",
IF(Table1[[#This Row],[Age]]&lt;40,"30-39",
IF(Table1[[#This Row],[Age]]&lt;50,"40-49",
IF(Table1[[#This Row],[Age]]&lt;60,"50-59","60+"))))</f>
        <v>50-59</v>
      </c>
      <c r="M10" t="s">
        <v>13</v>
      </c>
      <c r="N10" t="s">
        <v>33</v>
      </c>
    </row>
    <row r="11" spans="1:14" x14ac:dyDescent="0.35">
      <c r="A11">
        <v>110</v>
      </c>
      <c r="B11" t="s">
        <v>34</v>
      </c>
      <c r="C11" s="6">
        <v>45326</v>
      </c>
      <c r="D11">
        <f>YEAR(Table1[[#This Row],[Join Date]])</f>
        <v>2024</v>
      </c>
      <c r="E11" s="6" t="s">
        <v>48</v>
      </c>
      <c r="F11" t="str">
        <f>IFERROR(YEAR(Table1[[#This Row],[Exit Date]]), " ")</f>
        <v xml:space="preserve"> </v>
      </c>
      <c r="G11" t="str">
        <f>IFERROR((Table1[[#This Row],[Exit Year]]-Table1[[#This Row],[Join Year]])+1," ")</f>
        <v xml:space="preserve"> </v>
      </c>
      <c r="H11" t="s">
        <v>48</v>
      </c>
      <c r="I11" t="s">
        <v>11</v>
      </c>
      <c r="J11" t="s">
        <v>12</v>
      </c>
      <c r="K11">
        <v>24</v>
      </c>
      <c r="L11" t="str">
        <f>IF(Table1[[#This Row],[Age]]&lt;30,"20-29",
IF(Table1[[#This Row],[Age]]&lt;40,"30-39",
IF(Table1[[#This Row],[Age]]&lt;50,"40-49",
IF(Table1[[#This Row],[Age]]&lt;60,"50-59","60+"))))</f>
        <v>20-29</v>
      </c>
      <c r="M11" t="s">
        <v>16</v>
      </c>
      <c r="N11" t="s">
        <v>35</v>
      </c>
    </row>
    <row r="12" spans="1:14" x14ac:dyDescent="0.35">
      <c r="A12">
        <v>111</v>
      </c>
      <c r="B12" t="s">
        <v>36</v>
      </c>
      <c r="C12" s="6">
        <v>45474</v>
      </c>
      <c r="D12">
        <f>YEAR(Table1[[#This Row],[Join Date]])</f>
        <v>2024</v>
      </c>
      <c r="E12" s="6" t="s">
        <v>48</v>
      </c>
      <c r="F12" t="str">
        <f>IFERROR(YEAR(Table1[[#This Row],[Exit Date]]), " ")</f>
        <v xml:space="preserve"> </v>
      </c>
      <c r="G12" t="str">
        <f>IFERROR((Table1[[#This Row],[Exit Year]]-Table1[[#This Row],[Join Year]])+1," ")</f>
        <v xml:space="preserve"> </v>
      </c>
      <c r="H12" t="s">
        <v>48</v>
      </c>
      <c r="I12" t="s">
        <v>11</v>
      </c>
      <c r="J12" t="s">
        <v>18</v>
      </c>
      <c r="K12">
        <v>36</v>
      </c>
      <c r="L12" t="str">
        <f>IF(Table1[[#This Row],[Age]]&lt;30,"20-29",
IF(Table1[[#This Row],[Age]]&lt;40,"30-39",
IF(Table1[[#This Row],[Age]]&lt;50,"40-49",
IF(Table1[[#This Row],[Age]]&lt;60,"50-59","60+"))))</f>
        <v>30-39</v>
      </c>
      <c r="M12" t="s">
        <v>13</v>
      </c>
      <c r="N12" t="s">
        <v>37</v>
      </c>
    </row>
    <row r="13" spans="1:14" x14ac:dyDescent="0.35">
      <c r="A13">
        <v>112</v>
      </c>
      <c r="B13" t="s">
        <v>29</v>
      </c>
      <c r="C13" s="6">
        <v>44227</v>
      </c>
      <c r="D13">
        <f>YEAR(Table1[[#This Row],[Join Date]])</f>
        <v>2021</v>
      </c>
      <c r="E13" s="6">
        <v>45322</v>
      </c>
      <c r="F13">
        <f>IFERROR(YEAR(Table1[[#This Row],[Exit Date]]), " ")</f>
        <v>2024</v>
      </c>
      <c r="G13">
        <f>IFERROR((Table1[[#This Row],[Exit Year]]-Table1[[#This Row],[Join Year]])+1," ")</f>
        <v>4</v>
      </c>
      <c r="H13" t="s">
        <v>27</v>
      </c>
      <c r="I13" t="s">
        <v>23</v>
      </c>
      <c r="J13" t="s">
        <v>12</v>
      </c>
      <c r="K13">
        <v>63</v>
      </c>
      <c r="L13" t="str">
        <f>IF(Table1[[#This Row],[Age]]&lt;30,"20-29",
IF(Table1[[#This Row],[Age]]&lt;40,"30-39",
IF(Table1[[#This Row],[Age]]&lt;50,"40-49",
IF(Table1[[#This Row],[Age]]&lt;60,"50-59","60+"))))</f>
        <v>60+</v>
      </c>
      <c r="M13" t="s">
        <v>20</v>
      </c>
      <c r="N13" t="s">
        <v>14</v>
      </c>
    </row>
    <row r="14" spans="1:14" x14ac:dyDescent="0.35">
      <c r="A14">
        <v>113</v>
      </c>
      <c r="B14" t="s">
        <v>10</v>
      </c>
      <c r="C14" s="6">
        <v>43446</v>
      </c>
      <c r="D14">
        <f>YEAR(Table1[[#This Row],[Join Date]])</f>
        <v>2018</v>
      </c>
      <c r="E14" s="6">
        <v>43936</v>
      </c>
      <c r="F14">
        <f>IFERROR(YEAR(Table1[[#This Row],[Exit Date]]), " ")</f>
        <v>2020</v>
      </c>
      <c r="G14">
        <f>IFERROR((Table1[[#This Row],[Exit Year]]-Table1[[#This Row],[Join Year]])+1," ")</f>
        <v>3</v>
      </c>
      <c r="H14" t="s">
        <v>38</v>
      </c>
      <c r="I14" t="s">
        <v>23</v>
      </c>
      <c r="J14" t="s">
        <v>18</v>
      </c>
      <c r="K14">
        <v>43</v>
      </c>
      <c r="L14" t="str">
        <f>IF(Table1[[#This Row],[Age]]&lt;30,"20-29",
IF(Table1[[#This Row],[Age]]&lt;40,"30-39",
IF(Table1[[#This Row],[Age]]&lt;50,"40-49",
IF(Table1[[#This Row],[Age]]&lt;60,"50-59","60+"))))</f>
        <v>40-49</v>
      </c>
      <c r="M14" t="s">
        <v>39</v>
      </c>
      <c r="N14" t="s">
        <v>17</v>
      </c>
    </row>
    <row r="15" spans="1:14" x14ac:dyDescent="0.35">
      <c r="A15">
        <v>114</v>
      </c>
      <c r="B15" t="s">
        <v>15</v>
      </c>
      <c r="C15" s="6">
        <v>45314</v>
      </c>
      <c r="D15">
        <f>YEAR(Table1[[#This Row],[Join Date]])</f>
        <v>2024</v>
      </c>
      <c r="E15" s="6" t="s">
        <v>48</v>
      </c>
      <c r="F15" t="str">
        <f>IFERROR(YEAR(Table1[[#This Row],[Exit Date]]), " ")</f>
        <v xml:space="preserve"> </v>
      </c>
      <c r="G15" t="str">
        <f>IFERROR((Table1[[#This Row],[Exit Year]]-Table1[[#This Row],[Join Year]])+1," ")</f>
        <v xml:space="preserve"> </v>
      </c>
      <c r="H15" t="s">
        <v>48</v>
      </c>
      <c r="I15" t="s">
        <v>11</v>
      </c>
      <c r="J15" t="s">
        <v>18</v>
      </c>
      <c r="K15">
        <v>40</v>
      </c>
      <c r="L15" t="str">
        <f>IF(Table1[[#This Row],[Age]]&lt;30,"20-29",
IF(Table1[[#This Row],[Age]]&lt;40,"30-39",
IF(Table1[[#This Row],[Age]]&lt;50,"40-49",
IF(Table1[[#This Row],[Age]]&lt;60,"50-59","60+"))))</f>
        <v>40-49</v>
      </c>
      <c r="M15" t="s">
        <v>13</v>
      </c>
      <c r="N15" t="s">
        <v>19</v>
      </c>
    </row>
    <row r="16" spans="1:14" x14ac:dyDescent="0.35">
      <c r="A16">
        <v>115</v>
      </c>
      <c r="B16" t="s">
        <v>15</v>
      </c>
      <c r="C16" s="6">
        <v>43123</v>
      </c>
      <c r="D16">
        <f>YEAR(Table1[[#This Row],[Join Date]])</f>
        <v>2018</v>
      </c>
      <c r="E16" s="6" t="s">
        <v>48</v>
      </c>
      <c r="F16" t="str">
        <f>IFERROR(YEAR(Table1[[#This Row],[Exit Date]]), " ")</f>
        <v xml:space="preserve"> </v>
      </c>
      <c r="G16" t="str">
        <f>IFERROR((Table1[[#This Row],[Exit Year]]-Table1[[#This Row],[Join Year]])+1," ")</f>
        <v xml:space="preserve"> </v>
      </c>
      <c r="H16" t="s">
        <v>48</v>
      </c>
      <c r="I16" t="s">
        <v>11</v>
      </c>
      <c r="J16" t="s">
        <v>12</v>
      </c>
      <c r="K16">
        <v>42</v>
      </c>
      <c r="L16" t="str">
        <f>IF(Table1[[#This Row],[Age]]&lt;30,"20-29",
IF(Table1[[#This Row],[Age]]&lt;40,"30-39",
IF(Table1[[#This Row],[Age]]&lt;50,"40-49",
IF(Table1[[#This Row],[Age]]&lt;60,"50-59","60+"))))</f>
        <v>40-49</v>
      </c>
      <c r="M16" t="s">
        <v>16</v>
      </c>
      <c r="N16" t="s">
        <v>21</v>
      </c>
    </row>
    <row r="17" spans="1:14" x14ac:dyDescent="0.35">
      <c r="A17">
        <v>116</v>
      </c>
      <c r="B17" t="s">
        <v>10</v>
      </c>
      <c r="C17" s="6">
        <v>43717</v>
      </c>
      <c r="D17">
        <f>YEAR(Table1[[#This Row],[Join Date]])</f>
        <v>2019</v>
      </c>
      <c r="E17" s="6">
        <v>44677</v>
      </c>
      <c r="F17">
        <f>IFERROR(YEAR(Table1[[#This Row],[Exit Date]]), " ")</f>
        <v>2022</v>
      </c>
      <c r="G17">
        <f>IFERROR((Table1[[#This Row],[Exit Year]]-Table1[[#This Row],[Join Year]])+1," ")</f>
        <v>4</v>
      </c>
      <c r="H17" t="s">
        <v>40</v>
      </c>
      <c r="I17" t="s">
        <v>23</v>
      </c>
      <c r="J17" t="s">
        <v>12</v>
      </c>
      <c r="K17">
        <v>35</v>
      </c>
      <c r="L17" t="str">
        <f>IF(Table1[[#This Row],[Age]]&lt;30,"20-29",
IF(Table1[[#This Row],[Age]]&lt;40,"30-39",
IF(Table1[[#This Row],[Age]]&lt;50,"40-49",
IF(Table1[[#This Row],[Age]]&lt;60,"50-59","60+"))))</f>
        <v>30-39</v>
      </c>
      <c r="M17" t="s">
        <v>16</v>
      </c>
      <c r="N17" t="s">
        <v>25</v>
      </c>
    </row>
    <row r="18" spans="1:14" x14ac:dyDescent="0.35">
      <c r="A18">
        <v>117</v>
      </c>
      <c r="B18" t="s">
        <v>29</v>
      </c>
      <c r="C18" s="6">
        <v>43534</v>
      </c>
      <c r="D18">
        <f>YEAR(Table1[[#This Row],[Join Date]])</f>
        <v>2019</v>
      </c>
      <c r="E18" s="6">
        <v>44117</v>
      </c>
      <c r="F18">
        <f>IFERROR(YEAR(Table1[[#This Row],[Exit Date]]), " ")</f>
        <v>2020</v>
      </c>
      <c r="G18">
        <f>IFERROR((Table1[[#This Row],[Exit Year]]-Table1[[#This Row],[Join Year]])+1," ")</f>
        <v>2</v>
      </c>
      <c r="H18" t="s">
        <v>38</v>
      </c>
      <c r="I18" t="s">
        <v>23</v>
      </c>
      <c r="J18" t="s">
        <v>12</v>
      </c>
      <c r="K18">
        <v>31</v>
      </c>
      <c r="L18" t="str">
        <f>IF(Table1[[#This Row],[Age]]&lt;30,"20-29",
IF(Table1[[#This Row],[Age]]&lt;40,"30-39",
IF(Table1[[#This Row],[Age]]&lt;50,"40-49",
IF(Table1[[#This Row],[Age]]&lt;60,"50-59","60+"))))</f>
        <v>30-39</v>
      </c>
      <c r="M18" t="s">
        <v>20</v>
      </c>
      <c r="N18" t="s">
        <v>28</v>
      </c>
    </row>
    <row r="19" spans="1:14" x14ac:dyDescent="0.35">
      <c r="A19">
        <v>118</v>
      </c>
      <c r="B19" t="s">
        <v>36</v>
      </c>
      <c r="C19" s="6">
        <v>44619</v>
      </c>
      <c r="D19">
        <f>YEAR(Table1[[#This Row],[Join Date]])</f>
        <v>2022</v>
      </c>
      <c r="E19" s="6" t="s">
        <v>48</v>
      </c>
      <c r="F19" t="str">
        <f>IFERROR(YEAR(Table1[[#This Row],[Exit Date]]), " ")</f>
        <v xml:space="preserve"> </v>
      </c>
      <c r="G19" t="str">
        <f>IFERROR((Table1[[#This Row],[Exit Year]]-Table1[[#This Row],[Join Year]])+1," ")</f>
        <v xml:space="preserve"> </v>
      </c>
      <c r="H19" t="s">
        <v>48</v>
      </c>
      <c r="I19" t="s">
        <v>11</v>
      </c>
      <c r="J19" t="s">
        <v>18</v>
      </c>
      <c r="K19">
        <v>51</v>
      </c>
      <c r="L19" t="str">
        <f>IF(Table1[[#This Row],[Age]]&lt;30,"20-29",
IF(Table1[[#This Row],[Age]]&lt;40,"30-39",
IF(Table1[[#This Row],[Age]]&lt;50,"40-49",
IF(Table1[[#This Row],[Age]]&lt;60,"50-59","60+"))))</f>
        <v>50-59</v>
      </c>
      <c r="M19" t="s">
        <v>24</v>
      </c>
      <c r="N19" t="s">
        <v>31</v>
      </c>
    </row>
    <row r="20" spans="1:14" x14ac:dyDescent="0.35">
      <c r="A20">
        <v>119</v>
      </c>
      <c r="B20" t="s">
        <v>10</v>
      </c>
      <c r="C20" s="6">
        <v>45485</v>
      </c>
      <c r="D20">
        <f>YEAR(Table1[[#This Row],[Join Date]])</f>
        <v>2024</v>
      </c>
      <c r="E20" s="6" t="s">
        <v>48</v>
      </c>
      <c r="F20" t="str">
        <f>IFERROR(YEAR(Table1[[#This Row],[Exit Date]]), " ")</f>
        <v xml:space="preserve"> </v>
      </c>
      <c r="G20" t="str">
        <f>IFERROR((Table1[[#This Row],[Exit Year]]-Table1[[#This Row],[Join Year]])+1," ")</f>
        <v xml:space="preserve"> </v>
      </c>
      <c r="H20" t="s">
        <v>48</v>
      </c>
      <c r="I20" t="s">
        <v>11</v>
      </c>
      <c r="J20" t="s">
        <v>18</v>
      </c>
      <c r="K20">
        <v>48</v>
      </c>
      <c r="L20" t="str">
        <f>IF(Table1[[#This Row],[Age]]&lt;30,"20-29",
IF(Table1[[#This Row],[Age]]&lt;40,"30-39",
IF(Table1[[#This Row],[Age]]&lt;50,"40-49",
IF(Table1[[#This Row],[Age]]&lt;60,"50-59","60+"))))</f>
        <v>40-49</v>
      </c>
      <c r="M20" t="s">
        <v>13</v>
      </c>
      <c r="N20" t="s">
        <v>32</v>
      </c>
    </row>
    <row r="21" spans="1:14" x14ac:dyDescent="0.35">
      <c r="A21">
        <v>120</v>
      </c>
      <c r="B21" t="s">
        <v>29</v>
      </c>
      <c r="C21" s="6">
        <v>43588</v>
      </c>
      <c r="D21">
        <f>YEAR(Table1[[#This Row],[Join Date]])</f>
        <v>2019</v>
      </c>
      <c r="E21" s="6">
        <v>44896</v>
      </c>
      <c r="F21">
        <f>IFERROR(YEAR(Table1[[#This Row],[Exit Date]]), " ")</f>
        <v>2022</v>
      </c>
      <c r="G21">
        <f>IFERROR((Table1[[#This Row],[Exit Year]]-Table1[[#This Row],[Join Year]])+1," ")</f>
        <v>4</v>
      </c>
      <c r="H21" t="s">
        <v>41</v>
      </c>
      <c r="I21" t="s">
        <v>23</v>
      </c>
      <c r="J21" t="s">
        <v>12</v>
      </c>
      <c r="K21">
        <v>41</v>
      </c>
      <c r="L21" t="str">
        <f>IF(Table1[[#This Row],[Age]]&lt;30,"20-29",
IF(Table1[[#This Row],[Age]]&lt;40,"30-39",
IF(Table1[[#This Row],[Age]]&lt;50,"40-49",
IF(Table1[[#This Row],[Age]]&lt;60,"50-59","60+"))))</f>
        <v>40-49</v>
      </c>
      <c r="M21" t="s">
        <v>42</v>
      </c>
      <c r="N21" t="s">
        <v>33</v>
      </c>
    </row>
    <row r="22" spans="1:14" x14ac:dyDescent="0.35">
      <c r="A22">
        <v>121</v>
      </c>
      <c r="B22" t="s">
        <v>36</v>
      </c>
      <c r="C22" s="6">
        <v>44250</v>
      </c>
      <c r="D22">
        <f>YEAR(Table1[[#This Row],[Join Date]])</f>
        <v>2021</v>
      </c>
      <c r="E22" s="6">
        <v>45392</v>
      </c>
      <c r="F22">
        <f>IFERROR(YEAR(Table1[[#This Row],[Exit Date]]), " ")</f>
        <v>2024</v>
      </c>
      <c r="G22">
        <f>IFERROR((Table1[[#This Row],[Exit Year]]-Table1[[#This Row],[Join Year]])+1," ")</f>
        <v>4</v>
      </c>
      <c r="H22" t="s">
        <v>27</v>
      </c>
      <c r="I22" t="s">
        <v>23</v>
      </c>
      <c r="J22" t="s">
        <v>18</v>
      </c>
      <c r="K22">
        <v>62</v>
      </c>
      <c r="L22" t="str">
        <f>IF(Table1[[#This Row],[Age]]&lt;30,"20-29",
IF(Table1[[#This Row],[Age]]&lt;40,"30-39",
IF(Table1[[#This Row],[Age]]&lt;50,"40-49",
IF(Table1[[#This Row],[Age]]&lt;60,"50-59","60+"))))</f>
        <v>60+</v>
      </c>
      <c r="M22" t="s">
        <v>13</v>
      </c>
      <c r="N22" t="s">
        <v>35</v>
      </c>
    </row>
    <row r="23" spans="1:14" x14ac:dyDescent="0.35">
      <c r="A23">
        <v>122</v>
      </c>
      <c r="B23" t="s">
        <v>26</v>
      </c>
      <c r="C23" s="6">
        <v>45244</v>
      </c>
      <c r="D23">
        <f>YEAR(Table1[[#This Row],[Join Date]])</f>
        <v>2023</v>
      </c>
      <c r="E23" s="6">
        <v>45446</v>
      </c>
      <c r="F23">
        <f>IFERROR(YEAR(Table1[[#This Row],[Exit Date]]), " ")</f>
        <v>2024</v>
      </c>
      <c r="G23">
        <f>IFERROR((Table1[[#This Row],[Exit Year]]-Table1[[#This Row],[Join Year]])+1," ")</f>
        <v>2</v>
      </c>
      <c r="H23" t="s">
        <v>40</v>
      </c>
      <c r="I23" t="s">
        <v>23</v>
      </c>
      <c r="J23" t="s">
        <v>18</v>
      </c>
      <c r="K23">
        <v>24</v>
      </c>
      <c r="L23" t="str">
        <f>IF(Table1[[#This Row],[Age]]&lt;30,"20-29",
IF(Table1[[#This Row],[Age]]&lt;40,"30-39",
IF(Table1[[#This Row],[Age]]&lt;50,"40-49",
IF(Table1[[#This Row],[Age]]&lt;60,"50-59","60+"))))</f>
        <v>20-29</v>
      </c>
      <c r="M23" t="s">
        <v>13</v>
      </c>
      <c r="N23" t="s">
        <v>37</v>
      </c>
    </row>
    <row r="24" spans="1:14" x14ac:dyDescent="0.35">
      <c r="A24">
        <v>123</v>
      </c>
      <c r="B24" t="s">
        <v>15</v>
      </c>
      <c r="C24" s="6">
        <v>45256</v>
      </c>
      <c r="D24">
        <f>YEAR(Table1[[#This Row],[Join Date]])</f>
        <v>2023</v>
      </c>
      <c r="E24" s="6" t="s">
        <v>48</v>
      </c>
      <c r="F24" t="str">
        <f>IFERROR(YEAR(Table1[[#This Row],[Exit Date]]), " ")</f>
        <v xml:space="preserve"> </v>
      </c>
      <c r="G24" t="str">
        <f>IFERROR((Table1[[#This Row],[Exit Year]]-Table1[[#This Row],[Join Year]])+1," ")</f>
        <v xml:space="preserve"> </v>
      </c>
      <c r="H24" t="s">
        <v>48</v>
      </c>
      <c r="I24" t="s">
        <v>11</v>
      </c>
      <c r="J24" t="s">
        <v>12</v>
      </c>
      <c r="K24">
        <v>41</v>
      </c>
      <c r="L24" t="str">
        <f>IF(Table1[[#This Row],[Age]]&lt;30,"20-29",
IF(Table1[[#This Row],[Age]]&lt;40,"30-39",
IF(Table1[[#This Row],[Age]]&lt;50,"40-49",
IF(Table1[[#This Row],[Age]]&lt;60,"50-59","60+"))))</f>
        <v>40-49</v>
      </c>
      <c r="M24" t="s">
        <v>16</v>
      </c>
      <c r="N24" t="s">
        <v>14</v>
      </c>
    </row>
    <row r="25" spans="1:14" x14ac:dyDescent="0.35">
      <c r="A25">
        <v>124</v>
      </c>
      <c r="B25" t="s">
        <v>26</v>
      </c>
      <c r="C25" s="6">
        <v>45465</v>
      </c>
      <c r="D25">
        <f>YEAR(Table1[[#This Row],[Join Date]])</f>
        <v>2024</v>
      </c>
      <c r="E25" s="6" t="s">
        <v>48</v>
      </c>
      <c r="F25" t="str">
        <f>IFERROR(YEAR(Table1[[#This Row],[Exit Date]]), " ")</f>
        <v xml:space="preserve"> </v>
      </c>
      <c r="G25" t="str">
        <f>IFERROR((Table1[[#This Row],[Exit Year]]-Table1[[#This Row],[Join Year]])+1," ")</f>
        <v xml:space="preserve"> </v>
      </c>
      <c r="H25" t="s">
        <v>48</v>
      </c>
      <c r="I25" t="s">
        <v>11</v>
      </c>
      <c r="J25" t="s">
        <v>12</v>
      </c>
      <c r="K25">
        <v>40</v>
      </c>
      <c r="L25" t="str">
        <f>IF(Table1[[#This Row],[Age]]&lt;30,"20-29",
IF(Table1[[#This Row],[Age]]&lt;40,"30-39",
IF(Table1[[#This Row],[Age]]&lt;50,"40-49",
IF(Table1[[#This Row],[Age]]&lt;60,"50-59","60+"))))</f>
        <v>40-49</v>
      </c>
      <c r="M25" t="s">
        <v>13</v>
      </c>
      <c r="N25" t="s">
        <v>17</v>
      </c>
    </row>
    <row r="26" spans="1:14" x14ac:dyDescent="0.35">
      <c r="A26">
        <v>125</v>
      </c>
      <c r="B26" t="s">
        <v>10</v>
      </c>
      <c r="C26" s="6">
        <v>43597</v>
      </c>
      <c r="D26">
        <f>YEAR(Table1[[#This Row],[Join Date]])</f>
        <v>2019</v>
      </c>
      <c r="E26" s="6" t="s">
        <v>48</v>
      </c>
      <c r="F26" t="str">
        <f>IFERROR(YEAR(Table1[[#This Row],[Exit Date]]), " ")</f>
        <v xml:space="preserve"> </v>
      </c>
      <c r="G26" t="str">
        <f>IFERROR((Table1[[#This Row],[Exit Year]]-Table1[[#This Row],[Join Year]])+1," ")</f>
        <v xml:space="preserve"> </v>
      </c>
      <c r="H26" t="s">
        <v>48</v>
      </c>
      <c r="I26" t="s">
        <v>11</v>
      </c>
      <c r="J26" t="s">
        <v>12</v>
      </c>
      <c r="K26">
        <v>48</v>
      </c>
      <c r="L26" t="str">
        <f>IF(Table1[[#This Row],[Age]]&lt;30,"20-29",
IF(Table1[[#This Row],[Age]]&lt;40,"30-39",
IF(Table1[[#This Row],[Age]]&lt;50,"40-49",
IF(Table1[[#This Row],[Age]]&lt;60,"50-59","60+"))))</f>
        <v>40-49</v>
      </c>
      <c r="M26" t="s">
        <v>20</v>
      </c>
      <c r="N26" t="s">
        <v>19</v>
      </c>
    </row>
    <row r="27" spans="1:14" x14ac:dyDescent="0.35">
      <c r="A27">
        <v>126</v>
      </c>
      <c r="B27" t="s">
        <v>15</v>
      </c>
      <c r="C27" s="6">
        <v>44866</v>
      </c>
      <c r="D27">
        <f>YEAR(Table1[[#This Row],[Join Date]])</f>
        <v>2022</v>
      </c>
      <c r="E27" s="6" t="s">
        <v>48</v>
      </c>
      <c r="F27" t="str">
        <f>IFERROR(YEAR(Table1[[#This Row],[Exit Date]]), " ")</f>
        <v xml:space="preserve"> </v>
      </c>
      <c r="G27" t="str">
        <f>IFERROR((Table1[[#This Row],[Exit Year]]-Table1[[#This Row],[Join Year]])+1," ")</f>
        <v xml:space="preserve"> </v>
      </c>
      <c r="H27" t="s">
        <v>48</v>
      </c>
      <c r="I27" t="s">
        <v>11</v>
      </c>
      <c r="J27" t="s">
        <v>12</v>
      </c>
      <c r="K27">
        <v>52</v>
      </c>
      <c r="L27" t="str">
        <f>IF(Table1[[#This Row],[Age]]&lt;30,"20-29",
IF(Table1[[#This Row],[Age]]&lt;40,"30-39",
IF(Table1[[#This Row],[Age]]&lt;50,"40-49",
IF(Table1[[#This Row],[Age]]&lt;60,"50-59","60+"))))</f>
        <v>50-59</v>
      </c>
      <c r="M27" t="s">
        <v>39</v>
      </c>
      <c r="N27" t="s">
        <v>21</v>
      </c>
    </row>
    <row r="28" spans="1:14" x14ac:dyDescent="0.35">
      <c r="A28">
        <v>127</v>
      </c>
      <c r="B28" t="s">
        <v>34</v>
      </c>
      <c r="C28" s="6">
        <v>44006</v>
      </c>
      <c r="D28">
        <f>YEAR(Table1[[#This Row],[Join Date]])</f>
        <v>2020</v>
      </c>
      <c r="E28" s="6">
        <v>44463</v>
      </c>
      <c r="F28">
        <f>IFERROR(YEAR(Table1[[#This Row],[Exit Date]]), " ")</f>
        <v>2021</v>
      </c>
      <c r="G28">
        <f>IFERROR((Table1[[#This Row],[Exit Year]]-Table1[[#This Row],[Join Year]])+1," ")</f>
        <v>2</v>
      </c>
      <c r="H28" t="s">
        <v>43</v>
      </c>
      <c r="I28" t="s">
        <v>23</v>
      </c>
      <c r="J28" t="s">
        <v>18</v>
      </c>
      <c r="K28">
        <v>33</v>
      </c>
      <c r="L28" t="str">
        <f>IF(Table1[[#This Row],[Age]]&lt;30,"20-29",
IF(Table1[[#This Row],[Age]]&lt;40,"30-39",
IF(Table1[[#This Row],[Age]]&lt;50,"40-49",
IF(Table1[[#This Row],[Age]]&lt;60,"50-59","60+"))))</f>
        <v>30-39</v>
      </c>
      <c r="M28" t="s">
        <v>13</v>
      </c>
      <c r="N28" t="s">
        <v>25</v>
      </c>
    </row>
    <row r="29" spans="1:14" x14ac:dyDescent="0.35">
      <c r="A29">
        <v>128</v>
      </c>
      <c r="B29" t="s">
        <v>26</v>
      </c>
      <c r="C29" s="6">
        <v>45095</v>
      </c>
      <c r="D29">
        <f>YEAR(Table1[[#This Row],[Join Date]])</f>
        <v>2023</v>
      </c>
      <c r="E29" s="6" t="s">
        <v>48</v>
      </c>
      <c r="F29" t="str">
        <f>IFERROR(YEAR(Table1[[#This Row],[Exit Date]]), " ")</f>
        <v xml:space="preserve"> </v>
      </c>
      <c r="G29" t="str">
        <f>IFERROR((Table1[[#This Row],[Exit Year]]-Table1[[#This Row],[Join Year]])+1," ")</f>
        <v xml:space="preserve"> </v>
      </c>
      <c r="H29" t="s">
        <v>48</v>
      </c>
      <c r="I29" t="s">
        <v>11</v>
      </c>
      <c r="J29" t="s">
        <v>18</v>
      </c>
      <c r="K29">
        <v>51</v>
      </c>
      <c r="L29" t="str">
        <f>IF(Table1[[#This Row],[Age]]&lt;30,"20-29",
IF(Table1[[#This Row],[Age]]&lt;40,"30-39",
IF(Table1[[#This Row],[Age]]&lt;50,"40-49",
IF(Table1[[#This Row],[Age]]&lt;60,"50-59","60+"))))</f>
        <v>50-59</v>
      </c>
      <c r="M29" t="s">
        <v>16</v>
      </c>
      <c r="N29" t="s">
        <v>28</v>
      </c>
    </row>
    <row r="30" spans="1:14" x14ac:dyDescent="0.35">
      <c r="A30">
        <v>129</v>
      </c>
      <c r="B30" t="s">
        <v>10</v>
      </c>
      <c r="C30" s="6">
        <v>44360</v>
      </c>
      <c r="D30">
        <f>YEAR(Table1[[#This Row],[Join Date]])</f>
        <v>2021</v>
      </c>
      <c r="E30" s="6">
        <v>44755</v>
      </c>
      <c r="F30">
        <f>IFERROR(YEAR(Table1[[#This Row],[Exit Date]]), " ")</f>
        <v>2022</v>
      </c>
      <c r="G30">
        <f>IFERROR((Table1[[#This Row],[Exit Year]]-Table1[[#This Row],[Join Year]])+1," ")</f>
        <v>2</v>
      </c>
      <c r="H30" t="s">
        <v>38</v>
      </c>
      <c r="I30" t="s">
        <v>23</v>
      </c>
      <c r="J30" t="s">
        <v>18</v>
      </c>
      <c r="K30">
        <v>46</v>
      </c>
      <c r="L30" t="str">
        <f>IF(Table1[[#This Row],[Age]]&lt;30,"20-29",
IF(Table1[[#This Row],[Age]]&lt;40,"30-39",
IF(Table1[[#This Row],[Age]]&lt;50,"40-49",
IF(Table1[[#This Row],[Age]]&lt;60,"50-59","60+"))))</f>
        <v>40-49</v>
      </c>
      <c r="M30" t="s">
        <v>16</v>
      </c>
      <c r="N30" t="s">
        <v>31</v>
      </c>
    </row>
    <row r="31" spans="1:14" x14ac:dyDescent="0.35">
      <c r="A31">
        <v>130</v>
      </c>
      <c r="B31" t="s">
        <v>26</v>
      </c>
      <c r="C31" s="6">
        <v>43419</v>
      </c>
      <c r="D31">
        <f>YEAR(Table1[[#This Row],[Join Date]])</f>
        <v>2018</v>
      </c>
      <c r="E31" s="6">
        <v>44303</v>
      </c>
      <c r="F31">
        <f>IFERROR(YEAR(Table1[[#This Row],[Exit Date]]), " ")</f>
        <v>2021</v>
      </c>
      <c r="G31">
        <f>IFERROR((Table1[[#This Row],[Exit Year]]-Table1[[#This Row],[Join Year]])+1," ")</f>
        <v>4</v>
      </c>
      <c r="H31" t="s">
        <v>22</v>
      </c>
      <c r="I31" t="s">
        <v>23</v>
      </c>
      <c r="J31" t="s">
        <v>12</v>
      </c>
      <c r="K31">
        <v>53</v>
      </c>
      <c r="L31" t="str">
        <f>IF(Table1[[#This Row],[Age]]&lt;30,"20-29",
IF(Table1[[#This Row],[Age]]&lt;40,"30-39",
IF(Table1[[#This Row],[Age]]&lt;50,"40-49",
IF(Table1[[#This Row],[Age]]&lt;60,"50-59","60+"))))</f>
        <v>50-59</v>
      </c>
      <c r="M31" t="s">
        <v>20</v>
      </c>
      <c r="N31" t="s">
        <v>32</v>
      </c>
    </row>
    <row r="32" spans="1:14" x14ac:dyDescent="0.35">
      <c r="A32">
        <v>131</v>
      </c>
      <c r="B32" t="s">
        <v>36</v>
      </c>
      <c r="C32" s="6">
        <v>44249</v>
      </c>
      <c r="D32">
        <f>YEAR(Table1[[#This Row],[Join Date]])</f>
        <v>2021</v>
      </c>
      <c r="E32" s="6" t="s">
        <v>48</v>
      </c>
      <c r="F32" t="str">
        <f>IFERROR(YEAR(Table1[[#This Row],[Exit Date]]), " ")</f>
        <v xml:space="preserve"> </v>
      </c>
      <c r="G32" t="str">
        <f>IFERROR((Table1[[#This Row],[Exit Year]]-Table1[[#This Row],[Join Year]])+1," ")</f>
        <v xml:space="preserve"> </v>
      </c>
      <c r="H32" t="s">
        <v>48</v>
      </c>
      <c r="I32" t="s">
        <v>11</v>
      </c>
      <c r="J32" t="s">
        <v>18</v>
      </c>
      <c r="K32">
        <v>35</v>
      </c>
      <c r="L32" t="str">
        <f>IF(Table1[[#This Row],[Age]]&lt;30,"20-29",
IF(Table1[[#This Row],[Age]]&lt;40,"30-39",
IF(Table1[[#This Row],[Age]]&lt;50,"40-49",
IF(Table1[[#This Row],[Age]]&lt;60,"50-59","60+"))))</f>
        <v>30-39</v>
      </c>
      <c r="M32" t="s">
        <v>24</v>
      </c>
      <c r="N32" t="s">
        <v>33</v>
      </c>
    </row>
    <row r="33" spans="1:14" x14ac:dyDescent="0.35">
      <c r="A33">
        <v>132</v>
      </c>
      <c r="B33" t="s">
        <v>10</v>
      </c>
      <c r="C33" s="6">
        <v>45533</v>
      </c>
      <c r="D33">
        <f>YEAR(Table1[[#This Row],[Join Date]])</f>
        <v>2024</v>
      </c>
      <c r="E33" s="6" t="s">
        <v>48</v>
      </c>
      <c r="F33" t="str">
        <f>IFERROR(YEAR(Table1[[#This Row],[Exit Date]]), " ")</f>
        <v xml:space="preserve"> </v>
      </c>
      <c r="G33" t="str">
        <f>IFERROR((Table1[[#This Row],[Exit Year]]-Table1[[#This Row],[Join Year]])+1," ")</f>
        <v xml:space="preserve"> </v>
      </c>
      <c r="H33" t="s">
        <v>48</v>
      </c>
      <c r="I33" t="s">
        <v>11</v>
      </c>
      <c r="J33" t="s">
        <v>18</v>
      </c>
      <c r="K33">
        <v>32</v>
      </c>
      <c r="L33" t="str">
        <f>IF(Table1[[#This Row],[Age]]&lt;30,"20-29",
IF(Table1[[#This Row],[Age]]&lt;40,"30-39",
IF(Table1[[#This Row],[Age]]&lt;50,"40-49",
IF(Table1[[#This Row],[Age]]&lt;60,"50-59","60+"))))</f>
        <v>30-39</v>
      </c>
      <c r="M33" t="s">
        <v>13</v>
      </c>
      <c r="N33" t="s">
        <v>35</v>
      </c>
    </row>
    <row r="34" spans="1:14" x14ac:dyDescent="0.35">
      <c r="A34">
        <v>133</v>
      </c>
      <c r="B34" t="s">
        <v>36</v>
      </c>
      <c r="C34" s="6">
        <v>44377</v>
      </c>
      <c r="D34">
        <f>YEAR(Table1[[#This Row],[Join Date]])</f>
        <v>2021</v>
      </c>
      <c r="E34" s="6" t="s">
        <v>48</v>
      </c>
      <c r="F34" t="str">
        <f>IFERROR(YEAR(Table1[[#This Row],[Exit Date]]), " ")</f>
        <v xml:space="preserve"> </v>
      </c>
      <c r="G34" t="str">
        <f>IFERROR((Table1[[#This Row],[Exit Year]]-Table1[[#This Row],[Join Year]])+1," ")</f>
        <v xml:space="preserve"> </v>
      </c>
      <c r="H34" t="s">
        <v>48</v>
      </c>
      <c r="I34" t="s">
        <v>11</v>
      </c>
      <c r="J34" t="s">
        <v>12</v>
      </c>
      <c r="K34">
        <v>46</v>
      </c>
      <c r="L34" t="str">
        <f>IF(Table1[[#This Row],[Age]]&lt;30,"20-29",
IF(Table1[[#This Row],[Age]]&lt;40,"30-39",
IF(Table1[[#This Row],[Age]]&lt;50,"40-49",
IF(Table1[[#This Row],[Age]]&lt;60,"50-59","60+"))))</f>
        <v>40-49</v>
      </c>
      <c r="M34" t="s">
        <v>42</v>
      </c>
      <c r="N34" t="s">
        <v>37</v>
      </c>
    </row>
    <row r="35" spans="1:14" x14ac:dyDescent="0.35">
      <c r="A35">
        <v>134</v>
      </c>
      <c r="B35" t="s">
        <v>10</v>
      </c>
      <c r="C35" s="6">
        <v>44088</v>
      </c>
      <c r="D35">
        <f>YEAR(Table1[[#This Row],[Join Date]])</f>
        <v>2020</v>
      </c>
      <c r="E35" s="6" t="s">
        <v>48</v>
      </c>
      <c r="F35" t="str">
        <f>IFERROR(YEAR(Table1[[#This Row],[Exit Date]]), " ")</f>
        <v xml:space="preserve"> </v>
      </c>
      <c r="G35" t="str">
        <f>IFERROR((Table1[[#This Row],[Exit Year]]-Table1[[#This Row],[Join Year]])+1," ")</f>
        <v xml:space="preserve"> </v>
      </c>
      <c r="H35" t="s">
        <v>48</v>
      </c>
      <c r="I35" t="s">
        <v>11</v>
      </c>
      <c r="J35" t="s">
        <v>18</v>
      </c>
      <c r="K35">
        <v>50</v>
      </c>
      <c r="L35" t="str">
        <f>IF(Table1[[#This Row],[Age]]&lt;30,"20-29",
IF(Table1[[#This Row],[Age]]&lt;40,"30-39",
IF(Table1[[#This Row],[Age]]&lt;50,"40-49",
IF(Table1[[#This Row],[Age]]&lt;60,"50-59","60+"))))</f>
        <v>50-59</v>
      </c>
      <c r="M35" t="s">
        <v>13</v>
      </c>
      <c r="N35" t="s">
        <v>19</v>
      </c>
    </row>
    <row r="36" spans="1:14" x14ac:dyDescent="0.35">
      <c r="A36">
        <v>135</v>
      </c>
      <c r="B36" t="s">
        <v>26</v>
      </c>
      <c r="C36" s="6">
        <v>43373</v>
      </c>
      <c r="D36">
        <f>YEAR(Table1[[#This Row],[Join Date]])</f>
        <v>2018</v>
      </c>
      <c r="E36" s="6">
        <v>44825</v>
      </c>
      <c r="F36">
        <f>IFERROR(YEAR(Table1[[#This Row],[Exit Date]]), " ")</f>
        <v>2022</v>
      </c>
      <c r="G36">
        <f>IFERROR((Table1[[#This Row],[Exit Year]]-Table1[[#This Row],[Join Year]])+1," ")</f>
        <v>5</v>
      </c>
      <c r="H36" t="s">
        <v>27</v>
      </c>
      <c r="I36" t="s">
        <v>23</v>
      </c>
      <c r="J36" t="s">
        <v>18</v>
      </c>
      <c r="K36">
        <v>61</v>
      </c>
      <c r="L36" t="str">
        <f>IF(Table1[[#This Row],[Age]]&lt;30,"20-29",
IF(Table1[[#This Row],[Age]]&lt;40,"30-39",
IF(Table1[[#This Row],[Age]]&lt;50,"40-49",
IF(Table1[[#This Row],[Age]]&lt;60,"50-59","60+"))))</f>
        <v>60+</v>
      </c>
      <c r="M36" t="s">
        <v>13</v>
      </c>
      <c r="N36" t="s">
        <v>25</v>
      </c>
    </row>
    <row r="37" spans="1:14" x14ac:dyDescent="0.35">
      <c r="A37">
        <v>136</v>
      </c>
      <c r="B37" t="s">
        <v>26</v>
      </c>
      <c r="C37" s="6">
        <v>43314</v>
      </c>
      <c r="D37">
        <f>YEAR(Table1[[#This Row],[Join Date]])</f>
        <v>2018</v>
      </c>
      <c r="E37" s="6" t="s">
        <v>48</v>
      </c>
      <c r="F37" t="str">
        <f>IFERROR(YEAR(Table1[[#This Row],[Exit Date]]), " ")</f>
        <v xml:space="preserve"> </v>
      </c>
      <c r="G37" t="str">
        <f>IFERROR((Table1[[#This Row],[Exit Year]]-Table1[[#This Row],[Join Year]])+1," ")</f>
        <v xml:space="preserve"> </v>
      </c>
      <c r="H37" t="s">
        <v>48</v>
      </c>
      <c r="I37" t="s">
        <v>11</v>
      </c>
      <c r="J37" t="s">
        <v>18</v>
      </c>
      <c r="K37">
        <v>29</v>
      </c>
      <c r="L37" t="str">
        <f>IF(Table1[[#This Row],[Age]]&lt;30,"20-29",
IF(Table1[[#This Row],[Age]]&lt;40,"30-39",
IF(Table1[[#This Row],[Age]]&lt;50,"40-49",
IF(Table1[[#This Row],[Age]]&lt;60,"50-59","60+"))))</f>
        <v>20-29</v>
      </c>
      <c r="M37" t="s">
        <v>16</v>
      </c>
      <c r="N37" t="s">
        <v>35</v>
      </c>
    </row>
    <row r="38" spans="1:14" x14ac:dyDescent="0.35">
      <c r="A38">
        <v>137</v>
      </c>
      <c r="B38" t="s">
        <v>26</v>
      </c>
      <c r="C38" s="6">
        <v>44418</v>
      </c>
      <c r="D38">
        <f>YEAR(Table1[[#This Row],[Join Date]])</f>
        <v>2021</v>
      </c>
      <c r="E38" s="6">
        <v>45628</v>
      </c>
      <c r="F38">
        <f>IFERROR(YEAR(Table1[[#This Row],[Exit Date]]), " ")</f>
        <v>2024</v>
      </c>
      <c r="G38">
        <f>IFERROR((Table1[[#This Row],[Exit Year]]-Table1[[#This Row],[Join Year]])+1," ")</f>
        <v>4</v>
      </c>
      <c r="H38" t="s">
        <v>22</v>
      </c>
      <c r="I38" t="s">
        <v>23</v>
      </c>
      <c r="J38" t="s">
        <v>12</v>
      </c>
      <c r="K38">
        <v>27</v>
      </c>
      <c r="L38" t="str">
        <f>IF(Table1[[#This Row],[Age]]&lt;30,"20-29",
IF(Table1[[#This Row],[Age]]&lt;40,"30-39",
IF(Table1[[#This Row],[Age]]&lt;50,"40-49",
IF(Table1[[#This Row],[Age]]&lt;60,"50-59","60+"))))</f>
        <v>20-29</v>
      </c>
      <c r="M38" t="s">
        <v>13</v>
      </c>
      <c r="N38" t="s">
        <v>17</v>
      </c>
    </row>
    <row r="39" spans="1:14" x14ac:dyDescent="0.35">
      <c r="A39">
        <v>138</v>
      </c>
      <c r="B39" t="s">
        <v>34</v>
      </c>
      <c r="C39" s="6">
        <v>44324</v>
      </c>
      <c r="D39">
        <f>YEAR(Table1[[#This Row],[Join Date]])</f>
        <v>2021</v>
      </c>
      <c r="E39" s="6">
        <v>45076</v>
      </c>
      <c r="F39">
        <f>IFERROR(YEAR(Table1[[#This Row],[Exit Date]]), " ")</f>
        <v>2023</v>
      </c>
      <c r="G39">
        <f>IFERROR((Table1[[#This Row],[Exit Year]]-Table1[[#This Row],[Join Year]])+1," ")</f>
        <v>3</v>
      </c>
      <c r="H39" t="s">
        <v>40</v>
      </c>
      <c r="I39" t="s">
        <v>23</v>
      </c>
      <c r="J39" t="s">
        <v>12</v>
      </c>
      <c r="K39">
        <v>31</v>
      </c>
      <c r="L39" t="str">
        <f>IF(Table1[[#This Row],[Age]]&lt;30,"20-29",
IF(Table1[[#This Row],[Age]]&lt;40,"30-39",
IF(Table1[[#This Row],[Age]]&lt;50,"40-49",
IF(Table1[[#This Row],[Age]]&lt;60,"50-59","60+"))))</f>
        <v>30-39</v>
      </c>
      <c r="M39" t="s">
        <v>20</v>
      </c>
      <c r="N39" t="s">
        <v>19</v>
      </c>
    </row>
    <row r="40" spans="1:14" x14ac:dyDescent="0.35">
      <c r="A40">
        <v>139</v>
      </c>
      <c r="B40" t="s">
        <v>10</v>
      </c>
      <c r="C40" s="6">
        <v>43513</v>
      </c>
      <c r="D40">
        <f>YEAR(Table1[[#This Row],[Join Date]])</f>
        <v>2019</v>
      </c>
      <c r="E40" s="6">
        <v>44923</v>
      </c>
      <c r="F40">
        <f>IFERROR(YEAR(Table1[[#This Row],[Exit Date]]), " ")</f>
        <v>2022</v>
      </c>
      <c r="G40">
        <f>IFERROR((Table1[[#This Row],[Exit Year]]-Table1[[#This Row],[Join Year]])+1," ")</f>
        <v>4</v>
      </c>
      <c r="H40" t="s">
        <v>38</v>
      </c>
      <c r="I40" t="s">
        <v>23</v>
      </c>
      <c r="J40" t="s">
        <v>18</v>
      </c>
      <c r="K40">
        <v>24</v>
      </c>
      <c r="L40" t="str">
        <f>IF(Table1[[#This Row],[Age]]&lt;30,"20-29",
IF(Table1[[#This Row],[Age]]&lt;40,"30-39",
IF(Table1[[#This Row],[Age]]&lt;50,"40-49",
IF(Table1[[#This Row],[Age]]&lt;60,"50-59","60+"))))</f>
        <v>20-29</v>
      </c>
      <c r="M40" t="s">
        <v>44</v>
      </c>
      <c r="N40" t="s">
        <v>21</v>
      </c>
    </row>
    <row r="41" spans="1:14" x14ac:dyDescent="0.35">
      <c r="A41">
        <v>140</v>
      </c>
      <c r="B41" t="s">
        <v>36</v>
      </c>
      <c r="C41" s="6">
        <v>44180</v>
      </c>
      <c r="D41">
        <f>YEAR(Table1[[#This Row],[Join Date]])</f>
        <v>2020</v>
      </c>
      <c r="E41" s="6" t="s">
        <v>48</v>
      </c>
      <c r="F41" t="str">
        <f>IFERROR(YEAR(Table1[[#This Row],[Exit Date]]), " ")</f>
        <v xml:space="preserve"> </v>
      </c>
      <c r="G41" t="str">
        <f>IFERROR((Table1[[#This Row],[Exit Year]]-Table1[[#This Row],[Join Year]])+1," ")</f>
        <v xml:space="preserve"> </v>
      </c>
      <c r="H41" t="s">
        <v>48</v>
      </c>
      <c r="I41" t="s">
        <v>11</v>
      </c>
      <c r="J41" t="s">
        <v>18</v>
      </c>
      <c r="K41">
        <v>37</v>
      </c>
      <c r="L41" t="str">
        <f>IF(Table1[[#This Row],[Age]]&lt;30,"20-29",
IF(Table1[[#This Row],[Age]]&lt;40,"30-39",
IF(Table1[[#This Row],[Age]]&lt;50,"40-49",
IF(Table1[[#This Row],[Age]]&lt;60,"50-59","60+"))))</f>
        <v>30-39</v>
      </c>
      <c r="M41" t="s">
        <v>13</v>
      </c>
      <c r="N41" t="s">
        <v>25</v>
      </c>
    </row>
    <row r="42" spans="1:14" x14ac:dyDescent="0.35">
      <c r="A42">
        <v>141</v>
      </c>
      <c r="B42" t="s">
        <v>34</v>
      </c>
      <c r="C42" s="6">
        <v>44099</v>
      </c>
      <c r="D42">
        <f>YEAR(Table1[[#This Row],[Join Date]])</f>
        <v>2020</v>
      </c>
      <c r="E42" s="6" t="s">
        <v>48</v>
      </c>
      <c r="F42" t="str">
        <f>IFERROR(YEAR(Table1[[#This Row],[Exit Date]]), " ")</f>
        <v xml:space="preserve"> </v>
      </c>
      <c r="G42" t="str">
        <f>IFERROR((Table1[[#This Row],[Exit Year]]-Table1[[#This Row],[Join Year]])+1," ")</f>
        <v xml:space="preserve"> </v>
      </c>
      <c r="H42" t="s">
        <v>48</v>
      </c>
      <c r="I42" t="s">
        <v>11</v>
      </c>
      <c r="J42" t="s">
        <v>12</v>
      </c>
      <c r="K42">
        <v>23</v>
      </c>
      <c r="L42" t="str">
        <f>IF(Table1[[#This Row],[Age]]&lt;30,"20-29",
IF(Table1[[#This Row],[Age]]&lt;40,"30-39",
IF(Table1[[#This Row],[Age]]&lt;50,"40-49",
IF(Table1[[#This Row],[Age]]&lt;60,"50-59","60+"))))</f>
        <v>20-29</v>
      </c>
      <c r="M42" t="s">
        <v>16</v>
      </c>
      <c r="N42" t="s">
        <v>35</v>
      </c>
    </row>
    <row r="43" spans="1:14" x14ac:dyDescent="0.35">
      <c r="A43">
        <v>142</v>
      </c>
      <c r="B43" t="s">
        <v>34</v>
      </c>
      <c r="C43" s="6">
        <v>45632</v>
      </c>
      <c r="D43">
        <f>YEAR(Table1[[#This Row],[Join Date]])</f>
        <v>2024</v>
      </c>
      <c r="E43" s="6" t="s">
        <v>48</v>
      </c>
      <c r="F43" t="str">
        <f>IFERROR(YEAR(Table1[[#This Row],[Exit Date]]), " ")</f>
        <v xml:space="preserve"> </v>
      </c>
      <c r="G43" t="str">
        <f>IFERROR((Table1[[#This Row],[Exit Year]]-Table1[[#This Row],[Join Year]])+1," ")</f>
        <v xml:space="preserve"> </v>
      </c>
      <c r="H43" t="s">
        <v>48</v>
      </c>
      <c r="I43" t="s">
        <v>11</v>
      </c>
      <c r="J43" t="s">
        <v>18</v>
      </c>
      <c r="K43">
        <v>31</v>
      </c>
      <c r="L43" t="str">
        <f>IF(Table1[[#This Row],[Age]]&lt;30,"20-29",
IF(Table1[[#This Row],[Age]]&lt;40,"30-39",
IF(Table1[[#This Row],[Age]]&lt;50,"40-49",
IF(Table1[[#This Row],[Age]]&lt;60,"50-59","60+"))))</f>
        <v>30-39</v>
      </c>
      <c r="M43" t="s">
        <v>16</v>
      </c>
      <c r="N43" t="s">
        <v>14</v>
      </c>
    </row>
    <row r="44" spans="1:14" x14ac:dyDescent="0.35">
      <c r="A44">
        <v>143</v>
      </c>
      <c r="B44" t="s">
        <v>36</v>
      </c>
      <c r="C44" s="6">
        <v>45294</v>
      </c>
      <c r="D44">
        <f>YEAR(Table1[[#This Row],[Join Date]])</f>
        <v>2024</v>
      </c>
      <c r="E44" s="6" t="s">
        <v>48</v>
      </c>
      <c r="F44" t="str">
        <f>IFERROR(YEAR(Table1[[#This Row],[Exit Date]]), " ")</f>
        <v xml:space="preserve"> </v>
      </c>
      <c r="G44" t="str">
        <f>IFERROR((Table1[[#This Row],[Exit Year]]-Table1[[#This Row],[Join Year]])+1," ")</f>
        <v xml:space="preserve"> </v>
      </c>
      <c r="H44" t="s">
        <v>48</v>
      </c>
      <c r="I44" t="s">
        <v>11</v>
      </c>
      <c r="J44" t="s">
        <v>18</v>
      </c>
      <c r="K44">
        <v>52</v>
      </c>
      <c r="L44" t="str">
        <f>IF(Table1[[#This Row],[Age]]&lt;30,"20-29",
IF(Table1[[#This Row],[Age]]&lt;40,"30-39",
IF(Table1[[#This Row],[Age]]&lt;50,"40-49",
IF(Table1[[#This Row],[Age]]&lt;60,"50-59","60+"))))</f>
        <v>50-59</v>
      </c>
      <c r="M44" t="s">
        <v>20</v>
      </c>
      <c r="N44" t="s">
        <v>19</v>
      </c>
    </row>
    <row r="45" spans="1:14" x14ac:dyDescent="0.35">
      <c r="A45">
        <v>144</v>
      </c>
      <c r="B45" t="s">
        <v>26</v>
      </c>
      <c r="C45" s="6">
        <v>44590</v>
      </c>
      <c r="D45">
        <f>YEAR(Table1[[#This Row],[Join Date]])</f>
        <v>2022</v>
      </c>
      <c r="E45" s="6" t="s">
        <v>48</v>
      </c>
      <c r="F45" t="str">
        <f>IFERROR(YEAR(Table1[[#This Row],[Exit Date]]), " ")</f>
        <v xml:space="preserve"> </v>
      </c>
      <c r="G45" t="str">
        <f>IFERROR((Table1[[#This Row],[Exit Year]]-Table1[[#This Row],[Join Year]])+1," ")</f>
        <v xml:space="preserve"> </v>
      </c>
      <c r="H45" t="s">
        <v>48</v>
      </c>
      <c r="I45" t="s">
        <v>11</v>
      </c>
      <c r="J45" t="s">
        <v>18</v>
      </c>
      <c r="K45">
        <v>25</v>
      </c>
      <c r="L45" t="str">
        <f>IF(Table1[[#This Row],[Age]]&lt;30,"20-29",
IF(Table1[[#This Row],[Age]]&lt;40,"30-39",
IF(Table1[[#This Row],[Age]]&lt;50,"40-49",
IF(Table1[[#This Row],[Age]]&lt;60,"50-59","60+"))))</f>
        <v>20-29</v>
      </c>
      <c r="M45" t="s">
        <v>24</v>
      </c>
      <c r="N45" t="s">
        <v>21</v>
      </c>
    </row>
    <row r="46" spans="1:14" x14ac:dyDescent="0.35">
      <c r="A46">
        <v>145</v>
      </c>
      <c r="B46" t="s">
        <v>15</v>
      </c>
      <c r="C46" s="6">
        <v>45215</v>
      </c>
      <c r="D46">
        <f>YEAR(Table1[[#This Row],[Join Date]])</f>
        <v>2023</v>
      </c>
      <c r="E46" s="6" t="s">
        <v>48</v>
      </c>
      <c r="F46" t="str">
        <f>IFERROR(YEAR(Table1[[#This Row],[Exit Date]]), " ")</f>
        <v xml:space="preserve"> </v>
      </c>
      <c r="G46" t="str">
        <f>IFERROR((Table1[[#This Row],[Exit Year]]-Table1[[#This Row],[Join Year]])+1," ")</f>
        <v xml:space="preserve"> </v>
      </c>
      <c r="H46" t="s">
        <v>48</v>
      </c>
      <c r="I46" t="s">
        <v>11</v>
      </c>
      <c r="J46" t="s">
        <v>12</v>
      </c>
      <c r="K46">
        <v>46</v>
      </c>
      <c r="L46" t="str">
        <f>IF(Table1[[#This Row],[Age]]&lt;30,"20-29",
IF(Table1[[#This Row],[Age]]&lt;40,"30-39",
IF(Table1[[#This Row],[Age]]&lt;50,"40-49",
IF(Table1[[#This Row],[Age]]&lt;60,"50-59","60+"))))</f>
        <v>40-49</v>
      </c>
      <c r="M46" t="s">
        <v>13</v>
      </c>
      <c r="N46" t="s">
        <v>37</v>
      </c>
    </row>
    <row r="47" spans="1:14" x14ac:dyDescent="0.35">
      <c r="A47">
        <v>146</v>
      </c>
      <c r="B47" t="s">
        <v>15</v>
      </c>
      <c r="C47" s="6">
        <v>43624</v>
      </c>
      <c r="D47">
        <f>YEAR(Table1[[#This Row],[Join Date]])</f>
        <v>2019</v>
      </c>
      <c r="E47" s="6">
        <v>44228</v>
      </c>
      <c r="F47">
        <f>IFERROR(YEAR(Table1[[#This Row],[Exit Date]]), " ")</f>
        <v>2021</v>
      </c>
      <c r="G47">
        <f>IFERROR((Table1[[#This Row],[Exit Year]]-Table1[[#This Row],[Join Year]])+1," ")</f>
        <v>3</v>
      </c>
      <c r="H47" t="s">
        <v>41</v>
      </c>
      <c r="I47" t="s">
        <v>23</v>
      </c>
      <c r="J47" t="s">
        <v>12</v>
      </c>
      <c r="K47">
        <v>24</v>
      </c>
      <c r="L47" t="str">
        <f>IF(Table1[[#This Row],[Age]]&lt;30,"20-29",
IF(Table1[[#This Row],[Age]]&lt;40,"30-39",
IF(Table1[[#This Row],[Age]]&lt;50,"40-49",
IF(Table1[[#This Row],[Age]]&lt;60,"50-59","60+"))))</f>
        <v>20-29</v>
      </c>
      <c r="M47" t="s">
        <v>44</v>
      </c>
      <c r="N47" t="s">
        <v>25</v>
      </c>
    </row>
    <row r="48" spans="1:14" x14ac:dyDescent="0.35">
      <c r="A48">
        <v>147</v>
      </c>
      <c r="B48" t="s">
        <v>15</v>
      </c>
      <c r="C48" s="6">
        <v>44514</v>
      </c>
      <c r="D48">
        <f>YEAR(Table1[[#This Row],[Join Date]])</f>
        <v>2021</v>
      </c>
      <c r="E48" s="6">
        <v>45529</v>
      </c>
      <c r="F48">
        <f>IFERROR(YEAR(Table1[[#This Row],[Exit Date]]), " ")</f>
        <v>2024</v>
      </c>
      <c r="G48">
        <f>IFERROR((Table1[[#This Row],[Exit Year]]-Table1[[#This Row],[Join Year]])+1," ")</f>
        <v>4</v>
      </c>
      <c r="H48" t="s">
        <v>46</v>
      </c>
      <c r="I48" t="s">
        <v>23</v>
      </c>
      <c r="J48" t="s">
        <v>18</v>
      </c>
      <c r="K48">
        <v>38</v>
      </c>
      <c r="L48" t="str">
        <f>IF(Table1[[#This Row],[Age]]&lt;30,"20-29",
IF(Table1[[#This Row],[Age]]&lt;40,"30-39",
IF(Table1[[#This Row],[Age]]&lt;50,"40-49",
IF(Table1[[#This Row],[Age]]&lt;60,"50-59","60+"))))</f>
        <v>30-39</v>
      </c>
      <c r="M48" t="s">
        <v>13</v>
      </c>
      <c r="N48" t="s">
        <v>35</v>
      </c>
    </row>
    <row r="49" spans="1:14" x14ac:dyDescent="0.35">
      <c r="A49">
        <v>148</v>
      </c>
      <c r="B49" t="s">
        <v>29</v>
      </c>
      <c r="C49" s="6">
        <v>43700</v>
      </c>
      <c r="D49">
        <f>YEAR(Table1[[#This Row],[Join Date]])</f>
        <v>2019</v>
      </c>
      <c r="E49" s="6" t="s">
        <v>48</v>
      </c>
      <c r="F49" t="str">
        <f>IFERROR(YEAR(Table1[[#This Row],[Exit Date]]), " ")</f>
        <v xml:space="preserve"> </v>
      </c>
      <c r="G49" t="str">
        <f>IFERROR((Table1[[#This Row],[Exit Year]]-Table1[[#This Row],[Join Year]])+1," ")</f>
        <v xml:space="preserve"> </v>
      </c>
      <c r="H49" t="s">
        <v>48</v>
      </c>
      <c r="I49" t="s">
        <v>11</v>
      </c>
      <c r="J49" t="s">
        <v>18</v>
      </c>
      <c r="K49">
        <v>49</v>
      </c>
      <c r="L49" t="str">
        <f>IF(Table1[[#This Row],[Age]]&lt;30,"20-29",
IF(Table1[[#This Row],[Age]]&lt;40,"30-39",
IF(Table1[[#This Row],[Age]]&lt;50,"40-49",
IF(Table1[[#This Row],[Age]]&lt;60,"50-59","60+"))))</f>
        <v>40-49</v>
      </c>
      <c r="M49" t="s">
        <v>13</v>
      </c>
      <c r="N49" t="s">
        <v>14</v>
      </c>
    </row>
    <row r="50" spans="1:14" x14ac:dyDescent="0.35">
      <c r="A50">
        <v>149</v>
      </c>
      <c r="B50" t="s">
        <v>34</v>
      </c>
      <c r="C50" s="6">
        <v>45540</v>
      </c>
      <c r="D50">
        <f>YEAR(Table1[[#This Row],[Join Date]])</f>
        <v>2024</v>
      </c>
      <c r="E50" s="6" t="s">
        <v>48</v>
      </c>
      <c r="F50" t="str">
        <f>IFERROR(YEAR(Table1[[#This Row],[Exit Date]]), " ")</f>
        <v xml:space="preserve"> </v>
      </c>
      <c r="G50" t="str">
        <f>IFERROR((Table1[[#This Row],[Exit Year]]-Table1[[#This Row],[Join Year]])+1," ")</f>
        <v xml:space="preserve"> </v>
      </c>
      <c r="H50" t="s">
        <v>48</v>
      </c>
      <c r="I50" t="s">
        <v>11</v>
      </c>
      <c r="J50" t="s">
        <v>18</v>
      </c>
      <c r="K50">
        <v>31</v>
      </c>
      <c r="L50" t="str">
        <f>IF(Table1[[#This Row],[Age]]&lt;30,"20-29",
IF(Table1[[#This Row],[Age]]&lt;40,"30-39",
IF(Table1[[#This Row],[Age]]&lt;50,"40-49",
IF(Table1[[#This Row],[Age]]&lt;60,"50-59","60+"))))</f>
        <v>30-39</v>
      </c>
      <c r="M50" t="s">
        <v>16</v>
      </c>
      <c r="N50" t="s">
        <v>19</v>
      </c>
    </row>
    <row r="51" spans="1:14" x14ac:dyDescent="0.35">
      <c r="A51">
        <v>150</v>
      </c>
      <c r="B51" t="s">
        <v>10</v>
      </c>
      <c r="C51" s="6">
        <v>43297</v>
      </c>
      <c r="D51">
        <f>YEAR(Table1[[#This Row],[Join Date]])</f>
        <v>2018</v>
      </c>
      <c r="E51" s="6">
        <v>44682</v>
      </c>
      <c r="F51">
        <f>IFERROR(YEAR(Table1[[#This Row],[Exit Date]]), " ")</f>
        <v>2022</v>
      </c>
      <c r="G51">
        <f>IFERROR((Table1[[#This Row],[Exit Year]]-Table1[[#This Row],[Join Year]])+1," ")</f>
        <v>5</v>
      </c>
      <c r="H51" t="s">
        <v>40</v>
      </c>
      <c r="I51" t="s">
        <v>23</v>
      </c>
      <c r="J51" t="s">
        <v>12</v>
      </c>
      <c r="K51">
        <v>51</v>
      </c>
      <c r="L51" t="str">
        <f>IF(Table1[[#This Row],[Age]]&lt;30,"20-29",
IF(Table1[[#This Row],[Age]]&lt;40,"30-39",
IF(Table1[[#This Row],[Age]]&lt;50,"40-49",
IF(Table1[[#This Row],[Age]]&lt;60,"50-59","60+"))))</f>
        <v>50-59</v>
      </c>
      <c r="M51" t="s">
        <v>13</v>
      </c>
      <c r="N51" t="s">
        <v>21</v>
      </c>
    </row>
    <row r="52" spans="1:14" x14ac:dyDescent="0.35">
      <c r="A52">
        <v>151</v>
      </c>
      <c r="B52" t="s">
        <v>10</v>
      </c>
      <c r="C52" s="6">
        <v>43407</v>
      </c>
      <c r="D52">
        <f>YEAR(Table1[[#This Row],[Join Date]])</f>
        <v>2018</v>
      </c>
      <c r="E52" s="6" t="s">
        <v>48</v>
      </c>
      <c r="F52" t="str">
        <f>IFERROR(YEAR(Table1[[#This Row],[Exit Date]]), " ")</f>
        <v xml:space="preserve"> </v>
      </c>
      <c r="G52" t="str">
        <f>IFERROR((Table1[[#This Row],[Exit Year]]-Table1[[#This Row],[Join Year]])+1," ")</f>
        <v xml:space="preserve"> </v>
      </c>
      <c r="H52" t="s">
        <v>48</v>
      </c>
      <c r="I52" t="s">
        <v>11</v>
      </c>
      <c r="J52" t="s">
        <v>12</v>
      </c>
      <c r="K52">
        <v>27</v>
      </c>
      <c r="L52" t="str">
        <f>IF(Table1[[#This Row],[Age]]&lt;30,"20-29",
IF(Table1[[#This Row],[Age]]&lt;40,"30-39",
IF(Table1[[#This Row],[Age]]&lt;50,"40-49",
IF(Table1[[#This Row],[Age]]&lt;60,"50-59","60+"))))</f>
        <v>20-29</v>
      </c>
      <c r="M52" t="s">
        <v>20</v>
      </c>
      <c r="N52" t="s">
        <v>37</v>
      </c>
    </row>
    <row r="53" spans="1:14" x14ac:dyDescent="0.35">
      <c r="A53">
        <v>152</v>
      </c>
      <c r="B53" t="s">
        <v>15</v>
      </c>
      <c r="C53" s="6">
        <v>44121</v>
      </c>
      <c r="D53">
        <f>YEAR(Table1[[#This Row],[Join Date]])</f>
        <v>2020</v>
      </c>
      <c r="E53" s="6" t="s">
        <v>48</v>
      </c>
      <c r="F53" t="str">
        <f>IFERROR(YEAR(Table1[[#This Row],[Exit Date]]), " ")</f>
        <v xml:space="preserve"> </v>
      </c>
      <c r="G53" t="str">
        <f>IFERROR((Table1[[#This Row],[Exit Year]]-Table1[[#This Row],[Join Year]])+1," ")</f>
        <v xml:space="preserve"> </v>
      </c>
      <c r="H53" t="s">
        <v>48</v>
      </c>
      <c r="I53" t="s">
        <v>11</v>
      </c>
      <c r="J53" t="s">
        <v>12</v>
      </c>
      <c r="K53">
        <v>22</v>
      </c>
      <c r="L53" t="str">
        <f>IF(Table1[[#This Row],[Age]]&lt;30,"20-29",
IF(Table1[[#This Row],[Age]]&lt;40,"30-39",
IF(Table1[[#This Row],[Age]]&lt;50,"40-49",
IF(Table1[[#This Row],[Age]]&lt;60,"50-59","60+"))))</f>
        <v>20-29</v>
      </c>
      <c r="M53" t="s">
        <v>44</v>
      </c>
      <c r="N53" t="s">
        <v>25</v>
      </c>
    </row>
    <row r="54" spans="1:14" x14ac:dyDescent="0.35">
      <c r="A54">
        <v>153</v>
      </c>
      <c r="B54" t="s">
        <v>15</v>
      </c>
      <c r="C54" s="6">
        <v>44423</v>
      </c>
      <c r="D54">
        <f>YEAR(Table1[[#This Row],[Join Date]])</f>
        <v>2021</v>
      </c>
      <c r="E54" s="6" t="s">
        <v>48</v>
      </c>
      <c r="F54" t="str">
        <f>IFERROR(YEAR(Table1[[#This Row],[Exit Date]]), " ")</f>
        <v xml:space="preserve"> </v>
      </c>
      <c r="G54" t="str">
        <f>IFERROR((Table1[[#This Row],[Exit Year]]-Table1[[#This Row],[Join Year]])+1," ")</f>
        <v xml:space="preserve"> </v>
      </c>
      <c r="H54" t="s">
        <v>48</v>
      </c>
      <c r="I54" t="s">
        <v>11</v>
      </c>
      <c r="J54" t="s">
        <v>18</v>
      </c>
      <c r="K54">
        <v>50</v>
      </c>
      <c r="L54" t="str">
        <f>IF(Table1[[#This Row],[Age]]&lt;30,"20-29",
IF(Table1[[#This Row],[Age]]&lt;40,"30-39",
IF(Table1[[#This Row],[Age]]&lt;50,"40-49",
IF(Table1[[#This Row],[Age]]&lt;60,"50-59","60+"))))</f>
        <v>50-59</v>
      </c>
      <c r="M54" t="s">
        <v>13</v>
      </c>
      <c r="N54" t="s">
        <v>35</v>
      </c>
    </row>
    <row r="55" spans="1:14" x14ac:dyDescent="0.35">
      <c r="A55">
        <v>154</v>
      </c>
      <c r="B55" t="s">
        <v>15</v>
      </c>
      <c r="C55" s="6">
        <v>45087</v>
      </c>
      <c r="D55">
        <f>YEAR(Table1[[#This Row],[Join Date]])</f>
        <v>2023</v>
      </c>
      <c r="E55" s="6" t="s">
        <v>48</v>
      </c>
      <c r="F55" t="str">
        <f>IFERROR(YEAR(Table1[[#This Row],[Exit Date]]), " ")</f>
        <v xml:space="preserve"> </v>
      </c>
      <c r="G55" t="str">
        <f>IFERROR((Table1[[#This Row],[Exit Year]]-Table1[[#This Row],[Join Year]])+1," ")</f>
        <v xml:space="preserve"> </v>
      </c>
      <c r="H55" t="s">
        <v>48</v>
      </c>
      <c r="I55" t="s">
        <v>11</v>
      </c>
      <c r="J55" t="s">
        <v>18</v>
      </c>
      <c r="K55">
        <v>24</v>
      </c>
      <c r="L55" t="str">
        <f>IF(Table1[[#This Row],[Age]]&lt;30,"20-29",
IF(Table1[[#This Row],[Age]]&lt;40,"30-39",
IF(Table1[[#This Row],[Age]]&lt;50,"40-49",
IF(Table1[[#This Row],[Age]]&lt;60,"50-59","60+"))))</f>
        <v>20-29</v>
      </c>
      <c r="M55" t="s">
        <v>16</v>
      </c>
      <c r="N55" t="s">
        <v>14</v>
      </c>
    </row>
    <row r="56" spans="1:14" x14ac:dyDescent="0.35">
      <c r="A56">
        <v>155</v>
      </c>
      <c r="B56" t="s">
        <v>15</v>
      </c>
      <c r="C56" s="6">
        <v>43479</v>
      </c>
      <c r="D56">
        <f>YEAR(Table1[[#This Row],[Join Date]])</f>
        <v>2019</v>
      </c>
      <c r="E56" s="6">
        <v>44449</v>
      </c>
      <c r="F56">
        <f>IFERROR(YEAR(Table1[[#This Row],[Exit Date]]), " ")</f>
        <v>2021</v>
      </c>
      <c r="G56">
        <f>IFERROR((Table1[[#This Row],[Exit Year]]-Table1[[#This Row],[Join Year]])+1," ")</f>
        <v>3</v>
      </c>
      <c r="H56" t="s">
        <v>22</v>
      </c>
      <c r="I56" t="s">
        <v>23</v>
      </c>
      <c r="J56" t="s">
        <v>12</v>
      </c>
      <c r="K56">
        <v>50</v>
      </c>
      <c r="L56" t="str">
        <f>IF(Table1[[#This Row],[Age]]&lt;30,"20-29",
IF(Table1[[#This Row],[Age]]&lt;40,"30-39",
IF(Table1[[#This Row],[Age]]&lt;50,"40-49",
IF(Table1[[#This Row],[Age]]&lt;60,"50-59","60+"))))</f>
        <v>50-59</v>
      </c>
      <c r="M56" t="s">
        <v>16</v>
      </c>
      <c r="N56" t="s">
        <v>17</v>
      </c>
    </row>
    <row r="57" spans="1:14" x14ac:dyDescent="0.35">
      <c r="A57">
        <v>156</v>
      </c>
      <c r="B57" t="s">
        <v>26</v>
      </c>
      <c r="C57" s="6">
        <v>44749</v>
      </c>
      <c r="D57">
        <f>YEAR(Table1[[#This Row],[Join Date]])</f>
        <v>2022</v>
      </c>
      <c r="E57" s="6">
        <v>44972</v>
      </c>
      <c r="F57">
        <f>IFERROR(YEAR(Table1[[#This Row],[Exit Date]]), " ")</f>
        <v>2023</v>
      </c>
      <c r="G57">
        <f>IFERROR((Table1[[#This Row],[Exit Year]]-Table1[[#This Row],[Join Year]])+1," ")</f>
        <v>2</v>
      </c>
      <c r="H57" t="s">
        <v>27</v>
      </c>
      <c r="I57" t="s">
        <v>23</v>
      </c>
      <c r="J57" t="s">
        <v>12</v>
      </c>
      <c r="K57">
        <v>64</v>
      </c>
      <c r="L57" t="str">
        <f>IF(Table1[[#This Row],[Age]]&lt;30,"20-29",
IF(Table1[[#This Row],[Age]]&lt;40,"30-39",
IF(Table1[[#This Row],[Age]]&lt;50,"40-49",
IF(Table1[[#This Row],[Age]]&lt;60,"50-59","60+"))))</f>
        <v>60+</v>
      </c>
      <c r="M57" t="s">
        <v>20</v>
      </c>
      <c r="N57" t="s">
        <v>19</v>
      </c>
    </row>
    <row r="58" spans="1:14" x14ac:dyDescent="0.35">
      <c r="A58">
        <v>157</v>
      </c>
      <c r="B58" t="s">
        <v>29</v>
      </c>
      <c r="C58" s="6">
        <v>45457</v>
      </c>
      <c r="D58">
        <f>YEAR(Table1[[#This Row],[Join Date]])</f>
        <v>2024</v>
      </c>
      <c r="E58" s="6" t="s">
        <v>48</v>
      </c>
      <c r="F58" t="str">
        <f>IFERROR(YEAR(Table1[[#This Row],[Exit Date]]), " ")</f>
        <v xml:space="preserve"> </v>
      </c>
      <c r="G58" t="str">
        <f>IFERROR((Table1[[#This Row],[Exit Year]]-Table1[[#This Row],[Join Year]])+1," ")</f>
        <v xml:space="preserve"> </v>
      </c>
      <c r="H58" t="s">
        <v>48</v>
      </c>
      <c r="I58" t="s">
        <v>11</v>
      </c>
      <c r="J58" t="s">
        <v>12</v>
      </c>
      <c r="K58">
        <v>40</v>
      </c>
      <c r="L58" t="str">
        <f>IF(Table1[[#This Row],[Age]]&lt;30,"20-29",
IF(Table1[[#This Row],[Age]]&lt;40,"30-39",
IF(Table1[[#This Row],[Age]]&lt;50,"40-49",
IF(Table1[[#This Row],[Age]]&lt;60,"50-59","60+"))))</f>
        <v>40-49</v>
      </c>
      <c r="M58" t="s">
        <v>24</v>
      </c>
      <c r="N58" t="s">
        <v>21</v>
      </c>
    </row>
    <row r="59" spans="1:14" x14ac:dyDescent="0.35">
      <c r="A59">
        <v>158</v>
      </c>
      <c r="B59" t="s">
        <v>10</v>
      </c>
      <c r="C59" s="6">
        <v>43304</v>
      </c>
      <c r="D59">
        <f>YEAR(Table1[[#This Row],[Join Date]])</f>
        <v>2018</v>
      </c>
      <c r="E59" s="6" t="s">
        <v>48</v>
      </c>
      <c r="F59" t="str">
        <f>IFERROR(YEAR(Table1[[#This Row],[Exit Date]]), " ")</f>
        <v xml:space="preserve"> </v>
      </c>
      <c r="G59" t="str">
        <f>IFERROR((Table1[[#This Row],[Exit Year]]-Table1[[#This Row],[Join Year]])+1," ")</f>
        <v xml:space="preserve"> </v>
      </c>
      <c r="H59" t="s">
        <v>48</v>
      </c>
      <c r="I59" t="s">
        <v>11</v>
      </c>
      <c r="J59" t="s">
        <v>12</v>
      </c>
      <c r="K59">
        <v>32</v>
      </c>
      <c r="L59" t="str">
        <f>IF(Table1[[#This Row],[Age]]&lt;30,"20-29",
IF(Table1[[#This Row],[Age]]&lt;40,"30-39",
IF(Table1[[#This Row],[Age]]&lt;50,"40-49",
IF(Table1[[#This Row],[Age]]&lt;60,"50-59","60+"))))</f>
        <v>30-39</v>
      </c>
      <c r="M59" t="s">
        <v>13</v>
      </c>
      <c r="N59" t="s">
        <v>25</v>
      </c>
    </row>
    <row r="60" spans="1:14" x14ac:dyDescent="0.35">
      <c r="A60">
        <v>159</v>
      </c>
      <c r="B60" t="s">
        <v>15</v>
      </c>
      <c r="C60" s="6">
        <v>44987</v>
      </c>
      <c r="D60">
        <f>YEAR(Table1[[#This Row],[Join Date]])</f>
        <v>2023</v>
      </c>
      <c r="E60" s="6" t="s">
        <v>48</v>
      </c>
      <c r="F60" t="str">
        <f>IFERROR(YEAR(Table1[[#This Row],[Exit Date]]), " ")</f>
        <v xml:space="preserve"> </v>
      </c>
      <c r="G60" t="str">
        <f>IFERROR((Table1[[#This Row],[Exit Year]]-Table1[[#This Row],[Join Year]])+1," ")</f>
        <v xml:space="preserve"> </v>
      </c>
      <c r="H60" t="s">
        <v>48</v>
      </c>
      <c r="I60" t="s">
        <v>11</v>
      </c>
      <c r="J60" t="s">
        <v>12</v>
      </c>
      <c r="K60">
        <v>50</v>
      </c>
      <c r="L60" t="str">
        <f>IF(Table1[[#This Row],[Age]]&lt;30,"20-29",
IF(Table1[[#This Row],[Age]]&lt;40,"30-39",
IF(Table1[[#This Row],[Age]]&lt;50,"40-49",
IF(Table1[[#This Row],[Age]]&lt;60,"50-59","60+"))))</f>
        <v>50-59</v>
      </c>
      <c r="M60" t="s">
        <v>42</v>
      </c>
      <c r="N60" t="s">
        <v>28</v>
      </c>
    </row>
    <row r="61" spans="1:14" x14ac:dyDescent="0.35">
      <c r="A61">
        <v>160</v>
      </c>
      <c r="B61" t="s">
        <v>34</v>
      </c>
      <c r="C61" s="6">
        <v>45326</v>
      </c>
      <c r="D61">
        <f>YEAR(Table1[[#This Row],[Join Date]])</f>
        <v>2024</v>
      </c>
      <c r="E61" s="6" t="s">
        <v>48</v>
      </c>
      <c r="F61" t="str">
        <f>IFERROR(YEAR(Table1[[#This Row],[Exit Date]]), " ")</f>
        <v xml:space="preserve"> </v>
      </c>
      <c r="G61" t="str">
        <f>IFERROR((Table1[[#This Row],[Exit Year]]-Table1[[#This Row],[Join Year]])+1," ")</f>
        <v xml:space="preserve"> </v>
      </c>
      <c r="H61" t="s">
        <v>48</v>
      </c>
      <c r="I61" t="s">
        <v>11</v>
      </c>
      <c r="J61" t="s">
        <v>12</v>
      </c>
      <c r="K61">
        <v>24</v>
      </c>
      <c r="L61" t="str">
        <f>IF(Table1[[#This Row],[Age]]&lt;30,"20-29",
IF(Table1[[#This Row],[Age]]&lt;40,"30-39",
IF(Table1[[#This Row],[Age]]&lt;50,"40-49",
IF(Table1[[#This Row],[Age]]&lt;60,"50-59","60+"))))</f>
        <v>20-29</v>
      </c>
      <c r="M61" t="s">
        <v>13</v>
      </c>
      <c r="N61" t="s">
        <v>31</v>
      </c>
    </row>
    <row r="62" spans="1:14" x14ac:dyDescent="0.35">
      <c r="A62">
        <v>161</v>
      </c>
      <c r="B62" t="s">
        <v>36</v>
      </c>
      <c r="C62" s="6">
        <v>45474</v>
      </c>
      <c r="D62">
        <f>YEAR(Table1[[#This Row],[Join Date]])</f>
        <v>2024</v>
      </c>
      <c r="E62" s="6" t="s">
        <v>48</v>
      </c>
      <c r="F62" t="str">
        <f>IFERROR(YEAR(Table1[[#This Row],[Exit Date]]), " ")</f>
        <v xml:space="preserve"> </v>
      </c>
      <c r="G62" t="str">
        <f>IFERROR((Table1[[#This Row],[Exit Year]]-Table1[[#This Row],[Join Year]])+1," ")</f>
        <v xml:space="preserve"> </v>
      </c>
      <c r="H62" t="s">
        <v>48</v>
      </c>
      <c r="I62" t="s">
        <v>11</v>
      </c>
      <c r="J62" t="s">
        <v>18</v>
      </c>
      <c r="K62">
        <v>36</v>
      </c>
      <c r="L62" t="str">
        <f>IF(Table1[[#This Row],[Age]]&lt;30,"20-29",
IF(Table1[[#This Row],[Age]]&lt;40,"30-39",
IF(Table1[[#This Row],[Age]]&lt;50,"40-49",
IF(Table1[[#This Row],[Age]]&lt;60,"50-59","60+"))))</f>
        <v>30-39</v>
      </c>
      <c r="M62" t="s">
        <v>13</v>
      </c>
      <c r="N62" t="s">
        <v>32</v>
      </c>
    </row>
    <row r="63" spans="1:14" x14ac:dyDescent="0.35">
      <c r="A63">
        <v>162</v>
      </c>
      <c r="B63" t="s">
        <v>29</v>
      </c>
      <c r="C63" s="6">
        <v>44227</v>
      </c>
      <c r="D63">
        <f>YEAR(Table1[[#This Row],[Join Date]])</f>
        <v>2021</v>
      </c>
      <c r="E63" s="6">
        <v>45322</v>
      </c>
      <c r="F63">
        <f>IFERROR(YEAR(Table1[[#This Row],[Exit Date]]), " ")</f>
        <v>2024</v>
      </c>
      <c r="G63">
        <f>IFERROR((Table1[[#This Row],[Exit Year]]-Table1[[#This Row],[Join Year]])+1," ")</f>
        <v>4</v>
      </c>
      <c r="H63" t="s">
        <v>27</v>
      </c>
      <c r="I63" t="s">
        <v>23</v>
      </c>
      <c r="J63" t="s">
        <v>12</v>
      </c>
      <c r="K63">
        <v>65</v>
      </c>
      <c r="L63" t="str">
        <f>IF(Table1[[#This Row],[Age]]&lt;30,"20-29",
IF(Table1[[#This Row],[Age]]&lt;40,"30-39",
IF(Table1[[#This Row],[Age]]&lt;50,"40-49",
IF(Table1[[#This Row],[Age]]&lt;60,"50-59","60+"))))</f>
        <v>60+</v>
      </c>
      <c r="M63" t="s">
        <v>16</v>
      </c>
      <c r="N63" t="s">
        <v>33</v>
      </c>
    </row>
    <row r="64" spans="1:14" x14ac:dyDescent="0.35">
      <c r="A64">
        <v>163</v>
      </c>
      <c r="B64" t="s">
        <v>10</v>
      </c>
      <c r="C64" s="6">
        <v>43446</v>
      </c>
      <c r="D64">
        <f>YEAR(Table1[[#This Row],[Join Date]])</f>
        <v>2018</v>
      </c>
      <c r="E64" s="6">
        <v>43936</v>
      </c>
      <c r="F64">
        <f>IFERROR(YEAR(Table1[[#This Row],[Exit Date]]), " ")</f>
        <v>2020</v>
      </c>
      <c r="G64">
        <f>IFERROR((Table1[[#This Row],[Exit Year]]-Table1[[#This Row],[Join Year]])+1," ")</f>
        <v>3</v>
      </c>
      <c r="H64" t="s">
        <v>46</v>
      </c>
      <c r="I64" t="s">
        <v>23</v>
      </c>
      <c r="J64" t="s">
        <v>18</v>
      </c>
      <c r="K64">
        <v>43</v>
      </c>
      <c r="L64" t="str">
        <f>IF(Table1[[#This Row],[Age]]&lt;30,"20-29",
IF(Table1[[#This Row],[Age]]&lt;40,"30-39",
IF(Table1[[#This Row],[Age]]&lt;50,"40-49",
IF(Table1[[#This Row],[Age]]&lt;60,"50-59","60+"))))</f>
        <v>40-49</v>
      </c>
      <c r="M64" t="s">
        <v>13</v>
      </c>
      <c r="N64" t="s">
        <v>35</v>
      </c>
    </row>
    <row r="65" spans="1:14" x14ac:dyDescent="0.35">
      <c r="A65">
        <v>164</v>
      </c>
      <c r="B65" t="s">
        <v>15</v>
      </c>
      <c r="C65" s="6">
        <v>45314</v>
      </c>
      <c r="D65">
        <f>YEAR(Table1[[#This Row],[Join Date]])</f>
        <v>2024</v>
      </c>
      <c r="E65" s="6" t="s">
        <v>48</v>
      </c>
      <c r="F65" t="str">
        <f>IFERROR(YEAR(Table1[[#This Row],[Exit Date]]), " ")</f>
        <v xml:space="preserve"> </v>
      </c>
      <c r="G65" t="str">
        <f>IFERROR((Table1[[#This Row],[Exit Year]]-Table1[[#This Row],[Join Year]])+1," ")</f>
        <v xml:space="preserve"> </v>
      </c>
      <c r="H65" t="s">
        <v>48</v>
      </c>
      <c r="I65" t="s">
        <v>11</v>
      </c>
      <c r="J65" t="s">
        <v>18</v>
      </c>
      <c r="K65">
        <v>40</v>
      </c>
      <c r="L65" t="str">
        <f>IF(Table1[[#This Row],[Age]]&lt;30,"20-29",
IF(Table1[[#This Row],[Age]]&lt;40,"30-39",
IF(Table1[[#This Row],[Age]]&lt;50,"40-49",
IF(Table1[[#This Row],[Age]]&lt;60,"50-59","60+"))))</f>
        <v>40-49</v>
      </c>
      <c r="M65" t="s">
        <v>20</v>
      </c>
      <c r="N65" t="s">
        <v>37</v>
      </c>
    </row>
    <row r="66" spans="1:14" x14ac:dyDescent="0.35">
      <c r="A66">
        <v>165</v>
      </c>
      <c r="B66" t="s">
        <v>15</v>
      </c>
      <c r="C66" s="6">
        <v>43123</v>
      </c>
      <c r="D66">
        <f>YEAR(Table1[[#This Row],[Join Date]])</f>
        <v>2018</v>
      </c>
      <c r="E66" s="6" t="s">
        <v>48</v>
      </c>
      <c r="F66" t="str">
        <f>IFERROR(YEAR(Table1[[#This Row],[Exit Date]]), " ")</f>
        <v xml:space="preserve"> </v>
      </c>
      <c r="G66" t="str">
        <f>IFERROR((Table1[[#This Row],[Exit Year]]-Table1[[#This Row],[Join Year]])+1," ")</f>
        <v xml:space="preserve"> </v>
      </c>
      <c r="H66" t="s">
        <v>48</v>
      </c>
      <c r="I66" t="s">
        <v>11</v>
      </c>
      <c r="J66" t="s">
        <v>12</v>
      </c>
      <c r="K66">
        <v>42</v>
      </c>
      <c r="L66" t="str">
        <f>IF(Table1[[#This Row],[Age]]&lt;30,"20-29",
IF(Table1[[#This Row],[Age]]&lt;40,"30-39",
IF(Table1[[#This Row],[Age]]&lt;50,"40-49",
IF(Table1[[#This Row],[Age]]&lt;60,"50-59","60+"))))</f>
        <v>40-49</v>
      </c>
      <c r="M66" t="s">
        <v>39</v>
      </c>
      <c r="N66" t="s">
        <v>19</v>
      </c>
    </row>
    <row r="67" spans="1:14" x14ac:dyDescent="0.35">
      <c r="A67">
        <v>166</v>
      </c>
      <c r="B67" t="s">
        <v>10</v>
      </c>
      <c r="C67" s="6">
        <v>43717</v>
      </c>
      <c r="D67">
        <f>YEAR(Table1[[#This Row],[Join Date]])</f>
        <v>2019</v>
      </c>
      <c r="E67" s="6">
        <v>44677</v>
      </c>
      <c r="F67">
        <f>IFERROR(YEAR(Table1[[#This Row],[Exit Date]]), " ")</f>
        <v>2022</v>
      </c>
      <c r="G67">
        <f>IFERROR((Table1[[#This Row],[Exit Year]]-Table1[[#This Row],[Join Year]])+1," ")</f>
        <v>4</v>
      </c>
      <c r="H67" t="s">
        <v>40</v>
      </c>
      <c r="I67" t="s">
        <v>23</v>
      </c>
      <c r="J67" t="s">
        <v>18</v>
      </c>
      <c r="K67">
        <v>35</v>
      </c>
      <c r="L67" t="str">
        <f>IF(Table1[[#This Row],[Age]]&lt;30,"20-29",
IF(Table1[[#This Row],[Age]]&lt;40,"30-39",
IF(Table1[[#This Row],[Age]]&lt;50,"40-49",
IF(Table1[[#This Row],[Age]]&lt;60,"50-59","60+"))))</f>
        <v>30-39</v>
      </c>
      <c r="M67" t="s">
        <v>13</v>
      </c>
      <c r="N67" t="s">
        <v>25</v>
      </c>
    </row>
    <row r="68" spans="1:14" x14ac:dyDescent="0.35">
      <c r="A68">
        <v>167</v>
      </c>
      <c r="B68" t="s">
        <v>29</v>
      </c>
      <c r="C68" s="6">
        <v>43534</v>
      </c>
      <c r="D68">
        <f>YEAR(Table1[[#This Row],[Join Date]])</f>
        <v>2019</v>
      </c>
      <c r="E68" s="6">
        <v>44117</v>
      </c>
      <c r="F68">
        <f>IFERROR(YEAR(Table1[[#This Row],[Exit Date]]), " ")</f>
        <v>2020</v>
      </c>
      <c r="G68">
        <f>IFERROR((Table1[[#This Row],[Exit Year]]-Table1[[#This Row],[Join Year]])+1," ")</f>
        <v>2</v>
      </c>
      <c r="H68" t="s">
        <v>38</v>
      </c>
      <c r="I68" t="s">
        <v>23</v>
      </c>
      <c r="J68" t="s">
        <v>12</v>
      </c>
      <c r="K68">
        <v>31</v>
      </c>
      <c r="L68" t="str">
        <f>IF(Table1[[#This Row],[Age]]&lt;30,"20-29",
IF(Table1[[#This Row],[Age]]&lt;40,"30-39",
IF(Table1[[#This Row],[Age]]&lt;50,"40-49",
IF(Table1[[#This Row],[Age]]&lt;60,"50-59","60+"))))</f>
        <v>30-39</v>
      </c>
      <c r="M68" t="s">
        <v>16</v>
      </c>
      <c r="N68" t="s">
        <v>35</v>
      </c>
    </row>
    <row r="69" spans="1:14" x14ac:dyDescent="0.35">
      <c r="A69">
        <v>168</v>
      </c>
      <c r="B69" t="s">
        <v>36</v>
      </c>
      <c r="C69" s="6">
        <v>44619</v>
      </c>
      <c r="D69">
        <f>YEAR(Table1[[#This Row],[Join Date]])</f>
        <v>2022</v>
      </c>
      <c r="E69" s="6" t="s">
        <v>48</v>
      </c>
      <c r="F69" t="str">
        <f>IFERROR(YEAR(Table1[[#This Row],[Exit Date]]), " ")</f>
        <v xml:space="preserve"> </v>
      </c>
      <c r="G69" t="str">
        <f>IFERROR((Table1[[#This Row],[Exit Year]]-Table1[[#This Row],[Join Year]])+1," ")</f>
        <v xml:space="preserve"> </v>
      </c>
      <c r="H69" t="s">
        <v>48</v>
      </c>
      <c r="I69" t="s">
        <v>11</v>
      </c>
      <c r="J69" t="s">
        <v>12</v>
      </c>
      <c r="K69">
        <v>51</v>
      </c>
      <c r="L69" t="str">
        <f>IF(Table1[[#This Row],[Age]]&lt;30,"20-29",
IF(Table1[[#This Row],[Age]]&lt;40,"30-39",
IF(Table1[[#This Row],[Age]]&lt;50,"40-49",
IF(Table1[[#This Row],[Age]]&lt;60,"50-59","60+"))))</f>
        <v>50-59</v>
      </c>
      <c r="M69" t="s">
        <v>16</v>
      </c>
      <c r="N69" t="s">
        <v>17</v>
      </c>
    </row>
    <row r="70" spans="1:14" x14ac:dyDescent="0.35">
      <c r="A70">
        <v>169</v>
      </c>
      <c r="B70" t="s">
        <v>10</v>
      </c>
      <c r="C70" s="6">
        <v>45485</v>
      </c>
      <c r="D70">
        <f>YEAR(Table1[[#This Row],[Join Date]])</f>
        <v>2024</v>
      </c>
      <c r="E70" s="6" t="s">
        <v>48</v>
      </c>
      <c r="F70" t="str">
        <f>IFERROR(YEAR(Table1[[#This Row],[Exit Date]]), " ")</f>
        <v xml:space="preserve"> </v>
      </c>
      <c r="G70" t="str">
        <f>IFERROR((Table1[[#This Row],[Exit Year]]-Table1[[#This Row],[Join Year]])+1," ")</f>
        <v xml:space="preserve"> </v>
      </c>
      <c r="H70" t="s">
        <v>48</v>
      </c>
      <c r="I70" t="s">
        <v>11</v>
      </c>
      <c r="J70" t="s">
        <v>18</v>
      </c>
      <c r="K70">
        <v>48</v>
      </c>
      <c r="L70" t="str">
        <f>IF(Table1[[#This Row],[Age]]&lt;30,"20-29",
IF(Table1[[#This Row],[Age]]&lt;40,"30-39",
IF(Table1[[#This Row],[Age]]&lt;50,"40-49",
IF(Table1[[#This Row],[Age]]&lt;60,"50-59","60+"))))</f>
        <v>40-49</v>
      </c>
      <c r="M70" t="s">
        <v>20</v>
      </c>
      <c r="N70" t="s">
        <v>19</v>
      </c>
    </row>
    <row r="71" spans="1:14" x14ac:dyDescent="0.35">
      <c r="A71">
        <v>170</v>
      </c>
      <c r="B71" t="s">
        <v>29</v>
      </c>
      <c r="C71" s="6">
        <v>43588</v>
      </c>
      <c r="D71">
        <f>YEAR(Table1[[#This Row],[Join Date]])</f>
        <v>2019</v>
      </c>
      <c r="E71" s="6">
        <v>44896</v>
      </c>
      <c r="F71">
        <f>IFERROR(YEAR(Table1[[#This Row],[Exit Date]]), " ")</f>
        <v>2022</v>
      </c>
      <c r="G71">
        <f>IFERROR((Table1[[#This Row],[Exit Year]]-Table1[[#This Row],[Join Year]])+1," ")</f>
        <v>4</v>
      </c>
      <c r="H71" t="s">
        <v>41</v>
      </c>
      <c r="I71" t="s">
        <v>23</v>
      </c>
      <c r="J71" t="s">
        <v>12</v>
      </c>
      <c r="K71">
        <v>41</v>
      </c>
      <c r="L71" t="str">
        <f>IF(Table1[[#This Row],[Age]]&lt;30,"20-29",
IF(Table1[[#This Row],[Age]]&lt;40,"30-39",
IF(Table1[[#This Row],[Age]]&lt;50,"40-49",
IF(Table1[[#This Row],[Age]]&lt;60,"50-59","60+"))))</f>
        <v>40-49</v>
      </c>
      <c r="M71" t="s">
        <v>24</v>
      </c>
      <c r="N71" t="s">
        <v>21</v>
      </c>
    </row>
    <row r="72" spans="1:14" x14ac:dyDescent="0.35">
      <c r="A72">
        <v>171</v>
      </c>
      <c r="B72" t="s">
        <v>36</v>
      </c>
      <c r="C72" s="6">
        <v>44250</v>
      </c>
      <c r="D72">
        <f>YEAR(Table1[[#This Row],[Join Date]])</f>
        <v>2021</v>
      </c>
      <c r="E72" s="6">
        <v>45392</v>
      </c>
      <c r="F72">
        <f>IFERROR(YEAR(Table1[[#This Row],[Exit Date]]), " ")</f>
        <v>2024</v>
      </c>
      <c r="G72">
        <f>IFERROR((Table1[[#This Row],[Exit Year]]-Table1[[#This Row],[Join Year]])+1," ")</f>
        <v>4</v>
      </c>
      <c r="H72" t="s">
        <v>27</v>
      </c>
      <c r="I72" t="s">
        <v>23</v>
      </c>
      <c r="J72" t="s">
        <v>18</v>
      </c>
      <c r="K72">
        <v>63</v>
      </c>
      <c r="L72" t="str">
        <f>IF(Table1[[#This Row],[Age]]&lt;30,"20-29",
IF(Table1[[#This Row],[Age]]&lt;40,"30-39",
IF(Table1[[#This Row],[Age]]&lt;50,"40-49",
IF(Table1[[#This Row],[Age]]&lt;60,"50-59","60+"))))</f>
        <v>60+</v>
      </c>
      <c r="M72" t="s">
        <v>13</v>
      </c>
      <c r="N72" t="s">
        <v>25</v>
      </c>
    </row>
    <row r="73" spans="1:14" x14ac:dyDescent="0.35">
      <c r="A73">
        <v>172</v>
      </c>
      <c r="B73" t="s">
        <v>26</v>
      </c>
      <c r="C73" s="6">
        <v>45244</v>
      </c>
      <c r="D73">
        <f>YEAR(Table1[[#This Row],[Join Date]])</f>
        <v>2023</v>
      </c>
      <c r="E73" s="6">
        <v>45446</v>
      </c>
      <c r="F73">
        <f>IFERROR(YEAR(Table1[[#This Row],[Exit Date]]), " ")</f>
        <v>2024</v>
      </c>
      <c r="G73">
        <f>IFERROR((Table1[[#This Row],[Exit Year]]-Table1[[#This Row],[Join Year]])+1," ")</f>
        <v>2</v>
      </c>
      <c r="H73" t="s">
        <v>40</v>
      </c>
      <c r="I73" t="s">
        <v>23</v>
      </c>
      <c r="J73" t="s">
        <v>18</v>
      </c>
      <c r="K73">
        <v>24</v>
      </c>
      <c r="L73" t="str">
        <f>IF(Table1[[#This Row],[Age]]&lt;30,"20-29",
IF(Table1[[#This Row],[Age]]&lt;40,"30-39",
IF(Table1[[#This Row],[Age]]&lt;50,"40-49",
IF(Table1[[#This Row],[Age]]&lt;60,"50-59","60+"))))</f>
        <v>20-29</v>
      </c>
      <c r="M73" t="s">
        <v>44</v>
      </c>
      <c r="N73" t="s">
        <v>35</v>
      </c>
    </row>
    <row r="74" spans="1:14" x14ac:dyDescent="0.35">
      <c r="A74">
        <v>173</v>
      </c>
      <c r="B74" t="s">
        <v>15</v>
      </c>
      <c r="C74" s="6">
        <v>45256</v>
      </c>
      <c r="D74">
        <f>YEAR(Table1[[#This Row],[Join Date]])</f>
        <v>2023</v>
      </c>
      <c r="E74" s="6" t="s">
        <v>48</v>
      </c>
      <c r="F74" t="str">
        <f>IFERROR(YEAR(Table1[[#This Row],[Exit Date]]), " ")</f>
        <v xml:space="preserve"> </v>
      </c>
      <c r="G74" t="str">
        <f>IFERROR((Table1[[#This Row],[Exit Year]]-Table1[[#This Row],[Join Year]])+1," ")</f>
        <v xml:space="preserve"> </v>
      </c>
      <c r="H74" t="s">
        <v>48</v>
      </c>
      <c r="I74" t="s">
        <v>11</v>
      </c>
      <c r="J74" t="s">
        <v>12</v>
      </c>
      <c r="K74">
        <v>41</v>
      </c>
      <c r="L74" t="str">
        <f>IF(Table1[[#This Row],[Age]]&lt;30,"20-29",
IF(Table1[[#This Row],[Age]]&lt;40,"30-39",
IF(Table1[[#This Row],[Age]]&lt;50,"40-49",
IF(Table1[[#This Row],[Age]]&lt;60,"50-59","60+"))))</f>
        <v>40-49</v>
      </c>
      <c r="M74" t="s">
        <v>13</v>
      </c>
      <c r="N74" t="s">
        <v>14</v>
      </c>
    </row>
    <row r="75" spans="1:14" x14ac:dyDescent="0.35">
      <c r="A75">
        <v>174</v>
      </c>
      <c r="B75" t="s">
        <v>26</v>
      </c>
      <c r="C75" s="6">
        <v>45465</v>
      </c>
      <c r="D75">
        <f>YEAR(Table1[[#This Row],[Join Date]])</f>
        <v>2024</v>
      </c>
      <c r="E75" s="6" t="s">
        <v>48</v>
      </c>
      <c r="F75" t="str">
        <f>IFERROR(YEAR(Table1[[#This Row],[Exit Date]]), " ")</f>
        <v xml:space="preserve"> </v>
      </c>
      <c r="G75" t="str">
        <f>IFERROR((Table1[[#This Row],[Exit Year]]-Table1[[#This Row],[Join Year]])+1," ")</f>
        <v xml:space="preserve"> </v>
      </c>
      <c r="H75" t="s">
        <v>48</v>
      </c>
      <c r="I75" t="s">
        <v>11</v>
      </c>
      <c r="J75" t="s">
        <v>12</v>
      </c>
      <c r="K75">
        <v>40</v>
      </c>
      <c r="L75" t="str">
        <f>IF(Table1[[#This Row],[Age]]&lt;30,"20-29",
IF(Table1[[#This Row],[Age]]&lt;40,"30-39",
IF(Table1[[#This Row],[Age]]&lt;50,"40-49",
IF(Table1[[#This Row],[Age]]&lt;60,"50-59","60+"))))</f>
        <v>40-49</v>
      </c>
      <c r="M75" t="s">
        <v>13</v>
      </c>
      <c r="N75" t="s">
        <v>19</v>
      </c>
    </row>
    <row r="76" spans="1:14" x14ac:dyDescent="0.35">
      <c r="A76">
        <v>175</v>
      </c>
      <c r="B76" t="s">
        <v>10</v>
      </c>
      <c r="C76" s="6">
        <v>43597</v>
      </c>
      <c r="D76">
        <f>YEAR(Table1[[#This Row],[Join Date]])</f>
        <v>2019</v>
      </c>
      <c r="E76" s="6" t="s">
        <v>48</v>
      </c>
      <c r="F76" t="str">
        <f>IFERROR(YEAR(Table1[[#This Row],[Exit Date]]), " ")</f>
        <v xml:space="preserve"> </v>
      </c>
      <c r="G76" t="str">
        <f>IFERROR((Table1[[#This Row],[Exit Year]]-Table1[[#This Row],[Join Year]])+1," ")</f>
        <v xml:space="preserve"> </v>
      </c>
      <c r="H76" t="s">
        <v>48</v>
      </c>
      <c r="I76" t="s">
        <v>11</v>
      </c>
      <c r="J76" t="s">
        <v>12</v>
      </c>
      <c r="K76">
        <v>48</v>
      </c>
      <c r="L76" t="str">
        <f>IF(Table1[[#This Row],[Age]]&lt;30,"20-29",
IF(Table1[[#This Row],[Age]]&lt;40,"30-39",
IF(Table1[[#This Row],[Age]]&lt;50,"40-49",
IF(Table1[[#This Row],[Age]]&lt;60,"50-59","60+"))))</f>
        <v>40-49</v>
      </c>
      <c r="M76" t="s">
        <v>16</v>
      </c>
      <c r="N76" t="s">
        <v>21</v>
      </c>
    </row>
    <row r="77" spans="1:14" x14ac:dyDescent="0.35">
      <c r="A77">
        <v>176</v>
      </c>
      <c r="B77" t="s">
        <v>15</v>
      </c>
      <c r="C77" s="6">
        <v>44866</v>
      </c>
      <c r="D77">
        <f>YEAR(Table1[[#This Row],[Join Date]])</f>
        <v>2022</v>
      </c>
      <c r="E77" s="6" t="s">
        <v>48</v>
      </c>
      <c r="F77" t="str">
        <f>IFERROR(YEAR(Table1[[#This Row],[Exit Date]]), " ")</f>
        <v xml:space="preserve"> </v>
      </c>
      <c r="G77" t="str">
        <f>IFERROR((Table1[[#This Row],[Exit Year]]-Table1[[#This Row],[Join Year]])+1," ")</f>
        <v xml:space="preserve"> </v>
      </c>
      <c r="H77" t="s">
        <v>48</v>
      </c>
      <c r="I77" t="s">
        <v>11</v>
      </c>
      <c r="J77" t="s">
        <v>12</v>
      </c>
      <c r="K77">
        <v>52</v>
      </c>
      <c r="L77" t="str">
        <f>IF(Table1[[#This Row],[Age]]&lt;30,"20-29",
IF(Table1[[#This Row],[Age]]&lt;40,"30-39",
IF(Table1[[#This Row],[Age]]&lt;50,"40-49",
IF(Table1[[#This Row],[Age]]&lt;60,"50-59","60+"))))</f>
        <v>50-59</v>
      </c>
      <c r="M77" t="s">
        <v>13</v>
      </c>
      <c r="N77" t="s">
        <v>37</v>
      </c>
    </row>
    <row r="78" spans="1:14" x14ac:dyDescent="0.35">
      <c r="A78">
        <v>177</v>
      </c>
      <c r="B78" t="s">
        <v>34</v>
      </c>
      <c r="C78" s="6">
        <v>44006</v>
      </c>
      <c r="D78">
        <f>YEAR(Table1[[#This Row],[Join Date]])</f>
        <v>2020</v>
      </c>
      <c r="E78" s="6">
        <v>44463</v>
      </c>
      <c r="F78">
        <f>IFERROR(YEAR(Table1[[#This Row],[Exit Date]]), " ")</f>
        <v>2021</v>
      </c>
      <c r="G78">
        <f>IFERROR((Table1[[#This Row],[Exit Year]]-Table1[[#This Row],[Join Year]])+1," ")</f>
        <v>2</v>
      </c>
      <c r="H78" t="s">
        <v>43</v>
      </c>
      <c r="I78" t="s">
        <v>23</v>
      </c>
      <c r="J78" t="s">
        <v>12</v>
      </c>
      <c r="K78">
        <v>33</v>
      </c>
      <c r="L78" t="str">
        <f>IF(Table1[[#This Row],[Age]]&lt;30,"20-29",
IF(Table1[[#This Row],[Age]]&lt;40,"30-39",
IF(Table1[[#This Row],[Age]]&lt;50,"40-49",
IF(Table1[[#This Row],[Age]]&lt;60,"50-59","60+"))))</f>
        <v>30-39</v>
      </c>
      <c r="M78" t="s">
        <v>20</v>
      </c>
      <c r="N78" t="s">
        <v>25</v>
      </c>
    </row>
    <row r="79" spans="1:14" x14ac:dyDescent="0.35">
      <c r="A79">
        <v>178</v>
      </c>
      <c r="B79" t="s">
        <v>26</v>
      </c>
      <c r="C79" s="6">
        <v>45095</v>
      </c>
      <c r="D79">
        <f>YEAR(Table1[[#This Row],[Join Date]])</f>
        <v>2023</v>
      </c>
      <c r="E79" s="6" t="s">
        <v>48</v>
      </c>
      <c r="F79" t="str">
        <f>IFERROR(YEAR(Table1[[#This Row],[Exit Date]]), " ")</f>
        <v xml:space="preserve"> </v>
      </c>
      <c r="G79" t="str">
        <f>IFERROR((Table1[[#This Row],[Exit Year]]-Table1[[#This Row],[Join Year]])+1," ")</f>
        <v xml:space="preserve"> </v>
      </c>
      <c r="H79" t="s">
        <v>48</v>
      </c>
      <c r="I79" t="s">
        <v>11</v>
      </c>
      <c r="J79" t="s">
        <v>18</v>
      </c>
      <c r="K79">
        <v>51</v>
      </c>
      <c r="L79" t="str">
        <f>IF(Table1[[#This Row],[Age]]&lt;30,"20-29",
IF(Table1[[#This Row],[Age]]&lt;40,"30-39",
IF(Table1[[#This Row],[Age]]&lt;50,"40-49",
IF(Table1[[#This Row],[Age]]&lt;60,"50-59","60+"))))</f>
        <v>50-59</v>
      </c>
      <c r="M79" t="s">
        <v>39</v>
      </c>
      <c r="N79" t="s">
        <v>35</v>
      </c>
    </row>
    <row r="80" spans="1:14" x14ac:dyDescent="0.35">
      <c r="A80">
        <v>179</v>
      </c>
      <c r="B80" t="s">
        <v>10</v>
      </c>
      <c r="C80" s="6">
        <v>44360</v>
      </c>
      <c r="D80">
        <f>YEAR(Table1[[#This Row],[Join Date]])</f>
        <v>2021</v>
      </c>
      <c r="E80" s="6">
        <v>44755</v>
      </c>
      <c r="F80">
        <f>IFERROR(YEAR(Table1[[#This Row],[Exit Date]]), " ")</f>
        <v>2022</v>
      </c>
      <c r="G80">
        <f>IFERROR((Table1[[#This Row],[Exit Year]]-Table1[[#This Row],[Join Year]])+1," ")</f>
        <v>2</v>
      </c>
      <c r="H80" t="s">
        <v>46</v>
      </c>
      <c r="I80" t="s">
        <v>23</v>
      </c>
      <c r="J80" t="s">
        <v>18</v>
      </c>
      <c r="K80">
        <v>46</v>
      </c>
      <c r="L80" t="str">
        <f>IF(Table1[[#This Row],[Age]]&lt;30,"20-29",
IF(Table1[[#This Row],[Age]]&lt;40,"30-39",
IF(Table1[[#This Row],[Age]]&lt;50,"40-49",
IF(Table1[[#This Row],[Age]]&lt;60,"50-59","60+"))))</f>
        <v>40-49</v>
      </c>
      <c r="M80" t="s">
        <v>13</v>
      </c>
      <c r="N80" t="s">
        <v>35</v>
      </c>
    </row>
    <row r="81" spans="1:14" x14ac:dyDescent="0.35">
      <c r="A81">
        <v>180</v>
      </c>
      <c r="B81" t="s">
        <v>26</v>
      </c>
      <c r="C81" s="6">
        <v>43419</v>
      </c>
      <c r="D81">
        <f>YEAR(Table1[[#This Row],[Join Date]])</f>
        <v>2018</v>
      </c>
      <c r="E81" s="6">
        <v>44303</v>
      </c>
      <c r="F81">
        <f>IFERROR(YEAR(Table1[[#This Row],[Exit Date]]), " ")</f>
        <v>2021</v>
      </c>
      <c r="G81">
        <f>IFERROR((Table1[[#This Row],[Exit Year]]-Table1[[#This Row],[Join Year]])+1," ")</f>
        <v>4</v>
      </c>
      <c r="H81" t="s">
        <v>22</v>
      </c>
      <c r="I81" t="s">
        <v>23</v>
      </c>
      <c r="J81" t="s">
        <v>18</v>
      </c>
      <c r="K81">
        <v>53</v>
      </c>
      <c r="L81" t="str">
        <f>IF(Table1[[#This Row],[Age]]&lt;30,"20-29",
IF(Table1[[#This Row],[Age]]&lt;40,"30-39",
IF(Table1[[#This Row],[Age]]&lt;50,"40-49",
IF(Table1[[#This Row],[Age]]&lt;60,"50-59","60+"))))</f>
        <v>50-59</v>
      </c>
      <c r="M81" t="s">
        <v>16</v>
      </c>
      <c r="N81" t="s">
        <v>14</v>
      </c>
    </row>
    <row r="82" spans="1:14" x14ac:dyDescent="0.35">
      <c r="A82">
        <v>181</v>
      </c>
      <c r="B82" t="s">
        <v>36</v>
      </c>
      <c r="C82" s="6">
        <v>44249</v>
      </c>
      <c r="D82">
        <f>YEAR(Table1[[#This Row],[Join Date]])</f>
        <v>2021</v>
      </c>
      <c r="E82" s="6" t="s">
        <v>48</v>
      </c>
      <c r="F82" t="str">
        <f>IFERROR(YEAR(Table1[[#This Row],[Exit Date]]), " ")</f>
        <v xml:space="preserve"> </v>
      </c>
      <c r="G82" t="str">
        <f>IFERROR((Table1[[#This Row],[Exit Year]]-Table1[[#This Row],[Join Year]])+1," ")</f>
        <v xml:space="preserve"> </v>
      </c>
      <c r="H82" t="s">
        <v>48</v>
      </c>
      <c r="I82" t="s">
        <v>11</v>
      </c>
      <c r="J82" t="s">
        <v>18</v>
      </c>
      <c r="K82">
        <v>35</v>
      </c>
      <c r="L82" t="str">
        <f>IF(Table1[[#This Row],[Age]]&lt;30,"20-29",
IF(Table1[[#This Row],[Age]]&lt;40,"30-39",
IF(Table1[[#This Row],[Age]]&lt;50,"40-49",
IF(Table1[[#This Row],[Age]]&lt;60,"50-59","60+"))))</f>
        <v>30-39</v>
      </c>
      <c r="M82" t="s">
        <v>16</v>
      </c>
      <c r="N82" t="s">
        <v>17</v>
      </c>
    </row>
    <row r="83" spans="1:14" x14ac:dyDescent="0.35">
      <c r="A83">
        <v>182</v>
      </c>
      <c r="B83" t="s">
        <v>10</v>
      </c>
      <c r="C83" s="6">
        <v>45533</v>
      </c>
      <c r="D83">
        <f>YEAR(Table1[[#This Row],[Join Date]])</f>
        <v>2024</v>
      </c>
      <c r="E83" s="6" t="s">
        <v>48</v>
      </c>
      <c r="F83" t="str">
        <f>IFERROR(YEAR(Table1[[#This Row],[Exit Date]]), " ")</f>
        <v xml:space="preserve"> </v>
      </c>
      <c r="G83" t="str">
        <f>IFERROR((Table1[[#This Row],[Exit Year]]-Table1[[#This Row],[Join Year]])+1," ")</f>
        <v xml:space="preserve"> </v>
      </c>
      <c r="H83" t="s">
        <v>48</v>
      </c>
      <c r="I83" t="s">
        <v>11</v>
      </c>
      <c r="J83" t="s">
        <v>18</v>
      </c>
      <c r="K83">
        <v>32</v>
      </c>
      <c r="L83" t="str">
        <f>IF(Table1[[#This Row],[Age]]&lt;30,"20-29",
IF(Table1[[#This Row],[Age]]&lt;40,"30-39",
IF(Table1[[#This Row],[Age]]&lt;50,"40-49",
IF(Table1[[#This Row],[Age]]&lt;60,"50-59","60+"))))</f>
        <v>30-39</v>
      </c>
      <c r="M83" t="s">
        <v>20</v>
      </c>
      <c r="N83" t="s">
        <v>19</v>
      </c>
    </row>
    <row r="84" spans="1:14" x14ac:dyDescent="0.35">
      <c r="A84">
        <v>183</v>
      </c>
      <c r="B84" t="s">
        <v>36</v>
      </c>
      <c r="C84" s="6">
        <v>44377</v>
      </c>
      <c r="D84">
        <f>YEAR(Table1[[#This Row],[Join Date]])</f>
        <v>2021</v>
      </c>
      <c r="E84" s="6" t="s">
        <v>48</v>
      </c>
      <c r="F84" t="str">
        <f>IFERROR(YEAR(Table1[[#This Row],[Exit Date]]), " ")</f>
        <v xml:space="preserve"> </v>
      </c>
      <c r="G84" t="str">
        <f>IFERROR((Table1[[#This Row],[Exit Year]]-Table1[[#This Row],[Join Year]])+1," ")</f>
        <v xml:space="preserve"> </v>
      </c>
      <c r="H84" t="s">
        <v>48</v>
      </c>
      <c r="I84" t="s">
        <v>11</v>
      </c>
      <c r="J84" t="s">
        <v>12</v>
      </c>
      <c r="K84">
        <v>46</v>
      </c>
      <c r="L84" t="str">
        <f>IF(Table1[[#This Row],[Age]]&lt;30,"20-29",
IF(Table1[[#This Row],[Age]]&lt;40,"30-39",
IF(Table1[[#This Row],[Age]]&lt;50,"40-49",
IF(Table1[[#This Row],[Age]]&lt;60,"50-59","60+"))))</f>
        <v>40-49</v>
      </c>
      <c r="M84" t="s">
        <v>24</v>
      </c>
      <c r="N84" t="s">
        <v>21</v>
      </c>
    </row>
    <row r="85" spans="1:14" x14ac:dyDescent="0.35">
      <c r="A85">
        <v>184</v>
      </c>
      <c r="B85" t="s">
        <v>10</v>
      </c>
      <c r="C85" s="6">
        <v>44088</v>
      </c>
      <c r="D85">
        <f>YEAR(Table1[[#This Row],[Join Date]])</f>
        <v>2020</v>
      </c>
      <c r="E85" s="6" t="s">
        <v>48</v>
      </c>
      <c r="F85" t="str">
        <f>IFERROR(YEAR(Table1[[#This Row],[Exit Date]]), " ")</f>
        <v xml:space="preserve"> </v>
      </c>
      <c r="G85" t="str">
        <f>IFERROR((Table1[[#This Row],[Exit Year]]-Table1[[#This Row],[Join Year]])+1," ")</f>
        <v xml:space="preserve"> </v>
      </c>
      <c r="H85" t="s">
        <v>48</v>
      </c>
      <c r="I85" t="s">
        <v>11</v>
      </c>
      <c r="J85" t="s">
        <v>18</v>
      </c>
      <c r="K85">
        <v>50</v>
      </c>
      <c r="L85" t="str">
        <f>IF(Table1[[#This Row],[Age]]&lt;30,"20-29",
IF(Table1[[#This Row],[Age]]&lt;40,"30-39",
IF(Table1[[#This Row],[Age]]&lt;50,"40-49",
IF(Table1[[#This Row],[Age]]&lt;60,"50-59","60+"))))</f>
        <v>50-59</v>
      </c>
      <c r="M85" t="s">
        <v>13</v>
      </c>
      <c r="N85" t="s">
        <v>25</v>
      </c>
    </row>
    <row r="86" spans="1:14" x14ac:dyDescent="0.35">
      <c r="A86">
        <v>185</v>
      </c>
      <c r="B86" t="s">
        <v>26</v>
      </c>
      <c r="C86" s="6">
        <v>43373</v>
      </c>
      <c r="D86">
        <f>YEAR(Table1[[#This Row],[Join Date]])</f>
        <v>2018</v>
      </c>
      <c r="E86" s="6">
        <v>44825</v>
      </c>
      <c r="F86">
        <f>IFERROR(YEAR(Table1[[#This Row],[Exit Date]]), " ")</f>
        <v>2022</v>
      </c>
      <c r="G86">
        <f>IFERROR((Table1[[#This Row],[Exit Year]]-Table1[[#This Row],[Join Year]])+1," ")</f>
        <v>5</v>
      </c>
      <c r="H86" t="s">
        <v>27</v>
      </c>
      <c r="I86" t="s">
        <v>23</v>
      </c>
      <c r="J86" t="s">
        <v>18</v>
      </c>
      <c r="K86">
        <v>62</v>
      </c>
      <c r="L86" t="str">
        <f>IF(Table1[[#This Row],[Age]]&lt;30,"20-29",
IF(Table1[[#This Row],[Age]]&lt;40,"30-39",
IF(Table1[[#This Row],[Age]]&lt;50,"40-49",
IF(Table1[[#This Row],[Age]]&lt;60,"50-59","60+"))))</f>
        <v>60+</v>
      </c>
      <c r="M86" t="s">
        <v>42</v>
      </c>
      <c r="N86" t="s">
        <v>28</v>
      </c>
    </row>
    <row r="87" spans="1:14" x14ac:dyDescent="0.35">
      <c r="A87">
        <v>186</v>
      </c>
      <c r="B87" t="s">
        <v>26</v>
      </c>
      <c r="C87" s="6">
        <v>43314</v>
      </c>
      <c r="D87">
        <f>YEAR(Table1[[#This Row],[Join Date]])</f>
        <v>2018</v>
      </c>
      <c r="E87" s="6" t="s">
        <v>48</v>
      </c>
      <c r="F87" t="str">
        <f>IFERROR(YEAR(Table1[[#This Row],[Exit Date]]), " ")</f>
        <v xml:space="preserve"> </v>
      </c>
      <c r="G87" t="str">
        <f>IFERROR((Table1[[#This Row],[Exit Year]]-Table1[[#This Row],[Join Year]])+1," ")</f>
        <v xml:space="preserve"> </v>
      </c>
      <c r="H87" t="s">
        <v>48</v>
      </c>
      <c r="I87" t="s">
        <v>11</v>
      </c>
      <c r="J87" t="s">
        <v>18</v>
      </c>
      <c r="K87">
        <v>29</v>
      </c>
      <c r="L87" t="str">
        <f>IF(Table1[[#This Row],[Age]]&lt;30,"20-29",
IF(Table1[[#This Row],[Age]]&lt;40,"30-39",
IF(Table1[[#This Row],[Age]]&lt;50,"40-49",
IF(Table1[[#This Row],[Age]]&lt;60,"50-59","60+"))))</f>
        <v>20-29</v>
      </c>
      <c r="M87" t="s">
        <v>13</v>
      </c>
      <c r="N87" t="s">
        <v>31</v>
      </c>
    </row>
    <row r="88" spans="1:14" x14ac:dyDescent="0.35">
      <c r="A88">
        <v>187</v>
      </c>
      <c r="B88" t="s">
        <v>26</v>
      </c>
      <c r="C88" s="6">
        <v>44418</v>
      </c>
      <c r="D88">
        <f>YEAR(Table1[[#This Row],[Join Date]])</f>
        <v>2021</v>
      </c>
      <c r="E88" s="6">
        <v>45628</v>
      </c>
      <c r="F88">
        <f>IFERROR(YEAR(Table1[[#This Row],[Exit Date]]), " ")</f>
        <v>2024</v>
      </c>
      <c r="G88">
        <f>IFERROR((Table1[[#This Row],[Exit Year]]-Table1[[#This Row],[Join Year]])+1," ")</f>
        <v>4</v>
      </c>
      <c r="H88" t="s">
        <v>22</v>
      </c>
      <c r="I88" t="s">
        <v>23</v>
      </c>
      <c r="J88" t="s">
        <v>12</v>
      </c>
      <c r="K88">
        <v>27</v>
      </c>
      <c r="L88" t="str">
        <f>IF(Table1[[#This Row],[Age]]&lt;30,"20-29",
IF(Table1[[#This Row],[Age]]&lt;40,"30-39",
IF(Table1[[#This Row],[Age]]&lt;50,"40-49",
IF(Table1[[#This Row],[Age]]&lt;60,"50-59","60+"))))</f>
        <v>20-29</v>
      </c>
      <c r="M88" t="s">
        <v>13</v>
      </c>
      <c r="N88" t="s">
        <v>32</v>
      </c>
    </row>
    <row r="89" spans="1:14" x14ac:dyDescent="0.35">
      <c r="A89">
        <v>188</v>
      </c>
      <c r="B89" t="s">
        <v>34</v>
      </c>
      <c r="C89" s="6">
        <v>44324</v>
      </c>
      <c r="D89">
        <f>YEAR(Table1[[#This Row],[Join Date]])</f>
        <v>2021</v>
      </c>
      <c r="E89" s="6">
        <v>45076</v>
      </c>
      <c r="F89">
        <f>IFERROR(YEAR(Table1[[#This Row],[Exit Date]]), " ")</f>
        <v>2023</v>
      </c>
      <c r="G89">
        <f>IFERROR((Table1[[#This Row],[Exit Year]]-Table1[[#This Row],[Join Year]])+1," ")</f>
        <v>3</v>
      </c>
      <c r="H89" t="s">
        <v>40</v>
      </c>
      <c r="I89" t="s">
        <v>23</v>
      </c>
      <c r="J89" t="s">
        <v>12</v>
      </c>
      <c r="K89">
        <v>31</v>
      </c>
      <c r="L89" t="str">
        <f>IF(Table1[[#This Row],[Age]]&lt;30,"20-29",
IF(Table1[[#This Row],[Age]]&lt;40,"30-39",
IF(Table1[[#This Row],[Age]]&lt;50,"40-49",
IF(Table1[[#This Row],[Age]]&lt;60,"50-59","60+"))))</f>
        <v>30-39</v>
      </c>
      <c r="M89" t="s">
        <v>16</v>
      </c>
      <c r="N89" t="s">
        <v>33</v>
      </c>
    </row>
    <row r="90" spans="1:14" x14ac:dyDescent="0.35">
      <c r="A90">
        <v>189</v>
      </c>
      <c r="B90" t="s">
        <v>10</v>
      </c>
      <c r="C90" s="6">
        <v>43513</v>
      </c>
      <c r="D90">
        <f>YEAR(Table1[[#This Row],[Join Date]])</f>
        <v>2019</v>
      </c>
      <c r="E90" s="6">
        <v>44923</v>
      </c>
      <c r="F90">
        <f>IFERROR(YEAR(Table1[[#This Row],[Exit Date]]), " ")</f>
        <v>2022</v>
      </c>
      <c r="G90">
        <f>IFERROR((Table1[[#This Row],[Exit Year]]-Table1[[#This Row],[Join Year]])+1," ")</f>
        <v>4</v>
      </c>
      <c r="H90" t="s">
        <v>46</v>
      </c>
      <c r="I90" t="s">
        <v>23</v>
      </c>
      <c r="J90" t="s">
        <v>18</v>
      </c>
      <c r="K90">
        <v>24</v>
      </c>
      <c r="L90" t="str">
        <f>IF(Table1[[#This Row],[Age]]&lt;30,"20-29",
IF(Table1[[#This Row],[Age]]&lt;40,"30-39",
IF(Table1[[#This Row],[Age]]&lt;50,"40-49",
IF(Table1[[#This Row],[Age]]&lt;60,"50-59","60+"))))</f>
        <v>20-29</v>
      </c>
      <c r="M90" t="s">
        <v>13</v>
      </c>
      <c r="N90" t="s">
        <v>35</v>
      </c>
    </row>
    <row r="91" spans="1:14" x14ac:dyDescent="0.35">
      <c r="A91">
        <v>190</v>
      </c>
      <c r="B91" t="s">
        <v>36</v>
      </c>
      <c r="C91" s="6">
        <v>44180</v>
      </c>
      <c r="D91">
        <f>YEAR(Table1[[#This Row],[Join Date]])</f>
        <v>2020</v>
      </c>
      <c r="E91" s="6" t="s">
        <v>48</v>
      </c>
      <c r="F91" t="str">
        <f>IFERROR(YEAR(Table1[[#This Row],[Exit Date]]), " ")</f>
        <v xml:space="preserve"> </v>
      </c>
      <c r="G91" t="str">
        <f>IFERROR((Table1[[#This Row],[Exit Year]]-Table1[[#This Row],[Join Year]])+1," ")</f>
        <v xml:space="preserve"> </v>
      </c>
      <c r="H91" t="s">
        <v>48</v>
      </c>
      <c r="I91" t="s">
        <v>11</v>
      </c>
      <c r="J91" t="s">
        <v>12</v>
      </c>
      <c r="K91">
        <v>37</v>
      </c>
      <c r="L91" t="str">
        <f>IF(Table1[[#This Row],[Age]]&lt;30,"20-29",
IF(Table1[[#This Row],[Age]]&lt;40,"30-39",
IF(Table1[[#This Row],[Age]]&lt;50,"40-49",
IF(Table1[[#This Row],[Age]]&lt;60,"50-59","60+"))))</f>
        <v>30-39</v>
      </c>
      <c r="M91" t="s">
        <v>20</v>
      </c>
      <c r="N91" t="s">
        <v>37</v>
      </c>
    </row>
    <row r="92" spans="1:14" x14ac:dyDescent="0.35">
      <c r="A92">
        <v>191</v>
      </c>
      <c r="B92" t="s">
        <v>34</v>
      </c>
      <c r="C92" s="6">
        <v>44099</v>
      </c>
      <c r="D92">
        <f>YEAR(Table1[[#This Row],[Join Date]])</f>
        <v>2020</v>
      </c>
      <c r="E92" s="6" t="s">
        <v>48</v>
      </c>
      <c r="F92" t="str">
        <f>IFERROR(YEAR(Table1[[#This Row],[Exit Date]]), " ")</f>
        <v xml:space="preserve"> </v>
      </c>
      <c r="G92" t="str">
        <f>IFERROR((Table1[[#This Row],[Exit Year]]-Table1[[#This Row],[Join Year]])+1," ")</f>
        <v xml:space="preserve"> </v>
      </c>
      <c r="H92" t="s">
        <v>48</v>
      </c>
      <c r="I92" t="s">
        <v>11</v>
      </c>
      <c r="J92" t="s">
        <v>12</v>
      </c>
      <c r="K92">
        <v>23</v>
      </c>
      <c r="L92" t="str">
        <f>IF(Table1[[#This Row],[Age]]&lt;30,"20-29",
IF(Table1[[#This Row],[Age]]&lt;40,"30-39",
IF(Table1[[#This Row],[Age]]&lt;50,"40-49",
IF(Table1[[#This Row],[Age]]&lt;60,"50-59","60+"))))</f>
        <v>20-29</v>
      </c>
      <c r="M92" t="s">
        <v>44</v>
      </c>
      <c r="N92" t="s">
        <v>19</v>
      </c>
    </row>
    <row r="93" spans="1:14" x14ac:dyDescent="0.35">
      <c r="A93">
        <v>192</v>
      </c>
      <c r="B93" t="s">
        <v>34</v>
      </c>
      <c r="C93" s="6">
        <v>45632</v>
      </c>
      <c r="D93">
        <f>YEAR(Table1[[#This Row],[Join Date]])</f>
        <v>2024</v>
      </c>
      <c r="E93" s="6" t="s">
        <v>48</v>
      </c>
      <c r="F93" t="str">
        <f>IFERROR(YEAR(Table1[[#This Row],[Exit Date]]), " ")</f>
        <v xml:space="preserve"> </v>
      </c>
      <c r="G93" t="str">
        <f>IFERROR((Table1[[#This Row],[Exit Year]]-Table1[[#This Row],[Join Year]])+1," ")</f>
        <v xml:space="preserve"> </v>
      </c>
      <c r="H93" t="s">
        <v>48</v>
      </c>
      <c r="I93" t="s">
        <v>11</v>
      </c>
      <c r="J93" t="s">
        <v>18</v>
      </c>
      <c r="K93">
        <v>31</v>
      </c>
      <c r="L93" t="str">
        <f>IF(Table1[[#This Row],[Age]]&lt;30,"20-29",
IF(Table1[[#This Row],[Age]]&lt;40,"30-39",
IF(Table1[[#This Row],[Age]]&lt;50,"40-49",
IF(Table1[[#This Row],[Age]]&lt;60,"50-59","60+"))))</f>
        <v>30-39</v>
      </c>
      <c r="M93" t="s">
        <v>13</v>
      </c>
      <c r="N93" t="s">
        <v>25</v>
      </c>
    </row>
    <row r="94" spans="1:14" x14ac:dyDescent="0.35">
      <c r="A94">
        <v>193</v>
      </c>
      <c r="B94" t="s">
        <v>36</v>
      </c>
      <c r="C94" s="6">
        <v>45294</v>
      </c>
      <c r="D94">
        <f>YEAR(Table1[[#This Row],[Join Date]])</f>
        <v>2024</v>
      </c>
      <c r="E94" s="6" t="s">
        <v>48</v>
      </c>
      <c r="F94" t="str">
        <f>IFERROR(YEAR(Table1[[#This Row],[Exit Date]]), " ")</f>
        <v xml:space="preserve"> </v>
      </c>
      <c r="G94" t="str">
        <f>IFERROR((Table1[[#This Row],[Exit Year]]-Table1[[#This Row],[Join Year]])+1," ")</f>
        <v xml:space="preserve"> </v>
      </c>
      <c r="H94" t="s">
        <v>48</v>
      </c>
      <c r="I94" t="s">
        <v>11</v>
      </c>
      <c r="J94" t="s">
        <v>12</v>
      </c>
      <c r="K94">
        <v>52</v>
      </c>
      <c r="L94" t="str">
        <f>IF(Table1[[#This Row],[Age]]&lt;30,"20-29",
IF(Table1[[#This Row],[Age]]&lt;40,"30-39",
IF(Table1[[#This Row],[Age]]&lt;50,"40-49",
IF(Table1[[#This Row],[Age]]&lt;60,"50-59","60+"))))</f>
        <v>50-59</v>
      </c>
      <c r="M94" t="s">
        <v>16</v>
      </c>
      <c r="N94" t="s">
        <v>35</v>
      </c>
    </row>
    <row r="95" spans="1:14" x14ac:dyDescent="0.35">
      <c r="A95">
        <v>194</v>
      </c>
      <c r="B95" t="s">
        <v>26</v>
      </c>
      <c r="C95" s="6">
        <v>44590</v>
      </c>
      <c r="D95">
        <f>YEAR(Table1[[#This Row],[Join Date]])</f>
        <v>2022</v>
      </c>
      <c r="E95" s="6" t="s">
        <v>48</v>
      </c>
      <c r="F95" t="str">
        <f>IFERROR(YEAR(Table1[[#This Row],[Exit Date]]), " ")</f>
        <v xml:space="preserve"> </v>
      </c>
      <c r="G95" t="str">
        <f>IFERROR((Table1[[#This Row],[Exit Year]]-Table1[[#This Row],[Join Year]])+1," ")</f>
        <v xml:space="preserve"> </v>
      </c>
      <c r="H95" t="s">
        <v>48</v>
      </c>
      <c r="I95" t="s">
        <v>11</v>
      </c>
      <c r="J95" t="s">
        <v>12</v>
      </c>
      <c r="K95">
        <v>25</v>
      </c>
      <c r="L95" t="str">
        <f>IF(Table1[[#This Row],[Age]]&lt;30,"20-29",
IF(Table1[[#This Row],[Age]]&lt;40,"30-39",
IF(Table1[[#This Row],[Age]]&lt;50,"40-49",
IF(Table1[[#This Row],[Age]]&lt;60,"50-59","60+"))))</f>
        <v>20-29</v>
      </c>
      <c r="M95" t="s">
        <v>16</v>
      </c>
      <c r="N95" t="s">
        <v>17</v>
      </c>
    </row>
    <row r="96" spans="1:14" x14ac:dyDescent="0.35">
      <c r="A96">
        <v>195</v>
      </c>
      <c r="B96" t="s">
        <v>15</v>
      </c>
      <c r="C96" s="6">
        <v>45215</v>
      </c>
      <c r="D96">
        <f>YEAR(Table1[[#This Row],[Join Date]])</f>
        <v>2023</v>
      </c>
      <c r="E96" s="6" t="s">
        <v>48</v>
      </c>
      <c r="F96" t="str">
        <f>IFERROR(YEAR(Table1[[#This Row],[Exit Date]]), " ")</f>
        <v xml:space="preserve"> </v>
      </c>
      <c r="G96" t="str">
        <f>IFERROR((Table1[[#This Row],[Exit Year]]-Table1[[#This Row],[Join Year]])+1," ")</f>
        <v xml:space="preserve"> </v>
      </c>
      <c r="H96" t="s">
        <v>48</v>
      </c>
      <c r="I96" t="s">
        <v>11</v>
      </c>
      <c r="J96" t="s">
        <v>12</v>
      </c>
      <c r="K96">
        <v>46</v>
      </c>
      <c r="L96" t="str">
        <f>IF(Table1[[#This Row],[Age]]&lt;30,"20-29",
IF(Table1[[#This Row],[Age]]&lt;40,"30-39",
IF(Table1[[#This Row],[Age]]&lt;50,"40-49",
IF(Table1[[#This Row],[Age]]&lt;60,"50-59","60+"))))</f>
        <v>40-49</v>
      </c>
      <c r="M96" t="s">
        <v>20</v>
      </c>
      <c r="N96" t="s">
        <v>19</v>
      </c>
    </row>
    <row r="97" spans="1:14" x14ac:dyDescent="0.35">
      <c r="A97">
        <v>196</v>
      </c>
      <c r="B97" t="s">
        <v>15</v>
      </c>
      <c r="C97" s="6">
        <v>43624</v>
      </c>
      <c r="D97">
        <f>YEAR(Table1[[#This Row],[Join Date]])</f>
        <v>2019</v>
      </c>
      <c r="E97" s="6">
        <v>44228</v>
      </c>
      <c r="F97">
        <f>IFERROR(YEAR(Table1[[#This Row],[Exit Date]]), " ")</f>
        <v>2021</v>
      </c>
      <c r="G97">
        <f>IFERROR((Table1[[#This Row],[Exit Year]]-Table1[[#This Row],[Join Year]])+1," ")</f>
        <v>3</v>
      </c>
      <c r="H97" t="s">
        <v>41</v>
      </c>
      <c r="I97" t="s">
        <v>23</v>
      </c>
      <c r="J97" t="s">
        <v>18</v>
      </c>
      <c r="K97">
        <v>24</v>
      </c>
      <c r="L97" t="str">
        <f>IF(Table1[[#This Row],[Age]]&lt;30,"20-29",
IF(Table1[[#This Row],[Age]]&lt;40,"30-39",
IF(Table1[[#This Row],[Age]]&lt;50,"40-49",
IF(Table1[[#This Row],[Age]]&lt;60,"50-59","60+"))))</f>
        <v>20-29</v>
      </c>
      <c r="M97" t="s">
        <v>24</v>
      </c>
      <c r="N97" t="s">
        <v>21</v>
      </c>
    </row>
    <row r="98" spans="1:14" x14ac:dyDescent="0.35">
      <c r="A98">
        <v>197</v>
      </c>
      <c r="B98" t="s">
        <v>15</v>
      </c>
      <c r="C98" s="6">
        <v>44514</v>
      </c>
      <c r="D98">
        <f>YEAR(Table1[[#This Row],[Join Date]])</f>
        <v>2021</v>
      </c>
      <c r="E98" s="6">
        <v>45529</v>
      </c>
      <c r="F98">
        <f>IFERROR(YEAR(Table1[[#This Row],[Exit Date]]), " ")</f>
        <v>2024</v>
      </c>
      <c r="G98">
        <f>IFERROR((Table1[[#This Row],[Exit Year]]-Table1[[#This Row],[Join Year]])+1," ")</f>
        <v>4</v>
      </c>
      <c r="H98" t="s">
        <v>41</v>
      </c>
      <c r="I98" t="s">
        <v>23</v>
      </c>
      <c r="J98" t="s">
        <v>12</v>
      </c>
      <c r="K98">
        <v>38</v>
      </c>
      <c r="L98" t="str">
        <f>IF(Table1[[#This Row],[Age]]&lt;30,"20-29",
IF(Table1[[#This Row],[Age]]&lt;40,"30-39",
IF(Table1[[#This Row],[Age]]&lt;50,"40-49",
IF(Table1[[#This Row],[Age]]&lt;60,"50-59","60+"))))</f>
        <v>30-39</v>
      </c>
      <c r="M98" t="s">
        <v>13</v>
      </c>
      <c r="N98" t="s">
        <v>25</v>
      </c>
    </row>
    <row r="99" spans="1:14" x14ac:dyDescent="0.35">
      <c r="A99">
        <v>198</v>
      </c>
      <c r="B99" t="s">
        <v>29</v>
      </c>
      <c r="C99" s="6">
        <v>43700</v>
      </c>
      <c r="D99">
        <f>YEAR(Table1[[#This Row],[Join Date]])</f>
        <v>2019</v>
      </c>
      <c r="E99" s="6" t="s">
        <v>48</v>
      </c>
      <c r="F99" t="str">
        <f>IFERROR(YEAR(Table1[[#This Row],[Exit Date]]), " ")</f>
        <v xml:space="preserve"> </v>
      </c>
      <c r="G99" t="str">
        <f>IFERROR((Table1[[#This Row],[Exit Year]]-Table1[[#This Row],[Join Year]])+1," ")</f>
        <v xml:space="preserve"> </v>
      </c>
      <c r="H99" t="s">
        <v>48</v>
      </c>
      <c r="I99" t="s">
        <v>11</v>
      </c>
      <c r="J99" t="s">
        <v>18</v>
      </c>
      <c r="K99">
        <v>49</v>
      </c>
      <c r="L99" t="str">
        <f>IF(Table1[[#This Row],[Age]]&lt;30,"20-29",
IF(Table1[[#This Row],[Age]]&lt;40,"30-39",
IF(Table1[[#This Row],[Age]]&lt;50,"40-49",
IF(Table1[[#This Row],[Age]]&lt;60,"50-59","60+"))))</f>
        <v>40-49</v>
      </c>
      <c r="M99" t="s">
        <v>42</v>
      </c>
      <c r="N99" t="s">
        <v>35</v>
      </c>
    </row>
    <row r="100" spans="1:14" x14ac:dyDescent="0.35">
      <c r="A100">
        <v>199</v>
      </c>
      <c r="B100" t="s">
        <v>34</v>
      </c>
      <c r="C100" s="6">
        <v>45540</v>
      </c>
      <c r="D100">
        <f>YEAR(Table1[[#This Row],[Join Date]])</f>
        <v>2024</v>
      </c>
      <c r="E100" s="6" t="s">
        <v>48</v>
      </c>
      <c r="F100" t="str">
        <f>IFERROR(YEAR(Table1[[#This Row],[Exit Date]]), " ")</f>
        <v xml:space="preserve"> </v>
      </c>
      <c r="G100" t="str">
        <f>IFERROR((Table1[[#This Row],[Exit Year]]-Table1[[#This Row],[Join Year]])+1," ")</f>
        <v xml:space="preserve"> </v>
      </c>
      <c r="H100" t="s">
        <v>48</v>
      </c>
      <c r="I100" t="s">
        <v>11</v>
      </c>
      <c r="J100" t="s">
        <v>18</v>
      </c>
      <c r="K100">
        <v>31</v>
      </c>
      <c r="L100" t="str">
        <f>IF(Table1[[#This Row],[Age]]&lt;30,"20-29",
IF(Table1[[#This Row],[Age]]&lt;40,"30-39",
IF(Table1[[#This Row],[Age]]&lt;50,"40-49",
IF(Table1[[#This Row],[Age]]&lt;60,"50-59","60+"))))</f>
        <v>30-39</v>
      </c>
      <c r="M100" t="s">
        <v>13</v>
      </c>
      <c r="N100" t="s">
        <v>14</v>
      </c>
    </row>
    <row r="101" spans="1:14" x14ac:dyDescent="0.35">
      <c r="A101">
        <v>200</v>
      </c>
      <c r="B101" t="s">
        <v>10</v>
      </c>
      <c r="C101" s="6">
        <v>43297</v>
      </c>
      <c r="D101">
        <f>YEAR(Table1[[#This Row],[Join Date]])</f>
        <v>2018</v>
      </c>
      <c r="E101" s="6">
        <v>44682</v>
      </c>
      <c r="F101">
        <f>IFERROR(YEAR(Table1[[#This Row],[Exit Date]]), " ")</f>
        <v>2022</v>
      </c>
      <c r="G101">
        <f>IFERROR((Table1[[#This Row],[Exit Year]]-Table1[[#This Row],[Join Year]])+1," ")</f>
        <v>5</v>
      </c>
      <c r="H101" t="s">
        <v>40</v>
      </c>
      <c r="I101" t="s">
        <v>23</v>
      </c>
      <c r="J101" t="s">
        <v>18</v>
      </c>
      <c r="K101">
        <v>51</v>
      </c>
      <c r="L101" t="str">
        <f>IF(Table1[[#This Row],[Age]]&lt;30,"20-29",
IF(Table1[[#This Row],[Age]]&lt;40,"30-39",
IF(Table1[[#This Row],[Age]]&lt;50,"40-49",
IF(Table1[[#This Row],[Age]]&lt;60,"50-59","60+"))))</f>
        <v>50-59</v>
      </c>
      <c r="M101" t="s">
        <v>13</v>
      </c>
      <c r="N101" t="s">
        <v>19</v>
      </c>
    </row>
    <row r="102" spans="1:14" x14ac:dyDescent="0.35">
      <c r="A102">
        <v>201</v>
      </c>
      <c r="B102" t="s">
        <v>10</v>
      </c>
      <c r="C102" s="6">
        <v>43407</v>
      </c>
      <c r="D102">
        <f>YEAR(Table1[[#This Row],[Join Date]])</f>
        <v>2018</v>
      </c>
      <c r="E102" s="6" t="s">
        <v>48</v>
      </c>
      <c r="F102" t="str">
        <f>IFERROR(YEAR(Table1[[#This Row],[Exit Date]]), " ")</f>
        <v xml:space="preserve"> </v>
      </c>
      <c r="G102" t="str">
        <f>IFERROR((Table1[[#This Row],[Exit Year]]-Table1[[#This Row],[Join Year]])+1," ")</f>
        <v xml:space="preserve"> </v>
      </c>
      <c r="H102" t="s">
        <v>48</v>
      </c>
      <c r="I102" t="s">
        <v>11</v>
      </c>
      <c r="J102" t="s">
        <v>12</v>
      </c>
      <c r="K102">
        <v>27</v>
      </c>
      <c r="L102" t="str">
        <f>IF(Table1[[#This Row],[Age]]&lt;30,"20-29",
IF(Table1[[#This Row],[Age]]&lt;40,"30-39",
IF(Table1[[#This Row],[Age]]&lt;50,"40-49",
IF(Table1[[#This Row],[Age]]&lt;60,"50-59","60+"))))</f>
        <v>20-29</v>
      </c>
      <c r="M102" t="s">
        <v>16</v>
      </c>
      <c r="N102" t="s">
        <v>21</v>
      </c>
    </row>
    <row r="103" spans="1:14" x14ac:dyDescent="0.35">
      <c r="A103">
        <v>202</v>
      </c>
      <c r="B103" t="s">
        <v>15</v>
      </c>
      <c r="C103" s="6">
        <v>44121</v>
      </c>
      <c r="D103">
        <f>YEAR(Table1[[#This Row],[Join Date]])</f>
        <v>2020</v>
      </c>
      <c r="E103" s="6" t="s">
        <v>48</v>
      </c>
      <c r="F103" t="str">
        <f>IFERROR(YEAR(Table1[[#This Row],[Exit Date]]), " ")</f>
        <v xml:space="preserve"> </v>
      </c>
      <c r="G103" t="str">
        <f>IFERROR((Table1[[#This Row],[Exit Year]]-Table1[[#This Row],[Join Year]])+1," ")</f>
        <v xml:space="preserve"> </v>
      </c>
      <c r="H103" t="s">
        <v>48</v>
      </c>
      <c r="I103" t="s">
        <v>11</v>
      </c>
      <c r="J103" t="s">
        <v>12</v>
      </c>
      <c r="K103">
        <v>22</v>
      </c>
      <c r="L103" t="str">
        <f>IF(Table1[[#This Row],[Age]]&lt;30,"20-29",
IF(Table1[[#This Row],[Age]]&lt;40,"30-39",
IF(Table1[[#This Row],[Age]]&lt;50,"40-49",
IF(Table1[[#This Row],[Age]]&lt;60,"50-59","60+"))))</f>
        <v>20-29</v>
      </c>
      <c r="M103" t="s">
        <v>13</v>
      </c>
      <c r="N103" t="s">
        <v>37</v>
      </c>
    </row>
    <row r="104" spans="1:14" x14ac:dyDescent="0.35">
      <c r="A104">
        <v>203</v>
      </c>
      <c r="B104" t="s">
        <v>15</v>
      </c>
      <c r="C104" s="6">
        <v>44423</v>
      </c>
      <c r="D104">
        <f>YEAR(Table1[[#This Row],[Join Date]])</f>
        <v>2021</v>
      </c>
      <c r="E104" s="6" t="s">
        <v>48</v>
      </c>
      <c r="F104" t="str">
        <f>IFERROR(YEAR(Table1[[#This Row],[Exit Date]]), " ")</f>
        <v xml:space="preserve"> </v>
      </c>
      <c r="G104" t="str">
        <f>IFERROR((Table1[[#This Row],[Exit Year]]-Table1[[#This Row],[Join Year]])+1," ")</f>
        <v xml:space="preserve"> </v>
      </c>
      <c r="H104" t="s">
        <v>48</v>
      </c>
      <c r="I104" t="s">
        <v>11</v>
      </c>
      <c r="J104" t="s">
        <v>18</v>
      </c>
      <c r="K104">
        <v>50</v>
      </c>
      <c r="L104" t="str">
        <f>IF(Table1[[#This Row],[Age]]&lt;30,"20-29",
IF(Table1[[#This Row],[Age]]&lt;40,"30-39",
IF(Table1[[#This Row],[Age]]&lt;50,"40-49",
IF(Table1[[#This Row],[Age]]&lt;60,"50-59","60+"))))</f>
        <v>50-59</v>
      </c>
      <c r="M104" t="s">
        <v>20</v>
      </c>
      <c r="N104" t="s">
        <v>25</v>
      </c>
    </row>
    <row r="105" spans="1:14" x14ac:dyDescent="0.35">
      <c r="A105">
        <v>204</v>
      </c>
      <c r="B105" t="s">
        <v>15</v>
      </c>
      <c r="C105" s="6">
        <v>45087</v>
      </c>
      <c r="D105">
        <f>YEAR(Table1[[#This Row],[Join Date]])</f>
        <v>2023</v>
      </c>
      <c r="E105" s="6" t="s">
        <v>48</v>
      </c>
      <c r="F105" t="str">
        <f>IFERROR(YEAR(Table1[[#This Row],[Exit Date]]), " ")</f>
        <v xml:space="preserve"> </v>
      </c>
      <c r="G105" t="str">
        <f>IFERROR((Table1[[#This Row],[Exit Year]]-Table1[[#This Row],[Join Year]])+1," ")</f>
        <v xml:space="preserve"> </v>
      </c>
      <c r="H105" t="s">
        <v>48</v>
      </c>
      <c r="I105" t="s">
        <v>11</v>
      </c>
      <c r="J105" t="s">
        <v>18</v>
      </c>
      <c r="K105">
        <v>24</v>
      </c>
      <c r="L105" t="str">
        <f>IF(Table1[[#This Row],[Age]]&lt;30,"20-29",
IF(Table1[[#This Row],[Age]]&lt;40,"30-39",
IF(Table1[[#This Row],[Age]]&lt;50,"40-49",
IF(Table1[[#This Row],[Age]]&lt;60,"50-59","60+"))))</f>
        <v>20-29</v>
      </c>
      <c r="M105" t="s">
        <v>44</v>
      </c>
      <c r="N105" t="s">
        <v>35</v>
      </c>
    </row>
    <row r="106" spans="1:14" x14ac:dyDescent="0.35">
      <c r="A106">
        <v>205</v>
      </c>
      <c r="B106" t="s">
        <v>15</v>
      </c>
      <c r="C106" s="6">
        <v>43479</v>
      </c>
      <c r="D106">
        <f>YEAR(Table1[[#This Row],[Join Date]])</f>
        <v>2019</v>
      </c>
      <c r="E106" s="6">
        <v>44449</v>
      </c>
      <c r="F106">
        <f>IFERROR(YEAR(Table1[[#This Row],[Exit Date]]), " ")</f>
        <v>2021</v>
      </c>
      <c r="G106">
        <f>IFERROR((Table1[[#This Row],[Exit Year]]-Table1[[#This Row],[Join Year]])+1," ")</f>
        <v>3</v>
      </c>
      <c r="H106" t="s">
        <v>46</v>
      </c>
      <c r="I106" t="s">
        <v>23</v>
      </c>
      <c r="J106" t="s">
        <v>12</v>
      </c>
      <c r="K106">
        <v>50</v>
      </c>
      <c r="L106" t="str">
        <f>IF(Table1[[#This Row],[Age]]&lt;30,"20-29",
IF(Table1[[#This Row],[Age]]&lt;40,"30-39",
IF(Table1[[#This Row],[Age]]&lt;50,"40-49",
IF(Table1[[#This Row],[Age]]&lt;60,"50-59","60+"))))</f>
        <v>50-59</v>
      </c>
      <c r="M106" t="s">
        <v>13</v>
      </c>
      <c r="N106" t="s">
        <v>21</v>
      </c>
    </row>
    <row r="107" spans="1:14" x14ac:dyDescent="0.35">
      <c r="A107">
        <v>206</v>
      </c>
      <c r="B107" t="s">
        <v>26</v>
      </c>
      <c r="C107" s="6">
        <v>44749</v>
      </c>
      <c r="D107">
        <f>YEAR(Table1[[#This Row],[Join Date]])</f>
        <v>2022</v>
      </c>
      <c r="E107" s="6">
        <v>44972</v>
      </c>
      <c r="F107">
        <f>IFERROR(YEAR(Table1[[#This Row],[Exit Date]]), " ")</f>
        <v>2023</v>
      </c>
      <c r="G107">
        <f>IFERROR((Table1[[#This Row],[Exit Year]]-Table1[[#This Row],[Join Year]])+1," ")</f>
        <v>2</v>
      </c>
      <c r="H107" t="s">
        <v>27</v>
      </c>
      <c r="I107" t="s">
        <v>23</v>
      </c>
      <c r="J107" t="s">
        <v>12</v>
      </c>
      <c r="K107">
        <v>60</v>
      </c>
      <c r="L107" t="str">
        <f>IF(Table1[[#This Row],[Age]]&lt;30,"20-29",
IF(Table1[[#This Row],[Age]]&lt;40,"30-39",
IF(Table1[[#This Row],[Age]]&lt;50,"40-49",
IF(Table1[[#This Row],[Age]]&lt;60,"50-59","60+"))))</f>
        <v>60+</v>
      </c>
      <c r="M107" t="s">
        <v>16</v>
      </c>
      <c r="N107" t="s">
        <v>37</v>
      </c>
    </row>
    <row r="108" spans="1:14" x14ac:dyDescent="0.35">
      <c r="A108">
        <v>207</v>
      </c>
      <c r="B108" t="s">
        <v>29</v>
      </c>
      <c r="C108" s="6">
        <v>45457</v>
      </c>
      <c r="D108">
        <f>YEAR(Table1[[#This Row],[Join Date]])</f>
        <v>2024</v>
      </c>
      <c r="E108" s="6" t="s">
        <v>48</v>
      </c>
      <c r="F108" t="str">
        <f>IFERROR(YEAR(Table1[[#This Row],[Exit Date]]), " ")</f>
        <v xml:space="preserve"> </v>
      </c>
      <c r="G108" t="str">
        <f>IFERROR((Table1[[#This Row],[Exit Year]]-Table1[[#This Row],[Join Year]])+1," ")</f>
        <v xml:space="preserve"> </v>
      </c>
      <c r="H108" t="s">
        <v>48</v>
      </c>
      <c r="I108" t="s">
        <v>11</v>
      </c>
      <c r="J108" t="s">
        <v>12</v>
      </c>
      <c r="K108">
        <v>40</v>
      </c>
      <c r="L108" t="str">
        <f>IF(Table1[[#This Row],[Age]]&lt;30,"20-29",
IF(Table1[[#This Row],[Age]]&lt;40,"30-39",
IF(Table1[[#This Row],[Age]]&lt;50,"40-49",
IF(Table1[[#This Row],[Age]]&lt;60,"50-59","60+"))))</f>
        <v>40-49</v>
      </c>
      <c r="M108" t="s">
        <v>16</v>
      </c>
      <c r="N108" t="s">
        <v>25</v>
      </c>
    </row>
    <row r="109" spans="1:14" x14ac:dyDescent="0.35">
      <c r="A109">
        <v>208</v>
      </c>
      <c r="B109" t="s">
        <v>10</v>
      </c>
      <c r="C109" s="6">
        <v>43304</v>
      </c>
      <c r="D109">
        <f>YEAR(Table1[[#This Row],[Join Date]])</f>
        <v>2018</v>
      </c>
      <c r="E109" s="6" t="s">
        <v>48</v>
      </c>
      <c r="F109" t="str">
        <f>IFERROR(YEAR(Table1[[#This Row],[Exit Date]]), " ")</f>
        <v xml:space="preserve"> </v>
      </c>
      <c r="G109" t="str">
        <f>IFERROR((Table1[[#This Row],[Exit Year]]-Table1[[#This Row],[Join Year]])+1," ")</f>
        <v xml:space="preserve"> </v>
      </c>
      <c r="H109" t="s">
        <v>48</v>
      </c>
      <c r="I109" t="s">
        <v>11</v>
      </c>
      <c r="J109" t="s">
        <v>12</v>
      </c>
      <c r="K109">
        <v>32</v>
      </c>
      <c r="L109" t="str">
        <f>IF(Table1[[#This Row],[Age]]&lt;30,"20-29",
IF(Table1[[#This Row],[Age]]&lt;40,"30-39",
IF(Table1[[#This Row],[Age]]&lt;50,"40-49",
IF(Table1[[#This Row],[Age]]&lt;60,"50-59","60+"))))</f>
        <v>30-39</v>
      </c>
      <c r="M109" t="s">
        <v>20</v>
      </c>
      <c r="N109" t="s">
        <v>35</v>
      </c>
    </row>
    <row r="110" spans="1:14" x14ac:dyDescent="0.35">
      <c r="A110">
        <v>209</v>
      </c>
      <c r="B110" t="s">
        <v>15</v>
      </c>
      <c r="C110" s="6">
        <v>44987</v>
      </c>
      <c r="D110">
        <f>YEAR(Table1[[#This Row],[Join Date]])</f>
        <v>2023</v>
      </c>
      <c r="E110" s="6" t="s">
        <v>48</v>
      </c>
      <c r="F110" t="str">
        <f>IFERROR(YEAR(Table1[[#This Row],[Exit Date]]), " ")</f>
        <v xml:space="preserve"> </v>
      </c>
      <c r="G110" t="str">
        <f>IFERROR((Table1[[#This Row],[Exit Year]]-Table1[[#This Row],[Join Year]])+1," ")</f>
        <v xml:space="preserve"> </v>
      </c>
      <c r="H110" t="s">
        <v>48</v>
      </c>
      <c r="I110" t="s">
        <v>11</v>
      </c>
      <c r="J110" t="s">
        <v>18</v>
      </c>
      <c r="K110">
        <v>50</v>
      </c>
      <c r="L110" t="str">
        <f>IF(Table1[[#This Row],[Age]]&lt;30,"20-29",
IF(Table1[[#This Row],[Age]]&lt;40,"30-39",
IF(Table1[[#This Row],[Age]]&lt;50,"40-49",
IF(Table1[[#This Row],[Age]]&lt;60,"50-59","60+"))))</f>
        <v>50-59</v>
      </c>
      <c r="M110" t="s">
        <v>24</v>
      </c>
      <c r="N110" t="s">
        <v>14</v>
      </c>
    </row>
    <row r="111" spans="1:14" x14ac:dyDescent="0.35">
      <c r="A111">
        <v>210</v>
      </c>
      <c r="B111" t="s">
        <v>34</v>
      </c>
      <c r="C111" s="6">
        <v>45326</v>
      </c>
      <c r="D111">
        <f>YEAR(Table1[[#This Row],[Join Date]])</f>
        <v>2024</v>
      </c>
      <c r="E111" s="6" t="s">
        <v>48</v>
      </c>
      <c r="F111" t="str">
        <f>IFERROR(YEAR(Table1[[#This Row],[Exit Date]]), " ")</f>
        <v xml:space="preserve"> </v>
      </c>
      <c r="G111" t="str">
        <f>IFERROR((Table1[[#This Row],[Exit Year]]-Table1[[#This Row],[Join Year]])+1," ")</f>
        <v xml:space="preserve"> </v>
      </c>
      <c r="H111" t="s">
        <v>48</v>
      </c>
      <c r="I111" t="s">
        <v>11</v>
      </c>
      <c r="J111" t="s">
        <v>12</v>
      </c>
      <c r="K111">
        <v>24</v>
      </c>
      <c r="L111" t="str">
        <f>IF(Table1[[#This Row],[Age]]&lt;30,"20-29",
IF(Table1[[#This Row],[Age]]&lt;40,"30-39",
IF(Table1[[#This Row],[Age]]&lt;50,"40-49",
IF(Table1[[#This Row],[Age]]&lt;60,"50-59","60+"))))</f>
        <v>20-29</v>
      </c>
      <c r="M111" t="s">
        <v>13</v>
      </c>
      <c r="N111" t="s">
        <v>17</v>
      </c>
    </row>
    <row r="112" spans="1:14" x14ac:dyDescent="0.35">
      <c r="A112">
        <v>211</v>
      </c>
      <c r="B112" t="s">
        <v>36</v>
      </c>
      <c r="C112" s="6">
        <v>45474</v>
      </c>
      <c r="D112">
        <f>YEAR(Table1[[#This Row],[Join Date]])</f>
        <v>2024</v>
      </c>
      <c r="E112" s="6" t="s">
        <v>48</v>
      </c>
      <c r="F112" t="str">
        <f>IFERROR(YEAR(Table1[[#This Row],[Exit Date]]), " ")</f>
        <v xml:space="preserve"> </v>
      </c>
      <c r="G112" t="str">
        <f>IFERROR((Table1[[#This Row],[Exit Year]]-Table1[[#This Row],[Join Year]])+1," ")</f>
        <v xml:space="preserve"> </v>
      </c>
      <c r="H112" t="s">
        <v>48</v>
      </c>
      <c r="I112" t="s">
        <v>11</v>
      </c>
      <c r="J112" t="s">
        <v>18</v>
      </c>
      <c r="K112">
        <v>36</v>
      </c>
      <c r="L112" t="str">
        <f>IF(Table1[[#This Row],[Age]]&lt;30,"20-29",
IF(Table1[[#This Row],[Age]]&lt;40,"30-39",
IF(Table1[[#This Row],[Age]]&lt;50,"40-49",
IF(Table1[[#This Row],[Age]]&lt;60,"50-59","60+"))))</f>
        <v>30-39</v>
      </c>
      <c r="M112" t="s">
        <v>30</v>
      </c>
      <c r="N112" t="s">
        <v>19</v>
      </c>
    </row>
    <row r="113" spans="1:14" x14ac:dyDescent="0.35">
      <c r="A113">
        <v>212</v>
      </c>
      <c r="B113" t="s">
        <v>29</v>
      </c>
      <c r="C113" s="6">
        <v>44227</v>
      </c>
      <c r="D113">
        <f>YEAR(Table1[[#This Row],[Join Date]])</f>
        <v>2021</v>
      </c>
      <c r="E113" s="6">
        <v>45322</v>
      </c>
      <c r="F113">
        <f>IFERROR(YEAR(Table1[[#This Row],[Exit Date]]), " ")</f>
        <v>2024</v>
      </c>
      <c r="G113">
        <f>IFERROR((Table1[[#This Row],[Exit Year]]-Table1[[#This Row],[Join Year]])+1," ")</f>
        <v>4</v>
      </c>
      <c r="H113" t="s">
        <v>27</v>
      </c>
      <c r="I113" t="s">
        <v>23</v>
      </c>
      <c r="J113" t="s">
        <v>18</v>
      </c>
      <c r="K113">
        <v>59</v>
      </c>
      <c r="L113" t="str">
        <f>IF(Table1[[#This Row],[Age]]&lt;30,"20-29",
IF(Table1[[#This Row],[Age]]&lt;40,"30-39",
IF(Table1[[#This Row],[Age]]&lt;50,"40-49",
IF(Table1[[#This Row],[Age]]&lt;60,"50-59","60+"))))</f>
        <v>50-59</v>
      </c>
      <c r="M113" t="s">
        <v>13</v>
      </c>
      <c r="N113" t="s">
        <v>21</v>
      </c>
    </row>
    <row r="114" spans="1:14" x14ac:dyDescent="0.35">
      <c r="A114">
        <v>213</v>
      </c>
      <c r="B114" t="s">
        <v>10</v>
      </c>
      <c r="C114" s="6">
        <v>43446</v>
      </c>
      <c r="D114">
        <f>YEAR(Table1[[#This Row],[Join Date]])</f>
        <v>2018</v>
      </c>
      <c r="E114" s="6">
        <v>43936</v>
      </c>
      <c r="F114">
        <f>IFERROR(YEAR(Table1[[#This Row],[Exit Date]]), " ")</f>
        <v>2020</v>
      </c>
      <c r="G114">
        <f>IFERROR((Table1[[#This Row],[Exit Year]]-Table1[[#This Row],[Join Year]])+1," ")</f>
        <v>3</v>
      </c>
      <c r="H114" t="s">
        <v>38</v>
      </c>
      <c r="I114" t="s">
        <v>23</v>
      </c>
      <c r="J114" t="s">
        <v>12</v>
      </c>
      <c r="K114">
        <v>43</v>
      </c>
      <c r="L114" t="str">
        <f>IF(Table1[[#This Row],[Age]]&lt;30,"20-29",
IF(Table1[[#This Row],[Age]]&lt;40,"30-39",
IF(Table1[[#This Row],[Age]]&lt;50,"40-49",
IF(Table1[[#This Row],[Age]]&lt;60,"50-59","60+"))))</f>
        <v>40-49</v>
      </c>
      <c r="M114" t="s">
        <v>13</v>
      </c>
      <c r="N114" t="s">
        <v>25</v>
      </c>
    </row>
    <row r="115" spans="1:14" x14ac:dyDescent="0.35">
      <c r="A115">
        <v>214</v>
      </c>
      <c r="B115" t="s">
        <v>15</v>
      </c>
      <c r="C115" s="6">
        <v>45314</v>
      </c>
      <c r="D115">
        <f>YEAR(Table1[[#This Row],[Join Date]])</f>
        <v>2024</v>
      </c>
      <c r="E115" s="6" t="s">
        <v>48</v>
      </c>
      <c r="F115" t="str">
        <f>IFERROR(YEAR(Table1[[#This Row],[Exit Date]]), " ")</f>
        <v xml:space="preserve"> </v>
      </c>
      <c r="G115" t="str">
        <f>IFERROR((Table1[[#This Row],[Exit Year]]-Table1[[#This Row],[Join Year]])+1," ")</f>
        <v xml:space="preserve"> </v>
      </c>
      <c r="H115" t="s">
        <v>48</v>
      </c>
      <c r="I115" t="s">
        <v>11</v>
      </c>
      <c r="J115" t="s">
        <v>12</v>
      </c>
      <c r="K115">
        <v>40</v>
      </c>
      <c r="L115" t="str">
        <f>IF(Table1[[#This Row],[Age]]&lt;30,"20-29",
IF(Table1[[#This Row],[Age]]&lt;40,"30-39",
IF(Table1[[#This Row],[Age]]&lt;50,"40-49",
IF(Table1[[#This Row],[Age]]&lt;60,"50-59","60+"))))</f>
        <v>40-49</v>
      </c>
      <c r="M115" t="s">
        <v>16</v>
      </c>
      <c r="N115" t="s">
        <v>28</v>
      </c>
    </row>
    <row r="116" spans="1:14" x14ac:dyDescent="0.35">
      <c r="A116">
        <v>215</v>
      </c>
      <c r="B116" t="s">
        <v>15</v>
      </c>
      <c r="C116" s="6">
        <v>43123</v>
      </c>
      <c r="D116">
        <f>YEAR(Table1[[#This Row],[Join Date]])</f>
        <v>2018</v>
      </c>
      <c r="E116" s="6" t="s">
        <v>48</v>
      </c>
      <c r="F116" t="str">
        <f>IFERROR(YEAR(Table1[[#This Row],[Exit Date]]), " ")</f>
        <v xml:space="preserve"> </v>
      </c>
      <c r="G116" t="str">
        <f>IFERROR((Table1[[#This Row],[Exit Year]]-Table1[[#This Row],[Join Year]])+1," ")</f>
        <v xml:space="preserve"> </v>
      </c>
      <c r="H116" t="s">
        <v>48</v>
      </c>
      <c r="I116" t="s">
        <v>11</v>
      </c>
      <c r="J116" t="s">
        <v>12</v>
      </c>
      <c r="K116">
        <v>42</v>
      </c>
      <c r="L116" t="str">
        <f>IF(Table1[[#This Row],[Age]]&lt;30,"20-29",
IF(Table1[[#This Row],[Age]]&lt;40,"30-39",
IF(Table1[[#This Row],[Age]]&lt;50,"40-49",
IF(Table1[[#This Row],[Age]]&lt;60,"50-59","60+"))))</f>
        <v>40-49</v>
      </c>
      <c r="M116" t="s">
        <v>13</v>
      </c>
      <c r="N116" t="s">
        <v>31</v>
      </c>
    </row>
    <row r="117" spans="1:14" x14ac:dyDescent="0.35">
      <c r="A117">
        <v>216</v>
      </c>
      <c r="B117" t="s">
        <v>10</v>
      </c>
      <c r="C117" s="6">
        <v>43717</v>
      </c>
      <c r="D117">
        <f>YEAR(Table1[[#This Row],[Join Date]])</f>
        <v>2019</v>
      </c>
      <c r="E117" s="6">
        <v>44677</v>
      </c>
      <c r="F117">
        <f>IFERROR(YEAR(Table1[[#This Row],[Exit Date]]), " ")</f>
        <v>2022</v>
      </c>
      <c r="G117">
        <f>IFERROR((Table1[[#This Row],[Exit Year]]-Table1[[#This Row],[Join Year]])+1," ")</f>
        <v>4</v>
      </c>
      <c r="H117" t="s">
        <v>40</v>
      </c>
      <c r="I117" t="s">
        <v>23</v>
      </c>
      <c r="J117" t="s">
        <v>18</v>
      </c>
      <c r="K117">
        <v>35</v>
      </c>
      <c r="L117" t="str">
        <f>IF(Table1[[#This Row],[Age]]&lt;30,"20-29",
IF(Table1[[#This Row],[Age]]&lt;40,"30-39",
IF(Table1[[#This Row],[Age]]&lt;50,"40-49",
IF(Table1[[#This Row],[Age]]&lt;60,"50-59","60+"))))</f>
        <v>30-39</v>
      </c>
      <c r="M117" t="s">
        <v>20</v>
      </c>
      <c r="N117" t="s">
        <v>32</v>
      </c>
    </row>
    <row r="118" spans="1:14" x14ac:dyDescent="0.35">
      <c r="A118">
        <v>217</v>
      </c>
      <c r="B118" t="s">
        <v>29</v>
      </c>
      <c r="C118" s="6">
        <v>43534</v>
      </c>
      <c r="D118">
        <f>YEAR(Table1[[#This Row],[Join Date]])</f>
        <v>2019</v>
      </c>
      <c r="E118" s="6">
        <v>44117</v>
      </c>
      <c r="F118">
        <f>IFERROR(YEAR(Table1[[#This Row],[Exit Date]]), " ")</f>
        <v>2020</v>
      </c>
      <c r="G118">
        <f>IFERROR((Table1[[#This Row],[Exit Year]]-Table1[[#This Row],[Join Year]])+1," ")</f>
        <v>2</v>
      </c>
      <c r="H118" t="s">
        <v>38</v>
      </c>
      <c r="I118" t="s">
        <v>23</v>
      </c>
      <c r="J118" t="s">
        <v>12</v>
      </c>
      <c r="K118">
        <v>31</v>
      </c>
      <c r="L118" t="str">
        <f>IF(Table1[[#This Row],[Age]]&lt;30,"20-29",
IF(Table1[[#This Row],[Age]]&lt;40,"30-39",
IF(Table1[[#This Row],[Age]]&lt;50,"40-49",
IF(Table1[[#This Row],[Age]]&lt;60,"50-59","60+"))))</f>
        <v>30-39</v>
      </c>
      <c r="M118" t="s">
        <v>44</v>
      </c>
      <c r="N118" t="s">
        <v>33</v>
      </c>
    </row>
    <row r="119" spans="1:14" x14ac:dyDescent="0.35">
      <c r="A119">
        <v>218</v>
      </c>
      <c r="B119" t="s">
        <v>36</v>
      </c>
      <c r="C119" s="6">
        <v>44619</v>
      </c>
      <c r="D119">
        <f>YEAR(Table1[[#This Row],[Join Date]])</f>
        <v>2022</v>
      </c>
      <c r="E119" s="6" t="s">
        <v>48</v>
      </c>
      <c r="F119" t="str">
        <f>IFERROR(YEAR(Table1[[#This Row],[Exit Date]]), " ")</f>
        <v xml:space="preserve"> </v>
      </c>
      <c r="G119" t="str">
        <f>IFERROR((Table1[[#This Row],[Exit Year]]-Table1[[#This Row],[Join Year]])+1," ")</f>
        <v xml:space="preserve"> </v>
      </c>
      <c r="H119" t="s">
        <v>48</v>
      </c>
      <c r="I119" t="s">
        <v>11</v>
      </c>
      <c r="J119" t="s">
        <v>18</v>
      </c>
      <c r="K119">
        <v>51</v>
      </c>
      <c r="L119" t="str">
        <f>IF(Table1[[#This Row],[Age]]&lt;30,"20-29",
IF(Table1[[#This Row],[Age]]&lt;40,"30-39",
IF(Table1[[#This Row],[Age]]&lt;50,"40-49",
IF(Table1[[#This Row],[Age]]&lt;60,"50-59","60+"))))</f>
        <v>50-59</v>
      </c>
      <c r="M119" t="s">
        <v>13</v>
      </c>
      <c r="N119" t="s">
        <v>35</v>
      </c>
    </row>
    <row r="120" spans="1:14" x14ac:dyDescent="0.35">
      <c r="A120">
        <v>219</v>
      </c>
      <c r="B120" t="s">
        <v>10</v>
      </c>
      <c r="C120" s="6">
        <v>45485</v>
      </c>
      <c r="D120">
        <f>YEAR(Table1[[#This Row],[Join Date]])</f>
        <v>2024</v>
      </c>
      <c r="E120" s="6" t="s">
        <v>48</v>
      </c>
      <c r="F120" t="str">
        <f>IFERROR(YEAR(Table1[[#This Row],[Exit Date]]), " ")</f>
        <v xml:space="preserve"> </v>
      </c>
      <c r="G120" t="str">
        <f>IFERROR((Table1[[#This Row],[Exit Year]]-Table1[[#This Row],[Join Year]])+1," ")</f>
        <v xml:space="preserve"> </v>
      </c>
      <c r="H120" t="s">
        <v>48</v>
      </c>
      <c r="I120" t="s">
        <v>11</v>
      </c>
      <c r="J120" t="s">
        <v>12</v>
      </c>
      <c r="K120">
        <v>48</v>
      </c>
      <c r="L120" t="str">
        <f>IF(Table1[[#This Row],[Age]]&lt;30,"20-29",
IF(Table1[[#This Row],[Age]]&lt;40,"30-39",
IF(Table1[[#This Row],[Age]]&lt;50,"40-49",
IF(Table1[[#This Row],[Age]]&lt;60,"50-59","60+"))))</f>
        <v>40-49</v>
      </c>
      <c r="M120" t="s">
        <v>16</v>
      </c>
      <c r="N120" t="s">
        <v>37</v>
      </c>
    </row>
    <row r="121" spans="1:14" x14ac:dyDescent="0.35">
      <c r="A121">
        <v>220</v>
      </c>
      <c r="B121" t="s">
        <v>29</v>
      </c>
      <c r="C121" s="6">
        <v>43588</v>
      </c>
      <c r="D121">
        <f>YEAR(Table1[[#This Row],[Join Date]])</f>
        <v>2019</v>
      </c>
      <c r="E121" s="6">
        <v>44896</v>
      </c>
      <c r="F121">
        <f>IFERROR(YEAR(Table1[[#This Row],[Exit Date]]), " ")</f>
        <v>2022</v>
      </c>
      <c r="G121">
        <f>IFERROR((Table1[[#This Row],[Exit Year]]-Table1[[#This Row],[Join Year]])+1," ")</f>
        <v>4</v>
      </c>
      <c r="H121" t="s">
        <v>41</v>
      </c>
      <c r="I121" t="s">
        <v>23</v>
      </c>
      <c r="J121" t="s">
        <v>12</v>
      </c>
      <c r="K121">
        <v>41</v>
      </c>
      <c r="L121" t="str">
        <f>IF(Table1[[#This Row],[Age]]&lt;30,"20-29",
IF(Table1[[#This Row],[Age]]&lt;40,"30-39",
IF(Table1[[#This Row],[Age]]&lt;50,"40-49",
IF(Table1[[#This Row],[Age]]&lt;60,"50-59","60+"))))</f>
        <v>40-49</v>
      </c>
      <c r="M121" t="s">
        <v>16</v>
      </c>
      <c r="N121" t="s">
        <v>19</v>
      </c>
    </row>
    <row r="122" spans="1:14" x14ac:dyDescent="0.35">
      <c r="A122">
        <v>221</v>
      </c>
      <c r="B122" t="s">
        <v>36</v>
      </c>
      <c r="C122" s="6">
        <v>44250</v>
      </c>
      <c r="D122">
        <f>YEAR(Table1[[#This Row],[Join Date]])</f>
        <v>2021</v>
      </c>
      <c r="E122" s="6">
        <v>45392</v>
      </c>
      <c r="F122">
        <f>IFERROR(YEAR(Table1[[#This Row],[Exit Date]]), " ")</f>
        <v>2024</v>
      </c>
      <c r="G122">
        <f>IFERROR((Table1[[#This Row],[Exit Year]]-Table1[[#This Row],[Join Year]])+1," ")</f>
        <v>4</v>
      </c>
      <c r="H122" t="s">
        <v>27</v>
      </c>
      <c r="I122" t="s">
        <v>23</v>
      </c>
      <c r="J122" t="s">
        <v>18</v>
      </c>
      <c r="K122">
        <v>62</v>
      </c>
      <c r="L122" t="str">
        <f>IF(Table1[[#This Row],[Age]]&lt;30,"20-29",
IF(Table1[[#This Row],[Age]]&lt;40,"30-39",
IF(Table1[[#This Row],[Age]]&lt;50,"40-49",
IF(Table1[[#This Row],[Age]]&lt;60,"50-59","60+"))))</f>
        <v>60+</v>
      </c>
      <c r="M122" t="s">
        <v>20</v>
      </c>
      <c r="N122" t="s">
        <v>25</v>
      </c>
    </row>
    <row r="123" spans="1:14" x14ac:dyDescent="0.35">
      <c r="A123">
        <v>222</v>
      </c>
      <c r="B123" t="s">
        <v>26</v>
      </c>
      <c r="C123" s="6">
        <v>45244</v>
      </c>
      <c r="D123">
        <f>YEAR(Table1[[#This Row],[Join Date]])</f>
        <v>2023</v>
      </c>
      <c r="E123" s="6">
        <v>45446</v>
      </c>
      <c r="F123">
        <f>IFERROR(YEAR(Table1[[#This Row],[Exit Date]]), " ")</f>
        <v>2024</v>
      </c>
      <c r="G123">
        <f>IFERROR((Table1[[#This Row],[Exit Year]]-Table1[[#This Row],[Join Year]])+1," ")</f>
        <v>2</v>
      </c>
      <c r="H123" t="s">
        <v>40</v>
      </c>
      <c r="I123" t="s">
        <v>23</v>
      </c>
      <c r="J123" t="s">
        <v>18</v>
      </c>
      <c r="K123">
        <v>24</v>
      </c>
      <c r="L123" t="str">
        <f>IF(Table1[[#This Row],[Age]]&lt;30,"20-29",
IF(Table1[[#This Row],[Age]]&lt;40,"30-39",
IF(Table1[[#This Row],[Age]]&lt;50,"40-49",
IF(Table1[[#This Row],[Age]]&lt;60,"50-59","60+"))))</f>
        <v>20-29</v>
      </c>
      <c r="M123" t="s">
        <v>24</v>
      </c>
      <c r="N123" t="s">
        <v>35</v>
      </c>
    </row>
    <row r="124" spans="1:14" x14ac:dyDescent="0.35">
      <c r="A124">
        <v>223</v>
      </c>
      <c r="B124" t="s">
        <v>15</v>
      </c>
      <c r="C124" s="6">
        <v>45256</v>
      </c>
      <c r="D124">
        <f>YEAR(Table1[[#This Row],[Join Date]])</f>
        <v>2023</v>
      </c>
      <c r="E124" s="6" t="s">
        <v>48</v>
      </c>
      <c r="F124" t="str">
        <f>IFERROR(YEAR(Table1[[#This Row],[Exit Date]]), " ")</f>
        <v xml:space="preserve"> </v>
      </c>
      <c r="G124" t="str">
        <f>IFERROR((Table1[[#This Row],[Exit Year]]-Table1[[#This Row],[Join Year]])+1," ")</f>
        <v xml:space="preserve"> </v>
      </c>
      <c r="H124" t="s">
        <v>48</v>
      </c>
      <c r="I124" t="s">
        <v>11</v>
      </c>
      <c r="J124" t="s">
        <v>12</v>
      </c>
      <c r="K124">
        <v>41</v>
      </c>
      <c r="L124" t="str">
        <f>IF(Table1[[#This Row],[Age]]&lt;30,"20-29",
IF(Table1[[#This Row],[Age]]&lt;40,"30-39",
IF(Table1[[#This Row],[Age]]&lt;50,"40-49",
IF(Table1[[#This Row],[Age]]&lt;60,"50-59","60+"))))</f>
        <v>40-49</v>
      </c>
      <c r="M124" t="s">
        <v>13</v>
      </c>
      <c r="N124" t="s">
        <v>17</v>
      </c>
    </row>
    <row r="125" spans="1:14" x14ac:dyDescent="0.35">
      <c r="A125">
        <v>224</v>
      </c>
      <c r="B125" t="s">
        <v>26</v>
      </c>
      <c r="C125" s="6">
        <v>45465</v>
      </c>
      <c r="D125">
        <f>YEAR(Table1[[#This Row],[Join Date]])</f>
        <v>2024</v>
      </c>
      <c r="E125" s="6" t="s">
        <v>48</v>
      </c>
      <c r="F125" t="str">
        <f>IFERROR(YEAR(Table1[[#This Row],[Exit Date]]), " ")</f>
        <v xml:space="preserve"> </v>
      </c>
      <c r="G125" t="str">
        <f>IFERROR((Table1[[#This Row],[Exit Year]]-Table1[[#This Row],[Join Year]])+1," ")</f>
        <v xml:space="preserve"> </v>
      </c>
      <c r="H125" t="s">
        <v>48</v>
      </c>
      <c r="I125" t="s">
        <v>11</v>
      </c>
      <c r="J125" t="s">
        <v>18</v>
      </c>
      <c r="K125">
        <v>40</v>
      </c>
      <c r="L125" t="str">
        <f>IF(Table1[[#This Row],[Age]]&lt;30,"20-29",
IF(Table1[[#This Row],[Age]]&lt;40,"30-39",
IF(Table1[[#This Row],[Age]]&lt;50,"40-49",
IF(Table1[[#This Row],[Age]]&lt;60,"50-59","60+"))))</f>
        <v>40-49</v>
      </c>
      <c r="M125" t="s">
        <v>30</v>
      </c>
      <c r="N125" t="s">
        <v>19</v>
      </c>
    </row>
    <row r="126" spans="1:14" x14ac:dyDescent="0.35">
      <c r="A126">
        <v>225</v>
      </c>
      <c r="B126" t="s">
        <v>10</v>
      </c>
      <c r="C126" s="6">
        <v>43597</v>
      </c>
      <c r="D126">
        <f>YEAR(Table1[[#This Row],[Join Date]])</f>
        <v>2019</v>
      </c>
      <c r="E126" s="6" t="s">
        <v>48</v>
      </c>
      <c r="F126" t="str">
        <f>IFERROR(YEAR(Table1[[#This Row],[Exit Date]]), " ")</f>
        <v xml:space="preserve"> </v>
      </c>
      <c r="G126" t="str">
        <f>IFERROR((Table1[[#This Row],[Exit Year]]-Table1[[#This Row],[Join Year]])+1," ")</f>
        <v xml:space="preserve"> </v>
      </c>
      <c r="H126" t="s">
        <v>48</v>
      </c>
      <c r="I126" t="s">
        <v>11</v>
      </c>
      <c r="J126" t="s">
        <v>12</v>
      </c>
      <c r="K126">
        <v>48</v>
      </c>
      <c r="L126" t="str">
        <f>IF(Table1[[#This Row],[Age]]&lt;30,"20-29",
IF(Table1[[#This Row],[Age]]&lt;40,"30-39",
IF(Table1[[#This Row],[Age]]&lt;50,"40-49",
IF(Table1[[#This Row],[Age]]&lt;60,"50-59","60+"))))</f>
        <v>40-49</v>
      </c>
      <c r="M126" t="s">
        <v>13</v>
      </c>
      <c r="N126" t="s">
        <v>21</v>
      </c>
    </row>
    <row r="127" spans="1:14" x14ac:dyDescent="0.35">
      <c r="A127">
        <v>226</v>
      </c>
      <c r="B127" t="s">
        <v>15</v>
      </c>
      <c r="C127" s="6">
        <v>44866</v>
      </c>
      <c r="D127">
        <f>YEAR(Table1[[#This Row],[Join Date]])</f>
        <v>2022</v>
      </c>
      <c r="E127" s="6" t="s">
        <v>48</v>
      </c>
      <c r="F127" t="str">
        <f>IFERROR(YEAR(Table1[[#This Row],[Exit Date]]), " ")</f>
        <v xml:space="preserve"> </v>
      </c>
      <c r="G127" t="str">
        <f>IFERROR((Table1[[#This Row],[Exit Year]]-Table1[[#This Row],[Join Year]])+1," ")</f>
        <v xml:space="preserve"> </v>
      </c>
      <c r="H127" t="s">
        <v>48</v>
      </c>
      <c r="I127" t="s">
        <v>11</v>
      </c>
      <c r="J127" t="s">
        <v>12</v>
      </c>
      <c r="K127">
        <v>52</v>
      </c>
      <c r="L127" t="str">
        <f>IF(Table1[[#This Row],[Age]]&lt;30,"20-29",
IF(Table1[[#This Row],[Age]]&lt;40,"30-39",
IF(Table1[[#This Row],[Age]]&lt;50,"40-49",
IF(Table1[[#This Row],[Age]]&lt;60,"50-59","60+"))))</f>
        <v>50-59</v>
      </c>
      <c r="M127" t="s">
        <v>13</v>
      </c>
      <c r="N127" t="s">
        <v>25</v>
      </c>
    </row>
    <row r="128" spans="1:14" x14ac:dyDescent="0.35">
      <c r="A128">
        <v>227</v>
      </c>
      <c r="B128" t="s">
        <v>34</v>
      </c>
      <c r="C128" s="6">
        <v>44006</v>
      </c>
      <c r="D128">
        <f>YEAR(Table1[[#This Row],[Join Date]])</f>
        <v>2020</v>
      </c>
      <c r="E128" s="6">
        <v>44463</v>
      </c>
      <c r="F128">
        <f>IFERROR(YEAR(Table1[[#This Row],[Exit Date]]), " ")</f>
        <v>2021</v>
      </c>
      <c r="G128">
        <f>IFERROR((Table1[[#This Row],[Exit Year]]-Table1[[#This Row],[Join Year]])+1," ")</f>
        <v>2</v>
      </c>
      <c r="H128" t="s">
        <v>46</v>
      </c>
      <c r="I128" t="s">
        <v>23</v>
      </c>
      <c r="J128" t="s">
        <v>12</v>
      </c>
      <c r="K128">
        <v>33</v>
      </c>
      <c r="L128" t="str">
        <f>IF(Table1[[#This Row],[Age]]&lt;30,"20-29",
IF(Table1[[#This Row],[Age]]&lt;40,"30-39",
IF(Table1[[#This Row],[Age]]&lt;50,"40-49",
IF(Table1[[#This Row],[Age]]&lt;60,"50-59","60+"))))</f>
        <v>30-39</v>
      </c>
      <c r="M128" t="s">
        <v>16</v>
      </c>
      <c r="N128" t="s">
        <v>35</v>
      </c>
    </row>
    <row r="129" spans="1:14" x14ac:dyDescent="0.35">
      <c r="A129">
        <v>228</v>
      </c>
      <c r="B129" t="s">
        <v>26</v>
      </c>
      <c r="C129" s="6">
        <v>45095</v>
      </c>
      <c r="D129">
        <f>YEAR(Table1[[#This Row],[Join Date]])</f>
        <v>2023</v>
      </c>
      <c r="E129" s="6" t="s">
        <v>48</v>
      </c>
      <c r="F129" t="str">
        <f>IFERROR(YEAR(Table1[[#This Row],[Exit Date]]), " ")</f>
        <v xml:space="preserve"> </v>
      </c>
      <c r="G129" t="str">
        <f>IFERROR((Table1[[#This Row],[Exit Year]]-Table1[[#This Row],[Join Year]])+1," ")</f>
        <v xml:space="preserve"> </v>
      </c>
      <c r="H129" t="s">
        <v>48</v>
      </c>
      <c r="I129" t="s">
        <v>11</v>
      </c>
      <c r="J129" t="s">
        <v>18</v>
      </c>
      <c r="K129">
        <v>51</v>
      </c>
      <c r="L129" t="str">
        <f>IF(Table1[[#This Row],[Age]]&lt;30,"20-29",
IF(Table1[[#This Row],[Age]]&lt;40,"30-39",
IF(Table1[[#This Row],[Age]]&lt;50,"40-49",
IF(Table1[[#This Row],[Age]]&lt;60,"50-59","60+"))))</f>
        <v>50-59</v>
      </c>
      <c r="M129" t="s">
        <v>13</v>
      </c>
      <c r="N129" t="s">
        <v>14</v>
      </c>
    </row>
    <row r="130" spans="1:14" x14ac:dyDescent="0.35">
      <c r="A130">
        <v>229</v>
      </c>
      <c r="B130" t="s">
        <v>10</v>
      </c>
      <c r="C130" s="6">
        <v>44360</v>
      </c>
      <c r="D130">
        <f>YEAR(Table1[[#This Row],[Join Date]])</f>
        <v>2021</v>
      </c>
      <c r="E130" s="6">
        <v>44755</v>
      </c>
      <c r="F130">
        <f>IFERROR(YEAR(Table1[[#This Row],[Exit Date]]), " ")</f>
        <v>2022</v>
      </c>
      <c r="G130">
        <f>IFERROR((Table1[[#This Row],[Exit Year]]-Table1[[#This Row],[Join Year]])+1," ")</f>
        <v>2</v>
      </c>
      <c r="H130" t="s">
        <v>38</v>
      </c>
      <c r="I130" t="s">
        <v>23</v>
      </c>
      <c r="J130" t="s">
        <v>12</v>
      </c>
      <c r="K130">
        <v>46</v>
      </c>
      <c r="L130" t="str">
        <f>IF(Table1[[#This Row],[Age]]&lt;30,"20-29",
IF(Table1[[#This Row],[Age]]&lt;40,"30-39",
IF(Table1[[#This Row],[Age]]&lt;50,"40-49",
IF(Table1[[#This Row],[Age]]&lt;60,"50-59","60+"))))</f>
        <v>40-49</v>
      </c>
      <c r="M130" t="s">
        <v>20</v>
      </c>
      <c r="N130" t="s">
        <v>19</v>
      </c>
    </row>
    <row r="131" spans="1:14" x14ac:dyDescent="0.35">
      <c r="A131">
        <v>230</v>
      </c>
      <c r="B131" t="s">
        <v>26</v>
      </c>
      <c r="C131" s="6">
        <v>43419</v>
      </c>
      <c r="D131">
        <f>YEAR(Table1[[#This Row],[Join Date]])</f>
        <v>2018</v>
      </c>
      <c r="E131" s="6">
        <v>44303</v>
      </c>
      <c r="F131">
        <f>IFERROR(YEAR(Table1[[#This Row],[Exit Date]]), " ")</f>
        <v>2021</v>
      </c>
      <c r="G131">
        <f>IFERROR((Table1[[#This Row],[Exit Year]]-Table1[[#This Row],[Join Year]])+1," ")</f>
        <v>4</v>
      </c>
      <c r="H131" t="s">
        <v>22</v>
      </c>
      <c r="I131" t="s">
        <v>23</v>
      </c>
      <c r="J131" t="s">
        <v>18</v>
      </c>
      <c r="K131">
        <v>53</v>
      </c>
      <c r="L131" t="str">
        <f>IF(Table1[[#This Row],[Age]]&lt;30,"20-29",
IF(Table1[[#This Row],[Age]]&lt;40,"30-39",
IF(Table1[[#This Row],[Age]]&lt;50,"40-49",
IF(Table1[[#This Row],[Age]]&lt;60,"50-59","60+"))))</f>
        <v>50-59</v>
      </c>
      <c r="M131" t="s">
        <v>39</v>
      </c>
      <c r="N131" t="s">
        <v>21</v>
      </c>
    </row>
    <row r="132" spans="1:14" x14ac:dyDescent="0.35">
      <c r="A132">
        <v>231</v>
      </c>
      <c r="B132" t="s">
        <v>36</v>
      </c>
      <c r="C132" s="6">
        <v>44249</v>
      </c>
      <c r="D132">
        <f>YEAR(Table1[[#This Row],[Join Date]])</f>
        <v>2021</v>
      </c>
      <c r="E132" s="6" t="s">
        <v>48</v>
      </c>
      <c r="F132" t="str">
        <f>IFERROR(YEAR(Table1[[#This Row],[Exit Date]]), " ")</f>
        <v xml:space="preserve"> </v>
      </c>
      <c r="G132" t="str">
        <f>IFERROR((Table1[[#This Row],[Exit Year]]-Table1[[#This Row],[Join Year]])+1," ")</f>
        <v xml:space="preserve"> </v>
      </c>
      <c r="H132" t="s">
        <v>48</v>
      </c>
      <c r="I132" t="s">
        <v>11</v>
      </c>
      <c r="J132" t="s">
        <v>12</v>
      </c>
      <c r="K132">
        <v>35</v>
      </c>
      <c r="L132" t="str">
        <f>IF(Table1[[#This Row],[Age]]&lt;30,"20-29",
IF(Table1[[#This Row],[Age]]&lt;40,"30-39",
IF(Table1[[#This Row],[Age]]&lt;50,"40-49",
IF(Table1[[#This Row],[Age]]&lt;60,"50-59","60+"))))</f>
        <v>30-39</v>
      </c>
      <c r="M132" t="s">
        <v>13</v>
      </c>
      <c r="N132" t="s">
        <v>37</v>
      </c>
    </row>
    <row r="133" spans="1:14" x14ac:dyDescent="0.35">
      <c r="A133">
        <v>232</v>
      </c>
      <c r="B133" t="s">
        <v>10</v>
      </c>
      <c r="C133" s="6">
        <v>45533</v>
      </c>
      <c r="D133">
        <f>YEAR(Table1[[#This Row],[Join Date]])</f>
        <v>2024</v>
      </c>
      <c r="E133" s="6" t="s">
        <v>48</v>
      </c>
      <c r="F133" t="str">
        <f>IFERROR(YEAR(Table1[[#This Row],[Exit Date]]), " ")</f>
        <v xml:space="preserve"> </v>
      </c>
      <c r="G133" t="str">
        <f>IFERROR((Table1[[#This Row],[Exit Year]]-Table1[[#This Row],[Join Year]])+1," ")</f>
        <v xml:space="preserve"> </v>
      </c>
      <c r="H133" t="s">
        <v>48</v>
      </c>
      <c r="I133" t="s">
        <v>11</v>
      </c>
      <c r="J133" t="s">
        <v>18</v>
      </c>
      <c r="K133">
        <v>32</v>
      </c>
      <c r="L133" t="str">
        <f>IF(Table1[[#This Row],[Age]]&lt;30,"20-29",
IF(Table1[[#This Row],[Age]]&lt;40,"30-39",
IF(Table1[[#This Row],[Age]]&lt;50,"40-49",
IF(Table1[[#This Row],[Age]]&lt;60,"50-59","60+"))))</f>
        <v>30-39</v>
      </c>
      <c r="M133" t="s">
        <v>16</v>
      </c>
      <c r="N133" t="s">
        <v>25</v>
      </c>
    </row>
    <row r="134" spans="1:14" x14ac:dyDescent="0.35">
      <c r="A134">
        <v>233</v>
      </c>
      <c r="B134" t="s">
        <v>36</v>
      </c>
      <c r="C134" s="6">
        <v>44377</v>
      </c>
      <c r="D134">
        <f>YEAR(Table1[[#This Row],[Join Date]])</f>
        <v>2021</v>
      </c>
      <c r="E134" s="6" t="s">
        <v>48</v>
      </c>
      <c r="F134" t="str">
        <f>IFERROR(YEAR(Table1[[#This Row],[Exit Date]]), " ")</f>
        <v xml:space="preserve"> </v>
      </c>
      <c r="G134" t="str">
        <f>IFERROR((Table1[[#This Row],[Exit Year]]-Table1[[#This Row],[Join Year]])+1," ")</f>
        <v xml:space="preserve"> </v>
      </c>
      <c r="H134" t="s">
        <v>48</v>
      </c>
      <c r="I134" t="s">
        <v>11</v>
      </c>
      <c r="J134" t="s">
        <v>18</v>
      </c>
      <c r="K134">
        <v>46</v>
      </c>
      <c r="L134" t="str">
        <f>IF(Table1[[#This Row],[Age]]&lt;30,"20-29",
IF(Table1[[#This Row],[Age]]&lt;40,"30-39",
IF(Table1[[#This Row],[Age]]&lt;50,"40-49",
IF(Table1[[#This Row],[Age]]&lt;60,"50-59","60+"))))</f>
        <v>40-49</v>
      </c>
      <c r="M134" t="s">
        <v>16</v>
      </c>
      <c r="N134" t="s">
        <v>35</v>
      </c>
    </row>
    <row r="135" spans="1:14" x14ac:dyDescent="0.35">
      <c r="A135">
        <v>234</v>
      </c>
      <c r="B135" t="s">
        <v>10</v>
      </c>
      <c r="C135" s="6">
        <v>44088</v>
      </c>
      <c r="D135">
        <f>YEAR(Table1[[#This Row],[Join Date]])</f>
        <v>2020</v>
      </c>
      <c r="E135" s="6" t="s">
        <v>48</v>
      </c>
      <c r="F135" t="str">
        <f>IFERROR(YEAR(Table1[[#This Row],[Exit Date]]), " ")</f>
        <v xml:space="preserve"> </v>
      </c>
      <c r="G135" t="str">
        <f>IFERROR((Table1[[#This Row],[Exit Year]]-Table1[[#This Row],[Join Year]])+1," ")</f>
        <v xml:space="preserve"> </v>
      </c>
      <c r="H135" t="s">
        <v>48</v>
      </c>
      <c r="I135" t="s">
        <v>11</v>
      </c>
      <c r="J135" t="s">
        <v>12</v>
      </c>
      <c r="K135">
        <v>50</v>
      </c>
      <c r="L135" t="str">
        <f>IF(Table1[[#This Row],[Age]]&lt;30,"20-29",
IF(Table1[[#This Row],[Age]]&lt;40,"30-39",
IF(Table1[[#This Row],[Age]]&lt;50,"40-49",
IF(Table1[[#This Row],[Age]]&lt;60,"50-59","60+"))))</f>
        <v>50-59</v>
      </c>
      <c r="M135" t="s">
        <v>20</v>
      </c>
      <c r="N135" t="s">
        <v>25</v>
      </c>
    </row>
    <row r="136" spans="1:14" x14ac:dyDescent="0.35">
      <c r="A136">
        <v>235</v>
      </c>
      <c r="B136" t="s">
        <v>26</v>
      </c>
      <c r="C136" s="6">
        <v>43373</v>
      </c>
      <c r="D136">
        <f>YEAR(Table1[[#This Row],[Join Date]])</f>
        <v>2018</v>
      </c>
      <c r="E136" s="6">
        <v>44825</v>
      </c>
      <c r="F136">
        <f>IFERROR(YEAR(Table1[[#This Row],[Exit Date]]), " ")</f>
        <v>2022</v>
      </c>
      <c r="G136">
        <f>IFERROR((Table1[[#This Row],[Exit Year]]-Table1[[#This Row],[Join Year]])+1," ")</f>
        <v>5</v>
      </c>
      <c r="H136" t="s">
        <v>27</v>
      </c>
      <c r="I136" t="s">
        <v>23</v>
      </c>
      <c r="J136" t="s">
        <v>18</v>
      </c>
      <c r="K136">
        <v>63</v>
      </c>
      <c r="L136" t="str">
        <f>IF(Table1[[#This Row],[Age]]&lt;30,"20-29",
IF(Table1[[#This Row],[Age]]&lt;40,"30-39",
IF(Table1[[#This Row],[Age]]&lt;50,"40-49",
IF(Table1[[#This Row],[Age]]&lt;60,"50-59","60+"))))</f>
        <v>60+</v>
      </c>
      <c r="M136" t="s">
        <v>24</v>
      </c>
      <c r="N136" t="s">
        <v>35</v>
      </c>
    </row>
    <row r="137" spans="1:14" x14ac:dyDescent="0.35">
      <c r="A137">
        <v>236</v>
      </c>
      <c r="B137" t="s">
        <v>26</v>
      </c>
      <c r="C137" s="6">
        <v>43314</v>
      </c>
      <c r="D137">
        <f>YEAR(Table1[[#This Row],[Join Date]])</f>
        <v>2018</v>
      </c>
      <c r="E137" s="6" t="s">
        <v>48</v>
      </c>
      <c r="F137" t="str">
        <f>IFERROR(YEAR(Table1[[#This Row],[Exit Date]]), " ")</f>
        <v xml:space="preserve"> </v>
      </c>
      <c r="G137" t="str">
        <f>IFERROR((Table1[[#This Row],[Exit Year]]-Table1[[#This Row],[Join Year]])+1," ")</f>
        <v xml:space="preserve"> </v>
      </c>
      <c r="H137" t="s">
        <v>48</v>
      </c>
      <c r="I137" t="s">
        <v>11</v>
      </c>
      <c r="J137" t="s">
        <v>18</v>
      </c>
      <c r="K137">
        <v>29</v>
      </c>
      <c r="L137" t="str">
        <f>IF(Table1[[#This Row],[Age]]&lt;30,"20-29",
IF(Table1[[#This Row],[Age]]&lt;40,"30-39",
IF(Table1[[#This Row],[Age]]&lt;50,"40-49",
IF(Table1[[#This Row],[Age]]&lt;60,"50-59","60+"))))</f>
        <v>20-29</v>
      </c>
      <c r="M137" t="s">
        <v>13</v>
      </c>
      <c r="N137" t="s">
        <v>14</v>
      </c>
    </row>
    <row r="138" spans="1:14" x14ac:dyDescent="0.35">
      <c r="A138">
        <v>237</v>
      </c>
      <c r="B138" t="s">
        <v>26</v>
      </c>
      <c r="C138" s="6">
        <v>44418</v>
      </c>
      <c r="D138">
        <f>YEAR(Table1[[#This Row],[Join Date]])</f>
        <v>2021</v>
      </c>
      <c r="E138" s="6">
        <v>45628</v>
      </c>
      <c r="F138">
        <f>IFERROR(YEAR(Table1[[#This Row],[Exit Date]]), " ")</f>
        <v>2024</v>
      </c>
      <c r="G138">
        <f>IFERROR((Table1[[#This Row],[Exit Year]]-Table1[[#This Row],[Join Year]])+1," ")</f>
        <v>4</v>
      </c>
      <c r="H138" t="s">
        <v>46</v>
      </c>
      <c r="I138" t="s">
        <v>23</v>
      </c>
      <c r="J138" t="s">
        <v>12</v>
      </c>
      <c r="K138">
        <v>27</v>
      </c>
      <c r="L138" t="str">
        <f>IF(Table1[[#This Row],[Age]]&lt;30,"20-29",
IF(Table1[[#This Row],[Age]]&lt;40,"30-39",
IF(Table1[[#This Row],[Age]]&lt;50,"40-49",
IF(Table1[[#This Row],[Age]]&lt;60,"50-59","60+"))))</f>
        <v>20-29</v>
      </c>
      <c r="M138" t="s">
        <v>44</v>
      </c>
      <c r="N138" t="s">
        <v>17</v>
      </c>
    </row>
    <row r="139" spans="1:14" x14ac:dyDescent="0.35">
      <c r="A139">
        <v>238</v>
      </c>
      <c r="B139" t="s">
        <v>34</v>
      </c>
      <c r="C139" s="6">
        <v>44324</v>
      </c>
      <c r="D139">
        <f>YEAR(Table1[[#This Row],[Join Date]])</f>
        <v>2021</v>
      </c>
      <c r="E139" s="6">
        <v>45076</v>
      </c>
      <c r="F139">
        <f>IFERROR(YEAR(Table1[[#This Row],[Exit Date]]), " ")</f>
        <v>2023</v>
      </c>
      <c r="G139">
        <f>IFERROR((Table1[[#This Row],[Exit Year]]-Table1[[#This Row],[Join Year]])+1," ")</f>
        <v>3</v>
      </c>
      <c r="H139" t="s">
        <v>40</v>
      </c>
      <c r="I139" t="s">
        <v>23</v>
      </c>
      <c r="J139" t="s">
        <v>12</v>
      </c>
      <c r="K139">
        <v>31</v>
      </c>
      <c r="L139" t="str">
        <f>IF(Table1[[#This Row],[Age]]&lt;30,"20-29",
IF(Table1[[#This Row],[Age]]&lt;40,"30-39",
IF(Table1[[#This Row],[Age]]&lt;50,"40-49",
IF(Table1[[#This Row],[Age]]&lt;60,"50-59","60+"))))</f>
        <v>30-39</v>
      </c>
      <c r="M139" t="s">
        <v>13</v>
      </c>
      <c r="N139" t="s">
        <v>19</v>
      </c>
    </row>
    <row r="140" spans="1:14" x14ac:dyDescent="0.35">
      <c r="A140">
        <v>239</v>
      </c>
      <c r="B140" t="s">
        <v>10</v>
      </c>
      <c r="C140" s="6">
        <v>43513</v>
      </c>
      <c r="D140">
        <f>YEAR(Table1[[#This Row],[Join Date]])</f>
        <v>2019</v>
      </c>
      <c r="E140" s="6">
        <v>44923</v>
      </c>
      <c r="F140">
        <f>IFERROR(YEAR(Table1[[#This Row],[Exit Date]]), " ")</f>
        <v>2022</v>
      </c>
      <c r="G140">
        <f>IFERROR((Table1[[#This Row],[Exit Year]]-Table1[[#This Row],[Join Year]])+1," ")</f>
        <v>4</v>
      </c>
      <c r="H140" t="s">
        <v>38</v>
      </c>
      <c r="I140" t="s">
        <v>23</v>
      </c>
      <c r="J140" t="s">
        <v>18</v>
      </c>
      <c r="K140">
        <v>24</v>
      </c>
      <c r="L140" t="str">
        <f>IF(Table1[[#This Row],[Age]]&lt;30,"20-29",
IF(Table1[[#This Row],[Age]]&lt;40,"30-39",
IF(Table1[[#This Row],[Age]]&lt;50,"40-49",
IF(Table1[[#This Row],[Age]]&lt;60,"50-59","60+"))))</f>
        <v>20-29</v>
      </c>
      <c r="M140" t="s">
        <v>13</v>
      </c>
      <c r="N140" t="s">
        <v>21</v>
      </c>
    </row>
    <row r="141" spans="1:14" x14ac:dyDescent="0.35">
      <c r="A141">
        <v>240</v>
      </c>
      <c r="B141" t="s">
        <v>36</v>
      </c>
      <c r="C141" s="6">
        <v>44180</v>
      </c>
      <c r="D141">
        <f>YEAR(Table1[[#This Row],[Join Date]])</f>
        <v>2020</v>
      </c>
      <c r="E141" s="6" t="s">
        <v>48</v>
      </c>
      <c r="F141" t="str">
        <f>IFERROR(YEAR(Table1[[#This Row],[Exit Date]]), " ")</f>
        <v xml:space="preserve"> </v>
      </c>
      <c r="G141" t="str">
        <f>IFERROR((Table1[[#This Row],[Exit Year]]-Table1[[#This Row],[Join Year]])+1," ")</f>
        <v xml:space="preserve"> </v>
      </c>
      <c r="H141" t="s">
        <v>48</v>
      </c>
      <c r="I141" t="s">
        <v>11</v>
      </c>
      <c r="J141" t="s">
        <v>18</v>
      </c>
      <c r="K141">
        <v>37</v>
      </c>
      <c r="L141" t="str">
        <f>IF(Table1[[#This Row],[Age]]&lt;30,"20-29",
IF(Table1[[#This Row],[Age]]&lt;40,"30-39",
IF(Table1[[#This Row],[Age]]&lt;50,"40-49",
IF(Table1[[#This Row],[Age]]&lt;60,"50-59","60+"))))</f>
        <v>30-39</v>
      </c>
      <c r="M141" t="s">
        <v>16</v>
      </c>
      <c r="N141" t="s">
        <v>25</v>
      </c>
    </row>
    <row r="142" spans="1:14" x14ac:dyDescent="0.35">
      <c r="A142">
        <v>241</v>
      </c>
      <c r="B142" t="s">
        <v>34</v>
      </c>
      <c r="C142" s="6">
        <v>44099</v>
      </c>
      <c r="D142">
        <f>YEAR(Table1[[#This Row],[Join Date]])</f>
        <v>2020</v>
      </c>
      <c r="E142" s="6" t="s">
        <v>48</v>
      </c>
      <c r="F142" t="str">
        <f>IFERROR(YEAR(Table1[[#This Row],[Exit Date]]), " ")</f>
        <v xml:space="preserve"> </v>
      </c>
      <c r="G142" t="str">
        <f>IFERROR((Table1[[#This Row],[Exit Year]]-Table1[[#This Row],[Join Year]])+1," ")</f>
        <v xml:space="preserve"> </v>
      </c>
      <c r="H142" t="s">
        <v>48</v>
      </c>
      <c r="I142" t="s">
        <v>11</v>
      </c>
      <c r="J142" t="s">
        <v>12</v>
      </c>
      <c r="K142">
        <v>23</v>
      </c>
      <c r="L142" t="str">
        <f>IF(Table1[[#This Row],[Age]]&lt;30,"20-29",
IF(Table1[[#This Row],[Age]]&lt;40,"30-39",
IF(Table1[[#This Row],[Age]]&lt;50,"40-49",
IF(Table1[[#This Row],[Age]]&lt;60,"50-59","60+"))))</f>
        <v>20-29</v>
      </c>
      <c r="M142" t="s">
        <v>13</v>
      </c>
      <c r="N142" t="s">
        <v>28</v>
      </c>
    </row>
    <row r="143" spans="1:14" x14ac:dyDescent="0.35">
      <c r="A143">
        <v>242</v>
      </c>
      <c r="B143" t="s">
        <v>34</v>
      </c>
      <c r="C143" s="6">
        <v>45632</v>
      </c>
      <c r="D143">
        <f>YEAR(Table1[[#This Row],[Join Date]])</f>
        <v>2024</v>
      </c>
      <c r="E143" s="6" t="s">
        <v>48</v>
      </c>
      <c r="F143" t="str">
        <f>IFERROR(YEAR(Table1[[#This Row],[Exit Date]]), " ")</f>
        <v xml:space="preserve"> </v>
      </c>
      <c r="G143" t="str">
        <f>IFERROR((Table1[[#This Row],[Exit Year]]-Table1[[#This Row],[Join Year]])+1," ")</f>
        <v xml:space="preserve"> </v>
      </c>
      <c r="H143" t="s">
        <v>48</v>
      </c>
      <c r="I143" t="s">
        <v>11</v>
      </c>
      <c r="J143" t="s">
        <v>18</v>
      </c>
      <c r="K143">
        <v>31</v>
      </c>
      <c r="L143" t="str">
        <f>IF(Table1[[#This Row],[Age]]&lt;30,"20-29",
IF(Table1[[#This Row],[Age]]&lt;40,"30-39",
IF(Table1[[#This Row],[Age]]&lt;50,"40-49",
IF(Table1[[#This Row],[Age]]&lt;60,"50-59","60+"))))</f>
        <v>30-39</v>
      </c>
      <c r="M143" t="s">
        <v>20</v>
      </c>
      <c r="N143" t="s">
        <v>31</v>
      </c>
    </row>
    <row r="144" spans="1:14" x14ac:dyDescent="0.35">
      <c r="A144">
        <v>243</v>
      </c>
      <c r="B144" t="s">
        <v>36</v>
      </c>
      <c r="C144" s="6">
        <v>45294</v>
      </c>
      <c r="D144">
        <f>YEAR(Table1[[#This Row],[Join Date]])</f>
        <v>2024</v>
      </c>
      <c r="E144" s="6" t="s">
        <v>48</v>
      </c>
      <c r="F144" t="str">
        <f>IFERROR(YEAR(Table1[[#This Row],[Exit Date]]), " ")</f>
        <v xml:space="preserve"> </v>
      </c>
      <c r="G144" t="str">
        <f>IFERROR((Table1[[#This Row],[Exit Year]]-Table1[[#This Row],[Join Year]])+1," ")</f>
        <v xml:space="preserve"> </v>
      </c>
      <c r="H144" t="s">
        <v>48</v>
      </c>
      <c r="I144" t="s">
        <v>11</v>
      </c>
      <c r="J144" t="s">
        <v>12</v>
      </c>
      <c r="K144">
        <v>52</v>
      </c>
      <c r="L144" t="str">
        <f>IF(Table1[[#This Row],[Age]]&lt;30,"20-29",
IF(Table1[[#This Row],[Age]]&lt;40,"30-39",
IF(Table1[[#This Row],[Age]]&lt;50,"40-49",
IF(Table1[[#This Row],[Age]]&lt;60,"50-59","60+"))))</f>
        <v>50-59</v>
      </c>
      <c r="M144" t="s">
        <v>39</v>
      </c>
      <c r="N144" t="s">
        <v>32</v>
      </c>
    </row>
    <row r="145" spans="1:14" x14ac:dyDescent="0.35">
      <c r="A145">
        <v>244</v>
      </c>
      <c r="B145" t="s">
        <v>26</v>
      </c>
      <c r="C145" s="6">
        <v>44590</v>
      </c>
      <c r="D145">
        <f>YEAR(Table1[[#This Row],[Join Date]])</f>
        <v>2022</v>
      </c>
      <c r="E145" s="6" t="s">
        <v>48</v>
      </c>
      <c r="F145" t="str">
        <f>IFERROR(YEAR(Table1[[#This Row],[Exit Date]]), " ")</f>
        <v xml:space="preserve"> </v>
      </c>
      <c r="G145" t="str">
        <f>IFERROR((Table1[[#This Row],[Exit Year]]-Table1[[#This Row],[Join Year]])+1," ")</f>
        <v xml:space="preserve"> </v>
      </c>
      <c r="H145" t="s">
        <v>48</v>
      </c>
      <c r="I145" t="s">
        <v>11</v>
      </c>
      <c r="J145" t="s">
        <v>12</v>
      </c>
      <c r="K145">
        <v>25</v>
      </c>
      <c r="L145" t="str">
        <f>IF(Table1[[#This Row],[Age]]&lt;30,"20-29",
IF(Table1[[#This Row],[Age]]&lt;40,"30-39",
IF(Table1[[#This Row],[Age]]&lt;50,"40-49",
IF(Table1[[#This Row],[Age]]&lt;60,"50-59","60+"))))</f>
        <v>20-29</v>
      </c>
      <c r="M145" t="s">
        <v>13</v>
      </c>
      <c r="N145" t="s">
        <v>33</v>
      </c>
    </row>
    <row r="146" spans="1:14" x14ac:dyDescent="0.35">
      <c r="A146">
        <v>245</v>
      </c>
      <c r="B146" t="s">
        <v>15</v>
      </c>
      <c r="C146" s="6">
        <v>45215</v>
      </c>
      <c r="D146">
        <f>YEAR(Table1[[#This Row],[Join Date]])</f>
        <v>2023</v>
      </c>
      <c r="E146" s="6" t="s">
        <v>48</v>
      </c>
      <c r="F146" t="str">
        <f>IFERROR(YEAR(Table1[[#This Row],[Exit Date]]), " ")</f>
        <v xml:space="preserve"> </v>
      </c>
      <c r="G146" t="str">
        <f>IFERROR((Table1[[#This Row],[Exit Year]]-Table1[[#This Row],[Join Year]])+1," ")</f>
        <v xml:space="preserve"> </v>
      </c>
      <c r="H146" t="s">
        <v>48</v>
      </c>
      <c r="I146" t="s">
        <v>11</v>
      </c>
      <c r="J146" t="s">
        <v>12</v>
      </c>
      <c r="K146">
        <v>46</v>
      </c>
      <c r="L146" t="str">
        <f>IF(Table1[[#This Row],[Age]]&lt;30,"20-29",
IF(Table1[[#This Row],[Age]]&lt;40,"30-39",
IF(Table1[[#This Row],[Age]]&lt;50,"40-49",
IF(Table1[[#This Row],[Age]]&lt;60,"50-59","60+"))))</f>
        <v>40-49</v>
      </c>
      <c r="M146" t="s">
        <v>16</v>
      </c>
      <c r="N146" t="s">
        <v>35</v>
      </c>
    </row>
    <row r="147" spans="1:14" x14ac:dyDescent="0.35">
      <c r="A147">
        <v>246</v>
      </c>
      <c r="B147" t="s">
        <v>15</v>
      </c>
      <c r="C147" s="6">
        <v>43624</v>
      </c>
      <c r="D147">
        <f>YEAR(Table1[[#This Row],[Join Date]])</f>
        <v>2019</v>
      </c>
      <c r="E147" s="6">
        <v>44228</v>
      </c>
      <c r="F147">
        <f>IFERROR(YEAR(Table1[[#This Row],[Exit Date]]), " ")</f>
        <v>2021</v>
      </c>
      <c r="G147">
        <f>IFERROR((Table1[[#This Row],[Exit Year]]-Table1[[#This Row],[Join Year]])+1," ")</f>
        <v>3</v>
      </c>
      <c r="H147" t="s">
        <v>41</v>
      </c>
      <c r="I147" t="s">
        <v>23</v>
      </c>
      <c r="J147" t="s">
        <v>18</v>
      </c>
      <c r="K147">
        <v>24</v>
      </c>
      <c r="L147" t="str">
        <f>IF(Table1[[#This Row],[Age]]&lt;30,"20-29",
IF(Table1[[#This Row],[Age]]&lt;40,"30-39",
IF(Table1[[#This Row],[Age]]&lt;50,"40-49",
IF(Table1[[#This Row],[Age]]&lt;60,"50-59","60+"))))</f>
        <v>20-29</v>
      </c>
      <c r="M147" t="s">
        <v>16</v>
      </c>
      <c r="N147" t="s">
        <v>37</v>
      </c>
    </row>
    <row r="148" spans="1:14" x14ac:dyDescent="0.35">
      <c r="A148">
        <v>247</v>
      </c>
      <c r="B148" t="s">
        <v>15</v>
      </c>
      <c r="C148" s="6">
        <v>44514</v>
      </c>
      <c r="D148">
        <f>YEAR(Table1[[#This Row],[Join Date]])</f>
        <v>2021</v>
      </c>
      <c r="E148" s="6">
        <v>45529</v>
      </c>
      <c r="F148">
        <f>IFERROR(YEAR(Table1[[#This Row],[Exit Date]]), " ")</f>
        <v>2024</v>
      </c>
      <c r="G148">
        <f>IFERROR((Table1[[#This Row],[Exit Year]]-Table1[[#This Row],[Join Year]])+1," ")</f>
        <v>4</v>
      </c>
      <c r="H148" t="s">
        <v>41</v>
      </c>
      <c r="I148" t="s">
        <v>23</v>
      </c>
      <c r="J148" t="s">
        <v>12</v>
      </c>
      <c r="K148">
        <v>38</v>
      </c>
      <c r="L148" t="str">
        <f>IF(Table1[[#This Row],[Age]]&lt;30,"20-29",
IF(Table1[[#This Row],[Age]]&lt;40,"30-39",
IF(Table1[[#This Row],[Age]]&lt;50,"40-49",
IF(Table1[[#This Row],[Age]]&lt;60,"50-59","60+"))))</f>
        <v>30-39</v>
      </c>
      <c r="M148" t="s">
        <v>20</v>
      </c>
      <c r="N148" t="s">
        <v>19</v>
      </c>
    </row>
    <row r="149" spans="1:14" x14ac:dyDescent="0.35">
      <c r="A149">
        <v>248</v>
      </c>
      <c r="B149" t="s">
        <v>29</v>
      </c>
      <c r="C149" s="6">
        <v>43700</v>
      </c>
      <c r="D149">
        <f>YEAR(Table1[[#This Row],[Join Date]])</f>
        <v>2019</v>
      </c>
      <c r="E149" s="6" t="s">
        <v>48</v>
      </c>
      <c r="F149" t="str">
        <f>IFERROR(YEAR(Table1[[#This Row],[Exit Date]]), " ")</f>
        <v xml:space="preserve"> </v>
      </c>
      <c r="G149" t="str">
        <f>IFERROR((Table1[[#This Row],[Exit Year]]-Table1[[#This Row],[Join Year]])+1," ")</f>
        <v xml:space="preserve"> </v>
      </c>
      <c r="H149" t="s">
        <v>48</v>
      </c>
      <c r="I149" t="s">
        <v>11</v>
      </c>
      <c r="J149" t="s">
        <v>18</v>
      </c>
      <c r="K149">
        <v>49</v>
      </c>
      <c r="L149" t="str">
        <f>IF(Table1[[#This Row],[Age]]&lt;30,"20-29",
IF(Table1[[#This Row],[Age]]&lt;40,"30-39",
IF(Table1[[#This Row],[Age]]&lt;50,"40-49",
IF(Table1[[#This Row],[Age]]&lt;60,"50-59","60+"))))</f>
        <v>40-49</v>
      </c>
      <c r="M149" t="s">
        <v>24</v>
      </c>
      <c r="N149" t="s">
        <v>25</v>
      </c>
    </row>
    <row r="150" spans="1:14" x14ac:dyDescent="0.35">
      <c r="A150">
        <v>249</v>
      </c>
      <c r="B150" t="s">
        <v>34</v>
      </c>
      <c r="C150" s="6">
        <v>45540</v>
      </c>
      <c r="D150">
        <f>YEAR(Table1[[#This Row],[Join Date]])</f>
        <v>2024</v>
      </c>
      <c r="E150" s="6" t="s">
        <v>48</v>
      </c>
      <c r="F150" t="str">
        <f>IFERROR(YEAR(Table1[[#This Row],[Exit Date]]), " ")</f>
        <v xml:space="preserve"> </v>
      </c>
      <c r="G150" t="str">
        <f>IFERROR((Table1[[#This Row],[Exit Year]]-Table1[[#This Row],[Join Year]])+1," ")</f>
        <v xml:space="preserve"> </v>
      </c>
      <c r="H150" t="s">
        <v>48</v>
      </c>
      <c r="I150" t="s">
        <v>11</v>
      </c>
      <c r="J150" t="s">
        <v>12</v>
      </c>
      <c r="K150">
        <v>31</v>
      </c>
      <c r="L150" t="str">
        <f>IF(Table1[[#This Row],[Age]]&lt;30,"20-29",
IF(Table1[[#This Row],[Age]]&lt;40,"30-39",
IF(Table1[[#This Row],[Age]]&lt;50,"40-49",
IF(Table1[[#This Row],[Age]]&lt;60,"50-59","60+"))))</f>
        <v>30-39</v>
      </c>
      <c r="M150" t="s">
        <v>13</v>
      </c>
      <c r="N150" t="s">
        <v>35</v>
      </c>
    </row>
    <row r="151" spans="1:14" x14ac:dyDescent="0.35">
      <c r="A151">
        <v>250</v>
      </c>
      <c r="B151" t="s">
        <v>10</v>
      </c>
      <c r="C151" s="6">
        <v>43297</v>
      </c>
      <c r="D151">
        <f>YEAR(Table1[[#This Row],[Join Date]])</f>
        <v>2018</v>
      </c>
      <c r="E151" s="6">
        <v>44682</v>
      </c>
      <c r="F151">
        <f>IFERROR(YEAR(Table1[[#This Row],[Exit Date]]), " ")</f>
        <v>2022</v>
      </c>
      <c r="G151">
        <f>IFERROR((Table1[[#This Row],[Exit Year]]-Table1[[#This Row],[Join Year]])+1," ")</f>
        <v>5</v>
      </c>
      <c r="H151" t="s">
        <v>40</v>
      </c>
      <c r="I151" t="s">
        <v>23</v>
      </c>
      <c r="J151" t="s">
        <v>18</v>
      </c>
      <c r="K151">
        <v>51</v>
      </c>
      <c r="L151" t="str">
        <f>IF(Table1[[#This Row],[Age]]&lt;30,"20-29",
IF(Table1[[#This Row],[Age]]&lt;40,"30-39",
IF(Table1[[#This Row],[Age]]&lt;50,"40-49",
IF(Table1[[#This Row],[Age]]&lt;60,"50-59","60+"))))</f>
        <v>50-59</v>
      </c>
      <c r="M151" t="s">
        <v>42</v>
      </c>
      <c r="N151" t="s">
        <v>17</v>
      </c>
    </row>
    <row r="152" spans="1:14" x14ac:dyDescent="0.35">
      <c r="A152">
        <v>251</v>
      </c>
      <c r="B152" t="s">
        <v>10</v>
      </c>
      <c r="C152" s="6">
        <v>43407</v>
      </c>
      <c r="D152">
        <f>YEAR(Table1[[#This Row],[Join Date]])</f>
        <v>2018</v>
      </c>
      <c r="E152" s="6" t="s">
        <v>48</v>
      </c>
      <c r="F152" t="str">
        <f>IFERROR(YEAR(Table1[[#This Row],[Exit Date]]), " ")</f>
        <v xml:space="preserve"> </v>
      </c>
      <c r="G152" t="str">
        <f>IFERROR((Table1[[#This Row],[Exit Year]]-Table1[[#This Row],[Join Year]])+1," ")</f>
        <v xml:space="preserve"> </v>
      </c>
      <c r="H152" t="s">
        <v>48</v>
      </c>
      <c r="I152" t="s">
        <v>11</v>
      </c>
      <c r="J152" t="s">
        <v>18</v>
      </c>
      <c r="K152">
        <v>27</v>
      </c>
      <c r="L152" t="str">
        <f>IF(Table1[[#This Row],[Age]]&lt;30,"20-29",
IF(Table1[[#This Row],[Age]]&lt;40,"30-39",
IF(Table1[[#This Row],[Age]]&lt;50,"40-49",
IF(Table1[[#This Row],[Age]]&lt;60,"50-59","60+"))))</f>
        <v>20-29</v>
      </c>
      <c r="M152" t="s">
        <v>13</v>
      </c>
      <c r="N152" t="s">
        <v>19</v>
      </c>
    </row>
    <row r="153" spans="1:14" x14ac:dyDescent="0.35">
      <c r="A153">
        <v>252</v>
      </c>
      <c r="B153" t="s">
        <v>15</v>
      </c>
      <c r="C153" s="6">
        <v>44121</v>
      </c>
      <c r="D153">
        <f>YEAR(Table1[[#This Row],[Join Date]])</f>
        <v>2020</v>
      </c>
      <c r="E153" s="6" t="s">
        <v>48</v>
      </c>
      <c r="F153" t="str">
        <f>IFERROR(YEAR(Table1[[#This Row],[Exit Date]]), " ")</f>
        <v xml:space="preserve"> </v>
      </c>
      <c r="G153" t="str">
        <f>IFERROR((Table1[[#This Row],[Exit Year]]-Table1[[#This Row],[Join Year]])+1," ")</f>
        <v xml:space="preserve"> </v>
      </c>
      <c r="H153" t="s">
        <v>48</v>
      </c>
      <c r="I153" t="s">
        <v>11</v>
      </c>
      <c r="J153" t="s">
        <v>12</v>
      </c>
      <c r="K153">
        <v>22</v>
      </c>
      <c r="L153" t="str">
        <f>IF(Table1[[#This Row],[Age]]&lt;30,"20-29",
IF(Table1[[#This Row],[Age]]&lt;40,"30-39",
IF(Table1[[#This Row],[Age]]&lt;50,"40-49",
IF(Table1[[#This Row],[Age]]&lt;60,"50-59","60+"))))</f>
        <v>20-29</v>
      </c>
      <c r="M153" t="s">
        <v>13</v>
      </c>
      <c r="N153" t="s">
        <v>21</v>
      </c>
    </row>
    <row r="154" spans="1:14" x14ac:dyDescent="0.35">
      <c r="A154">
        <v>253</v>
      </c>
      <c r="B154" t="s">
        <v>15</v>
      </c>
      <c r="C154" s="6">
        <v>44423</v>
      </c>
      <c r="D154">
        <f>YEAR(Table1[[#This Row],[Join Date]])</f>
        <v>2021</v>
      </c>
      <c r="E154" s="6" t="s">
        <v>48</v>
      </c>
      <c r="F154" t="str">
        <f>IFERROR(YEAR(Table1[[#This Row],[Exit Date]]), " ")</f>
        <v xml:space="preserve"> </v>
      </c>
      <c r="G154" t="str">
        <f>IFERROR((Table1[[#This Row],[Exit Year]]-Table1[[#This Row],[Join Year]])+1," ")</f>
        <v xml:space="preserve"> </v>
      </c>
      <c r="H154" t="s">
        <v>48</v>
      </c>
      <c r="I154" t="s">
        <v>11</v>
      </c>
      <c r="J154" t="s">
        <v>18</v>
      </c>
      <c r="K154">
        <v>50</v>
      </c>
      <c r="L154" t="str">
        <f>IF(Table1[[#This Row],[Age]]&lt;30,"20-29",
IF(Table1[[#This Row],[Age]]&lt;40,"30-39",
IF(Table1[[#This Row],[Age]]&lt;50,"40-49",
IF(Table1[[#This Row],[Age]]&lt;60,"50-59","60+"))))</f>
        <v>50-59</v>
      </c>
      <c r="M154" t="s">
        <v>16</v>
      </c>
      <c r="N154" t="s">
        <v>25</v>
      </c>
    </row>
    <row r="155" spans="1:14" x14ac:dyDescent="0.35">
      <c r="A155">
        <v>254</v>
      </c>
      <c r="B155" t="s">
        <v>15</v>
      </c>
      <c r="C155" s="6">
        <v>45087</v>
      </c>
      <c r="D155">
        <f>YEAR(Table1[[#This Row],[Join Date]])</f>
        <v>2023</v>
      </c>
      <c r="E155" s="6" t="s">
        <v>48</v>
      </c>
      <c r="F155" t="str">
        <f>IFERROR(YEAR(Table1[[#This Row],[Exit Date]]), " ")</f>
        <v xml:space="preserve"> </v>
      </c>
      <c r="G155" t="str">
        <f>IFERROR((Table1[[#This Row],[Exit Year]]-Table1[[#This Row],[Join Year]])+1," ")</f>
        <v xml:space="preserve"> </v>
      </c>
      <c r="H155" t="s">
        <v>48</v>
      </c>
      <c r="I155" t="s">
        <v>11</v>
      </c>
      <c r="J155" t="s">
        <v>18</v>
      </c>
      <c r="K155">
        <v>24</v>
      </c>
      <c r="L155" t="str">
        <f>IF(Table1[[#This Row],[Age]]&lt;30,"20-29",
IF(Table1[[#This Row],[Age]]&lt;40,"30-39",
IF(Table1[[#This Row],[Age]]&lt;50,"40-49",
IF(Table1[[#This Row],[Age]]&lt;60,"50-59","60+"))))</f>
        <v>20-29</v>
      </c>
      <c r="M155" t="s">
        <v>13</v>
      </c>
      <c r="N155" t="s">
        <v>35</v>
      </c>
    </row>
    <row r="156" spans="1:14" x14ac:dyDescent="0.35">
      <c r="A156">
        <v>255</v>
      </c>
      <c r="B156" t="s">
        <v>15</v>
      </c>
      <c r="C156" s="6">
        <v>43479</v>
      </c>
      <c r="D156">
        <f>YEAR(Table1[[#This Row],[Join Date]])</f>
        <v>2019</v>
      </c>
      <c r="E156" s="6">
        <v>44449</v>
      </c>
      <c r="F156">
        <f>IFERROR(YEAR(Table1[[#This Row],[Exit Date]]), " ")</f>
        <v>2021</v>
      </c>
      <c r="G156">
        <f>IFERROR((Table1[[#This Row],[Exit Year]]-Table1[[#This Row],[Join Year]])+1," ")</f>
        <v>3</v>
      </c>
      <c r="H156" t="s">
        <v>22</v>
      </c>
      <c r="I156" t="s">
        <v>23</v>
      </c>
      <c r="J156" t="s">
        <v>12</v>
      </c>
      <c r="K156">
        <v>50</v>
      </c>
      <c r="L156" t="str">
        <f>IF(Table1[[#This Row],[Age]]&lt;30,"20-29",
IF(Table1[[#This Row],[Age]]&lt;40,"30-39",
IF(Table1[[#This Row],[Age]]&lt;50,"40-49",
IF(Table1[[#This Row],[Age]]&lt;60,"50-59","60+"))))</f>
        <v>50-59</v>
      </c>
      <c r="M156" t="s">
        <v>20</v>
      </c>
      <c r="N156" t="s">
        <v>14</v>
      </c>
    </row>
    <row r="157" spans="1:14" x14ac:dyDescent="0.35">
      <c r="A157">
        <v>256</v>
      </c>
      <c r="B157" t="s">
        <v>26</v>
      </c>
      <c r="C157" s="6">
        <v>44749</v>
      </c>
      <c r="D157">
        <f>YEAR(Table1[[#This Row],[Join Date]])</f>
        <v>2022</v>
      </c>
      <c r="E157" s="6">
        <v>44972</v>
      </c>
      <c r="F157">
        <f>IFERROR(YEAR(Table1[[#This Row],[Exit Date]]), " ")</f>
        <v>2023</v>
      </c>
      <c r="G157">
        <f>IFERROR((Table1[[#This Row],[Exit Year]]-Table1[[#This Row],[Join Year]])+1," ")</f>
        <v>2</v>
      </c>
      <c r="H157" t="s">
        <v>27</v>
      </c>
      <c r="I157" t="s">
        <v>23</v>
      </c>
      <c r="J157" t="s">
        <v>12</v>
      </c>
      <c r="K157">
        <v>64</v>
      </c>
      <c r="L157" t="str">
        <f>IF(Table1[[#This Row],[Age]]&lt;30,"20-29",
IF(Table1[[#This Row],[Age]]&lt;40,"30-39",
IF(Table1[[#This Row],[Age]]&lt;50,"40-49",
IF(Table1[[#This Row],[Age]]&lt;60,"50-59","60+"))))</f>
        <v>60+</v>
      </c>
      <c r="M157" t="s">
        <v>39</v>
      </c>
      <c r="N157" t="s">
        <v>19</v>
      </c>
    </row>
    <row r="158" spans="1:14" x14ac:dyDescent="0.35">
      <c r="A158">
        <v>257</v>
      </c>
      <c r="B158" t="s">
        <v>29</v>
      </c>
      <c r="C158" s="6">
        <v>45457</v>
      </c>
      <c r="D158">
        <f>YEAR(Table1[[#This Row],[Join Date]])</f>
        <v>2024</v>
      </c>
      <c r="E158" s="6" t="s">
        <v>48</v>
      </c>
      <c r="F158" t="str">
        <f>IFERROR(YEAR(Table1[[#This Row],[Exit Date]]), " ")</f>
        <v xml:space="preserve"> </v>
      </c>
      <c r="G158" t="str">
        <f>IFERROR((Table1[[#This Row],[Exit Year]]-Table1[[#This Row],[Join Year]])+1," ")</f>
        <v xml:space="preserve"> </v>
      </c>
      <c r="H158" t="s">
        <v>48</v>
      </c>
      <c r="I158" t="s">
        <v>11</v>
      </c>
      <c r="J158" t="s">
        <v>12</v>
      </c>
      <c r="K158">
        <v>40</v>
      </c>
      <c r="L158" t="str">
        <f>IF(Table1[[#This Row],[Age]]&lt;30,"20-29",
IF(Table1[[#This Row],[Age]]&lt;40,"30-39",
IF(Table1[[#This Row],[Age]]&lt;50,"40-49",
IF(Table1[[#This Row],[Age]]&lt;60,"50-59","60+"))))</f>
        <v>40-49</v>
      </c>
      <c r="M158" t="s">
        <v>13</v>
      </c>
      <c r="N158" t="s">
        <v>21</v>
      </c>
    </row>
    <row r="159" spans="1:14" x14ac:dyDescent="0.35">
      <c r="A159">
        <v>258</v>
      </c>
      <c r="B159" t="s">
        <v>10</v>
      </c>
      <c r="C159" s="6">
        <v>43304</v>
      </c>
      <c r="D159">
        <f>YEAR(Table1[[#This Row],[Join Date]])</f>
        <v>2018</v>
      </c>
      <c r="E159" s="6" t="s">
        <v>48</v>
      </c>
      <c r="F159" t="str">
        <f>IFERROR(YEAR(Table1[[#This Row],[Exit Date]]), " ")</f>
        <v xml:space="preserve"> </v>
      </c>
      <c r="G159" t="str">
        <f>IFERROR((Table1[[#This Row],[Exit Year]]-Table1[[#This Row],[Join Year]])+1," ")</f>
        <v xml:space="preserve"> </v>
      </c>
      <c r="H159" t="s">
        <v>48</v>
      </c>
      <c r="I159" t="s">
        <v>11</v>
      </c>
      <c r="J159" t="s">
        <v>18</v>
      </c>
      <c r="K159">
        <v>32</v>
      </c>
      <c r="L159" t="str">
        <f>IF(Table1[[#This Row],[Age]]&lt;30,"20-29",
IF(Table1[[#This Row],[Age]]&lt;40,"30-39",
IF(Table1[[#This Row],[Age]]&lt;50,"40-49",
IF(Table1[[#This Row],[Age]]&lt;60,"50-59","60+"))))</f>
        <v>30-39</v>
      </c>
      <c r="M159" t="s">
        <v>16</v>
      </c>
      <c r="N159" t="s">
        <v>37</v>
      </c>
    </row>
    <row r="160" spans="1:14" x14ac:dyDescent="0.35">
      <c r="A160">
        <v>259</v>
      </c>
      <c r="B160" t="s">
        <v>15</v>
      </c>
      <c r="C160" s="6">
        <v>44987</v>
      </c>
      <c r="D160">
        <f>YEAR(Table1[[#This Row],[Join Date]])</f>
        <v>2023</v>
      </c>
      <c r="E160" s="6" t="s">
        <v>48</v>
      </c>
      <c r="F160" t="str">
        <f>IFERROR(YEAR(Table1[[#This Row],[Exit Date]]), " ")</f>
        <v xml:space="preserve"> </v>
      </c>
      <c r="G160" t="str">
        <f>IFERROR((Table1[[#This Row],[Exit Year]]-Table1[[#This Row],[Join Year]])+1," ")</f>
        <v xml:space="preserve"> </v>
      </c>
      <c r="H160" t="s">
        <v>48</v>
      </c>
      <c r="I160" t="s">
        <v>11</v>
      </c>
      <c r="J160" t="s">
        <v>18</v>
      </c>
      <c r="K160">
        <v>50</v>
      </c>
      <c r="L160" t="str">
        <f>IF(Table1[[#This Row],[Age]]&lt;30,"20-29",
IF(Table1[[#This Row],[Age]]&lt;40,"30-39",
IF(Table1[[#This Row],[Age]]&lt;50,"40-49",
IF(Table1[[#This Row],[Age]]&lt;60,"50-59","60+"))))</f>
        <v>50-59</v>
      </c>
      <c r="M160" t="s">
        <v>16</v>
      </c>
      <c r="N160" t="s">
        <v>25</v>
      </c>
    </row>
    <row r="161" spans="1:14" x14ac:dyDescent="0.35">
      <c r="A161">
        <v>260</v>
      </c>
      <c r="B161" t="s">
        <v>34</v>
      </c>
      <c r="C161" s="6">
        <v>45326</v>
      </c>
      <c r="D161">
        <f>YEAR(Table1[[#This Row],[Join Date]])</f>
        <v>2024</v>
      </c>
      <c r="E161" s="6" t="s">
        <v>48</v>
      </c>
      <c r="F161" t="str">
        <f>IFERROR(YEAR(Table1[[#This Row],[Exit Date]]), " ")</f>
        <v xml:space="preserve"> </v>
      </c>
      <c r="G161" t="str">
        <f>IFERROR((Table1[[#This Row],[Exit Year]]-Table1[[#This Row],[Join Year]])+1," ")</f>
        <v xml:space="preserve"> </v>
      </c>
      <c r="H161" t="s">
        <v>48</v>
      </c>
      <c r="I161" t="s">
        <v>11</v>
      </c>
      <c r="J161" t="s">
        <v>12</v>
      </c>
      <c r="K161">
        <v>24</v>
      </c>
      <c r="L161" t="str">
        <f>IF(Table1[[#This Row],[Age]]&lt;30,"20-29",
IF(Table1[[#This Row],[Age]]&lt;40,"30-39",
IF(Table1[[#This Row],[Age]]&lt;50,"40-49",
IF(Table1[[#This Row],[Age]]&lt;60,"50-59","60+"))))</f>
        <v>20-29</v>
      </c>
      <c r="M161" t="s">
        <v>20</v>
      </c>
      <c r="N161" t="s">
        <v>35</v>
      </c>
    </row>
    <row r="162" spans="1:14" x14ac:dyDescent="0.35">
      <c r="A162">
        <v>261</v>
      </c>
      <c r="B162" t="s">
        <v>36</v>
      </c>
      <c r="C162" s="6">
        <v>45474</v>
      </c>
      <c r="D162">
        <f>YEAR(Table1[[#This Row],[Join Date]])</f>
        <v>2024</v>
      </c>
      <c r="E162" s="6" t="s">
        <v>48</v>
      </c>
      <c r="F162" t="str">
        <f>IFERROR(YEAR(Table1[[#This Row],[Exit Date]]), " ")</f>
        <v xml:space="preserve"> </v>
      </c>
      <c r="G162" t="str">
        <f>IFERROR((Table1[[#This Row],[Exit Year]]-Table1[[#This Row],[Join Year]])+1," ")</f>
        <v xml:space="preserve"> </v>
      </c>
      <c r="H162" t="s">
        <v>48</v>
      </c>
      <c r="I162" t="s">
        <v>11</v>
      </c>
      <c r="J162" t="s">
        <v>18</v>
      </c>
      <c r="K162">
        <v>36</v>
      </c>
      <c r="L162" t="str">
        <f>IF(Table1[[#This Row],[Age]]&lt;30,"20-29",
IF(Table1[[#This Row],[Age]]&lt;40,"30-39",
IF(Table1[[#This Row],[Age]]&lt;50,"40-49",
IF(Table1[[#This Row],[Age]]&lt;60,"50-59","60+"))))</f>
        <v>30-39</v>
      </c>
      <c r="M162" t="s">
        <v>24</v>
      </c>
      <c r="N162" t="s">
        <v>37</v>
      </c>
    </row>
    <row r="163" spans="1:14" x14ac:dyDescent="0.35">
      <c r="A163">
        <v>262</v>
      </c>
      <c r="B163" t="s">
        <v>29</v>
      </c>
      <c r="C163" s="6">
        <v>44227</v>
      </c>
      <c r="D163">
        <f>YEAR(Table1[[#This Row],[Join Date]])</f>
        <v>2021</v>
      </c>
      <c r="E163" s="6">
        <v>45322</v>
      </c>
      <c r="F163">
        <f>IFERROR(YEAR(Table1[[#This Row],[Exit Date]]), " ")</f>
        <v>2024</v>
      </c>
      <c r="G163">
        <f>IFERROR((Table1[[#This Row],[Exit Year]]-Table1[[#This Row],[Join Year]])+1," ")</f>
        <v>4</v>
      </c>
      <c r="H163" t="s">
        <v>27</v>
      </c>
      <c r="I163" t="s">
        <v>23</v>
      </c>
      <c r="J163" t="s">
        <v>12</v>
      </c>
      <c r="K163">
        <v>58</v>
      </c>
      <c r="L163" t="str">
        <f>IF(Table1[[#This Row],[Age]]&lt;30,"20-29",
IF(Table1[[#This Row],[Age]]&lt;40,"30-39",
IF(Table1[[#This Row],[Age]]&lt;50,"40-49",
IF(Table1[[#This Row],[Age]]&lt;60,"50-59","60+"))))</f>
        <v>50-59</v>
      </c>
      <c r="M163" t="s">
        <v>13</v>
      </c>
      <c r="N163" t="s">
        <v>25</v>
      </c>
    </row>
    <row r="164" spans="1:14" x14ac:dyDescent="0.35">
      <c r="A164">
        <v>263</v>
      </c>
      <c r="B164" t="s">
        <v>10</v>
      </c>
      <c r="C164" s="6">
        <v>43446</v>
      </c>
      <c r="D164">
        <f>YEAR(Table1[[#This Row],[Join Date]])</f>
        <v>2018</v>
      </c>
      <c r="E164" s="6">
        <v>43936</v>
      </c>
      <c r="F164">
        <f>IFERROR(YEAR(Table1[[#This Row],[Exit Date]]), " ")</f>
        <v>2020</v>
      </c>
      <c r="G164">
        <f>IFERROR((Table1[[#This Row],[Exit Year]]-Table1[[#This Row],[Join Year]])+1," ")</f>
        <v>3</v>
      </c>
      <c r="H164" t="s">
        <v>38</v>
      </c>
      <c r="I164" t="s">
        <v>23</v>
      </c>
      <c r="J164" t="s">
        <v>12</v>
      </c>
      <c r="K164">
        <v>43</v>
      </c>
      <c r="L164" t="str">
        <f>IF(Table1[[#This Row],[Age]]&lt;30,"20-29",
IF(Table1[[#This Row],[Age]]&lt;40,"30-39",
IF(Table1[[#This Row],[Age]]&lt;50,"40-49",
IF(Table1[[#This Row],[Age]]&lt;60,"50-59","60+"))))</f>
        <v>40-49</v>
      </c>
      <c r="M164" t="s">
        <v>42</v>
      </c>
      <c r="N164" t="s">
        <v>35</v>
      </c>
    </row>
    <row r="165" spans="1:14" x14ac:dyDescent="0.35">
      <c r="A165">
        <v>264</v>
      </c>
      <c r="B165" t="s">
        <v>15</v>
      </c>
      <c r="C165" s="6">
        <v>45314</v>
      </c>
      <c r="D165">
        <f>YEAR(Table1[[#This Row],[Join Date]])</f>
        <v>2024</v>
      </c>
      <c r="E165" s="6" t="s">
        <v>48</v>
      </c>
      <c r="F165" t="str">
        <f>IFERROR(YEAR(Table1[[#This Row],[Exit Date]]), " ")</f>
        <v xml:space="preserve"> </v>
      </c>
      <c r="G165" t="str">
        <f>IFERROR((Table1[[#This Row],[Exit Year]]-Table1[[#This Row],[Join Year]])+1," ")</f>
        <v xml:space="preserve"> </v>
      </c>
      <c r="H165" t="s">
        <v>48</v>
      </c>
      <c r="I165" t="s">
        <v>11</v>
      </c>
      <c r="J165" t="s">
        <v>12</v>
      </c>
      <c r="K165">
        <v>40</v>
      </c>
      <c r="L165" t="str">
        <f>IF(Table1[[#This Row],[Age]]&lt;30,"20-29",
IF(Table1[[#This Row],[Age]]&lt;40,"30-39",
IF(Table1[[#This Row],[Age]]&lt;50,"40-49",
IF(Table1[[#This Row],[Age]]&lt;60,"50-59","60+"))))</f>
        <v>40-49</v>
      </c>
      <c r="M165" t="s">
        <v>13</v>
      </c>
      <c r="N165" t="s">
        <v>35</v>
      </c>
    </row>
    <row r="166" spans="1:14" x14ac:dyDescent="0.35">
      <c r="A166">
        <v>265</v>
      </c>
      <c r="B166" t="s">
        <v>15</v>
      </c>
      <c r="C166" s="6">
        <v>43123</v>
      </c>
      <c r="D166">
        <f>YEAR(Table1[[#This Row],[Join Date]])</f>
        <v>2018</v>
      </c>
      <c r="E166" s="6" t="s">
        <v>48</v>
      </c>
      <c r="F166" t="str">
        <f>IFERROR(YEAR(Table1[[#This Row],[Exit Date]]), " ")</f>
        <v xml:space="preserve"> </v>
      </c>
      <c r="G166" t="str">
        <f>IFERROR((Table1[[#This Row],[Exit Year]]-Table1[[#This Row],[Join Year]])+1," ")</f>
        <v xml:space="preserve"> </v>
      </c>
      <c r="H166" t="s">
        <v>48</v>
      </c>
      <c r="I166" t="s">
        <v>11</v>
      </c>
      <c r="J166" t="s">
        <v>18</v>
      </c>
      <c r="K166">
        <v>42</v>
      </c>
      <c r="L166" t="str">
        <f>IF(Table1[[#This Row],[Age]]&lt;30,"20-29",
IF(Table1[[#This Row],[Age]]&lt;40,"30-39",
IF(Table1[[#This Row],[Age]]&lt;50,"40-49",
IF(Table1[[#This Row],[Age]]&lt;60,"50-59","60+"))))</f>
        <v>40-49</v>
      </c>
      <c r="M166" t="s">
        <v>13</v>
      </c>
      <c r="N166" t="s">
        <v>14</v>
      </c>
    </row>
    <row r="167" spans="1:14" x14ac:dyDescent="0.35">
      <c r="A167">
        <v>266</v>
      </c>
      <c r="B167" t="s">
        <v>10</v>
      </c>
      <c r="C167" s="6">
        <v>43717</v>
      </c>
      <c r="D167">
        <f>YEAR(Table1[[#This Row],[Join Date]])</f>
        <v>2019</v>
      </c>
      <c r="E167" s="6">
        <v>44677</v>
      </c>
      <c r="F167">
        <f>IFERROR(YEAR(Table1[[#This Row],[Exit Date]]), " ")</f>
        <v>2022</v>
      </c>
      <c r="G167">
        <f>IFERROR((Table1[[#This Row],[Exit Year]]-Table1[[#This Row],[Join Year]])+1," ")</f>
        <v>4</v>
      </c>
      <c r="H167" t="s">
        <v>40</v>
      </c>
      <c r="I167" t="s">
        <v>23</v>
      </c>
      <c r="J167" t="s">
        <v>12</v>
      </c>
      <c r="K167">
        <v>35</v>
      </c>
      <c r="L167" t="str">
        <f>IF(Table1[[#This Row],[Age]]&lt;30,"20-29",
IF(Table1[[#This Row],[Age]]&lt;40,"30-39",
IF(Table1[[#This Row],[Age]]&lt;50,"40-49",
IF(Table1[[#This Row],[Age]]&lt;60,"50-59","60+"))))</f>
        <v>30-39</v>
      </c>
      <c r="M167" t="s">
        <v>16</v>
      </c>
      <c r="N167" t="s">
        <v>17</v>
      </c>
    </row>
    <row r="168" spans="1:14" x14ac:dyDescent="0.35">
      <c r="A168">
        <v>267</v>
      </c>
      <c r="B168" t="s">
        <v>29</v>
      </c>
      <c r="C168" s="6">
        <v>43534</v>
      </c>
      <c r="D168">
        <f>YEAR(Table1[[#This Row],[Join Date]])</f>
        <v>2019</v>
      </c>
      <c r="E168" s="6">
        <v>44117</v>
      </c>
      <c r="F168">
        <f>IFERROR(YEAR(Table1[[#This Row],[Exit Date]]), " ")</f>
        <v>2020</v>
      </c>
      <c r="G168">
        <f>IFERROR((Table1[[#This Row],[Exit Year]]-Table1[[#This Row],[Join Year]])+1," ")</f>
        <v>2</v>
      </c>
      <c r="H168" t="s">
        <v>38</v>
      </c>
      <c r="I168" t="s">
        <v>23</v>
      </c>
      <c r="J168" t="s">
        <v>18</v>
      </c>
      <c r="K168">
        <v>31</v>
      </c>
      <c r="L168" t="str">
        <f>IF(Table1[[#This Row],[Age]]&lt;30,"20-29",
IF(Table1[[#This Row],[Age]]&lt;40,"30-39",
IF(Table1[[#This Row],[Age]]&lt;50,"40-49",
IF(Table1[[#This Row],[Age]]&lt;60,"50-59","60+"))))</f>
        <v>30-39</v>
      </c>
      <c r="M168" t="s">
        <v>13</v>
      </c>
      <c r="N168" t="s">
        <v>19</v>
      </c>
    </row>
    <row r="169" spans="1:14" x14ac:dyDescent="0.35">
      <c r="A169">
        <v>268</v>
      </c>
      <c r="B169" t="s">
        <v>36</v>
      </c>
      <c r="C169" s="6">
        <v>44619</v>
      </c>
      <c r="D169">
        <f>YEAR(Table1[[#This Row],[Join Date]])</f>
        <v>2022</v>
      </c>
      <c r="E169" s="6" t="s">
        <v>48</v>
      </c>
      <c r="F169" t="str">
        <f>IFERROR(YEAR(Table1[[#This Row],[Exit Date]]), " ")</f>
        <v xml:space="preserve"> </v>
      </c>
      <c r="G169" t="str">
        <f>IFERROR((Table1[[#This Row],[Exit Year]]-Table1[[#This Row],[Join Year]])+1," ")</f>
        <v xml:space="preserve"> </v>
      </c>
      <c r="H169" t="s">
        <v>48</v>
      </c>
      <c r="I169" t="s">
        <v>11</v>
      </c>
      <c r="J169" t="s">
        <v>12</v>
      </c>
      <c r="K169">
        <v>51</v>
      </c>
      <c r="L169" t="str">
        <f>IF(Table1[[#This Row],[Age]]&lt;30,"20-29",
IF(Table1[[#This Row],[Age]]&lt;40,"30-39",
IF(Table1[[#This Row],[Age]]&lt;50,"40-49",
IF(Table1[[#This Row],[Age]]&lt;60,"50-59","60+"))))</f>
        <v>50-59</v>
      </c>
      <c r="M169" t="s">
        <v>20</v>
      </c>
      <c r="N169" t="s">
        <v>21</v>
      </c>
    </row>
    <row r="170" spans="1:14" x14ac:dyDescent="0.35">
      <c r="A170">
        <v>269</v>
      </c>
      <c r="B170" t="s">
        <v>10</v>
      </c>
      <c r="C170" s="6">
        <v>45485</v>
      </c>
      <c r="D170">
        <f>YEAR(Table1[[#This Row],[Join Date]])</f>
        <v>2024</v>
      </c>
      <c r="E170" s="6" t="s">
        <v>48</v>
      </c>
      <c r="F170" t="str">
        <f>IFERROR(YEAR(Table1[[#This Row],[Exit Date]]), " ")</f>
        <v xml:space="preserve"> </v>
      </c>
      <c r="G170" t="str">
        <f>IFERROR((Table1[[#This Row],[Exit Year]]-Table1[[#This Row],[Join Year]])+1," ")</f>
        <v xml:space="preserve"> </v>
      </c>
      <c r="H170" t="s">
        <v>48</v>
      </c>
      <c r="I170" t="s">
        <v>11</v>
      </c>
      <c r="J170" t="s">
        <v>18</v>
      </c>
      <c r="K170">
        <v>48</v>
      </c>
      <c r="L170" t="str">
        <f>IF(Table1[[#This Row],[Age]]&lt;30,"20-29",
IF(Table1[[#This Row],[Age]]&lt;40,"30-39",
IF(Table1[[#This Row],[Age]]&lt;50,"40-49",
IF(Table1[[#This Row],[Age]]&lt;60,"50-59","60+"))))</f>
        <v>40-49</v>
      </c>
      <c r="M170" t="s">
        <v>39</v>
      </c>
      <c r="N170" t="s">
        <v>25</v>
      </c>
    </row>
    <row r="171" spans="1:14" x14ac:dyDescent="0.35">
      <c r="A171">
        <v>270</v>
      </c>
      <c r="B171" t="s">
        <v>29</v>
      </c>
      <c r="C171" s="6">
        <v>43588</v>
      </c>
      <c r="D171">
        <f>YEAR(Table1[[#This Row],[Join Date]])</f>
        <v>2019</v>
      </c>
      <c r="E171" s="6">
        <v>44896</v>
      </c>
      <c r="F171">
        <f>IFERROR(YEAR(Table1[[#This Row],[Exit Date]]), " ")</f>
        <v>2022</v>
      </c>
      <c r="G171">
        <f>IFERROR((Table1[[#This Row],[Exit Year]]-Table1[[#This Row],[Join Year]])+1," ")</f>
        <v>4</v>
      </c>
      <c r="H171" t="s">
        <v>41</v>
      </c>
      <c r="I171" t="s">
        <v>23</v>
      </c>
      <c r="J171" t="s">
        <v>18</v>
      </c>
      <c r="K171">
        <v>41</v>
      </c>
      <c r="L171" t="str">
        <f>IF(Table1[[#This Row],[Age]]&lt;30,"20-29",
IF(Table1[[#This Row],[Age]]&lt;40,"30-39",
IF(Table1[[#This Row],[Age]]&lt;50,"40-49",
IF(Table1[[#This Row],[Age]]&lt;60,"50-59","60+"))))</f>
        <v>40-49</v>
      </c>
      <c r="M171" t="s">
        <v>13</v>
      </c>
      <c r="N171" t="s">
        <v>28</v>
      </c>
    </row>
    <row r="172" spans="1:14" x14ac:dyDescent="0.35">
      <c r="A172">
        <v>271</v>
      </c>
      <c r="B172" t="s">
        <v>36</v>
      </c>
      <c r="C172" s="6">
        <v>44250</v>
      </c>
      <c r="D172">
        <f>YEAR(Table1[[#This Row],[Join Date]])</f>
        <v>2021</v>
      </c>
      <c r="E172" s="6">
        <v>45392</v>
      </c>
      <c r="F172">
        <f>IFERROR(YEAR(Table1[[#This Row],[Exit Date]]), " ")</f>
        <v>2024</v>
      </c>
      <c r="G172">
        <f>IFERROR((Table1[[#This Row],[Exit Year]]-Table1[[#This Row],[Join Year]])+1," ")</f>
        <v>4</v>
      </c>
      <c r="H172" t="s">
        <v>27</v>
      </c>
      <c r="I172" t="s">
        <v>23</v>
      </c>
      <c r="J172" t="s">
        <v>12</v>
      </c>
      <c r="K172">
        <v>63</v>
      </c>
      <c r="L172" t="str">
        <f>IF(Table1[[#This Row],[Age]]&lt;30,"20-29",
IF(Table1[[#This Row],[Age]]&lt;40,"30-39",
IF(Table1[[#This Row],[Age]]&lt;50,"40-49",
IF(Table1[[#This Row],[Age]]&lt;60,"50-59","60+"))))</f>
        <v>60+</v>
      </c>
      <c r="M172" t="s">
        <v>16</v>
      </c>
      <c r="N172" t="s">
        <v>31</v>
      </c>
    </row>
    <row r="173" spans="1:14" x14ac:dyDescent="0.35">
      <c r="A173">
        <v>272</v>
      </c>
      <c r="B173" t="s">
        <v>26</v>
      </c>
      <c r="C173" s="6">
        <v>45244</v>
      </c>
      <c r="D173">
        <f>YEAR(Table1[[#This Row],[Join Date]])</f>
        <v>2023</v>
      </c>
      <c r="E173" s="6">
        <v>45446</v>
      </c>
      <c r="F173">
        <f>IFERROR(YEAR(Table1[[#This Row],[Exit Date]]), " ")</f>
        <v>2024</v>
      </c>
      <c r="G173">
        <f>IFERROR((Table1[[#This Row],[Exit Year]]-Table1[[#This Row],[Join Year]])+1," ")</f>
        <v>2</v>
      </c>
      <c r="H173" t="s">
        <v>40</v>
      </c>
      <c r="I173" t="s">
        <v>23</v>
      </c>
      <c r="J173" t="s">
        <v>18</v>
      </c>
      <c r="K173">
        <v>24</v>
      </c>
      <c r="L173" t="str">
        <f>IF(Table1[[#This Row],[Age]]&lt;30,"20-29",
IF(Table1[[#This Row],[Age]]&lt;40,"30-39",
IF(Table1[[#This Row],[Age]]&lt;50,"40-49",
IF(Table1[[#This Row],[Age]]&lt;60,"50-59","60+"))))</f>
        <v>20-29</v>
      </c>
      <c r="M173" t="s">
        <v>16</v>
      </c>
      <c r="N173" t="s">
        <v>32</v>
      </c>
    </row>
    <row r="174" spans="1:14" x14ac:dyDescent="0.35">
      <c r="A174">
        <v>273</v>
      </c>
      <c r="B174" t="s">
        <v>15</v>
      </c>
      <c r="C174" s="6">
        <v>45256</v>
      </c>
      <c r="D174">
        <f>YEAR(Table1[[#This Row],[Join Date]])</f>
        <v>2023</v>
      </c>
      <c r="E174" s="6" t="s">
        <v>48</v>
      </c>
      <c r="F174" t="str">
        <f>IFERROR(YEAR(Table1[[#This Row],[Exit Date]]), " ")</f>
        <v xml:space="preserve"> </v>
      </c>
      <c r="G174" t="str">
        <f>IFERROR((Table1[[#This Row],[Exit Year]]-Table1[[#This Row],[Join Year]])+1," ")</f>
        <v xml:space="preserve"> </v>
      </c>
      <c r="H174" t="s">
        <v>48</v>
      </c>
      <c r="I174" t="s">
        <v>11</v>
      </c>
      <c r="J174" t="s">
        <v>18</v>
      </c>
      <c r="K174">
        <v>41</v>
      </c>
      <c r="L174" t="str">
        <f>IF(Table1[[#This Row],[Age]]&lt;30,"20-29",
IF(Table1[[#This Row],[Age]]&lt;40,"30-39",
IF(Table1[[#This Row],[Age]]&lt;50,"40-49",
IF(Table1[[#This Row],[Age]]&lt;60,"50-59","60+"))))</f>
        <v>40-49</v>
      </c>
      <c r="M174" t="s">
        <v>20</v>
      </c>
      <c r="N174" t="s">
        <v>33</v>
      </c>
    </row>
    <row r="175" spans="1:14" x14ac:dyDescent="0.35">
      <c r="A175">
        <v>274</v>
      </c>
      <c r="B175" t="s">
        <v>26</v>
      </c>
      <c r="C175" s="6">
        <v>45465</v>
      </c>
      <c r="D175">
        <f>YEAR(Table1[[#This Row],[Join Date]])</f>
        <v>2024</v>
      </c>
      <c r="E175" s="6" t="s">
        <v>48</v>
      </c>
      <c r="F175" t="str">
        <f>IFERROR(YEAR(Table1[[#This Row],[Exit Date]]), " ")</f>
        <v xml:space="preserve"> </v>
      </c>
      <c r="G175" t="str">
        <f>IFERROR((Table1[[#This Row],[Exit Year]]-Table1[[#This Row],[Join Year]])+1," ")</f>
        <v xml:space="preserve"> </v>
      </c>
      <c r="H175" t="s">
        <v>48</v>
      </c>
      <c r="I175" t="s">
        <v>11</v>
      </c>
      <c r="J175" t="s">
        <v>12</v>
      </c>
      <c r="K175">
        <v>40</v>
      </c>
      <c r="L175" t="str">
        <f>IF(Table1[[#This Row],[Age]]&lt;30,"20-29",
IF(Table1[[#This Row],[Age]]&lt;40,"30-39",
IF(Table1[[#This Row],[Age]]&lt;50,"40-49",
IF(Table1[[#This Row],[Age]]&lt;60,"50-59","60+"))))</f>
        <v>40-49</v>
      </c>
      <c r="M175" t="s">
        <v>24</v>
      </c>
      <c r="N175" t="s">
        <v>35</v>
      </c>
    </row>
    <row r="176" spans="1:14" x14ac:dyDescent="0.35">
      <c r="A176">
        <v>275</v>
      </c>
      <c r="B176" t="s">
        <v>10</v>
      </c>
      <c r="C176" s="6">
        <v>43597</v>
      </c>
      <c r="D176">
        <f>YEAR(Table1[[#This Row],[Join Date]])</f>
        <v>2019</v>
      </c>
      <c r="E176" s="6" t="s">
        <v>48</v>
      </c>
      <c r="F176" t="str">
        <f>IFERROR(YEAR(Table1[[#This Row],[Exit Date]]), " ")</f>
        <v xml:space="preserve"> </v>
      </c>
      <c r="G176" t="str">
        <f>IFERROR((Table1[[#This Row],[Exit Year]]-Table1[[#This Row],[Join Year]])+1," ")</f>
        <v xml:space="preserve"> </v>
      </c>
      <c r="H176" t="s">
        <v>48</v>
      </c>
      <c r="I176" t="s">
        <v>11</v>
      </c>
      <c r="J176" t="s">
        <v>12</v>
      </c>
      <c r="K176">
        <v>48</v>
      </c>
      <c r="L176" t="str">
        <f>IF(Table1[[#This Row],[Age]]&lt;30,"20-29",
IF(Table1[[#This Row],[Age]]&lt;40,"30-39",
IF(Table1[[#This Row],[Age]]&lt;50,"40-49",
IF(Table1[[#This Row],[Age]]&lt;60,"50-59","60+"))))</f>
        <v>40-49</v>
      </c>
      <c r="M176" t="s">
        <v>13</v>
      </c>
      <c r="N176" t="s">
        <v>37</v>
      </c>
    </row>
    <row r="177" spans="1:14" x14ac:dyDescent="0.35">
      <c r="A177">
        <v>276</v>
      </c>
      <c r="B177" t="s">
        <v>15</v>
      </c>
      <c r="C177" s="6">
        <v>44866</v>
      </c>
      <c r="D177">
        <f>YEAR(Table1[[#This Row],[Join Date]])</f>
        <v>2022</v>
      </c>
      <c r="E177" s="6" t="s">
        <v>48</v>
      </c>
      <c r="F177" t="str">
        <f>IFERROR(YEAR(Table1[[#This Row],[Exit Date]]), " ")</f>
        <v xml:space="preserve"> </v>
      </c>
      <c r="G177" t="str">
        <f>IFERROR((Table1[[#This Row],[Exit Year]]-Table1[[#This Row],[Join Year]])+1," ")</f>
        <v xml:space="preserve"> </v>
      </c>
      <c r="H177" t="s">
        <v>48</v>
      </c>
      <c r="I177" t="s">
        <v>11</v>
      </c>
      <c r="J177" t="s">
        <v>12</v>
      </c>
      <c r="K177">
        <v>52</v>
      </c>
      <c r="L177" t="str">
        <f>IF(Table1[[#This Row],[Age]]&lt;30,"20-29",
IF(Table1[[#This Row],[Age]]&lt;40,"30-39",
IF(Table1[[#This Row],[Age]]&lt;50,"40-49",
IF(Table1[[#This Row],[Age]]&lt;60,"50-59","60+"))))</f>
        <v>50-59</v>
      </c>
      <c r="M177" t="s">
        <v>42</v>
      </c>
      <c r="N177" t="s">
        <v>19</v>
      </c>
    </row>
    <row r="178" spans="1:14" x14ac:dyDescent="0.35">
      <c r="A178">
        <v>277</v>
      </c>
      <c r="B178" t="s">
        <v>34</v>
      </c>
      <c r="C178" s="6">
        <v>44006</v>
      </c>
      <c r="D178">
        <f>YEAR(Table1[[#This Row],[Join Date]])</f>
        <v>2020</v>
      </c>
      <c r="E178" s="6">
        <v>44463</v>
      </c>
      <c r="F178">
        <f>IFERROR(YEAR(Table1[[#This Row],[Exit Date]]), " ")</f>
        <v>2021</v>
      </c>
      <c r="G178">
        <f>IFERROR((Table1[[#This Row],[Exit Year]]-Table1[[#This Row],[Join Year]])+1," ")</f>
        <v>2</v>
      </c>
      <c r="H178" t="s">
        <v>43</v>
      </c>
      <c r="I178" t="s">
        <v>23</v>
      </c>
      <c r="J178" t="s">
        <v>18</v>
      </c>
      <c r="K178">
        <v>33</v>
      </c>
      <c r="L178" t="str">
        <f>IF(Table1[[#This Row],[Age]]&lt;30,"20-29",
IF(Table1[[#This Row],[Age]]&lt;40,"30-39",
IF(Table1[[#This Row],[Age]]&lt;50,"40-49",
IF(Table1[[#This Row],[Age]]&lt;60,"50-59","60+"))))</f>
        <v>30-39</v>
      </c>
      <c r="M178" t="s">
        <v>13</v>
      </c>
      <c r="N178" t="s">
        <v>25</v>
      </c>
    </row>
    <row r="179" spans="1:14" x14ac:dyDescent="0.35">
      <c r="A179">
        <v>278</v>
      </c>
      <c r="B179" t="s">
        <v>26</v>
      </c>
      <c r="C179" s="6">
        <v>45095</v>
      </c>
      <c r="D179">
        <f>YEAR(Table1[[#This Row],[Join Date]])</f>
        <v>2023</v>
      </c>
      <c r="E179" s="6" t="s">
        <v>48</v>
      </c>
      <c r="F179" t="str">
        <f>IFERROR(YEAR(Table1[[#This Row],[Exit Date]]), " ")</f>
        <v xml:space="preserve"> </v>
      </c>
      <c r="G179" t="str">
        <f>IFERROR((Table1[[#This Row],[Exit Year]]-Table1[[#This Row],[Join Year]])+1," ")</f>
        <v xml:space="preserve"> </v>
      </c>
      <c r="H179" t="s">
        <v>48</v>
      </c>
      <c r="I179" t="s">
        <v>11</v>
      </c>
      <c r="J179" t="s">
        <v>18</v>
      </c>
      <c r="K179">
        <v>51</v>
      </c>
      <c r="L179" t="str">
        <f>IF(Table1[[#This Row],[Age]]&lt;30,"20-29",
IF(Table1[[#This Row],[Age]]&lt;40,"30-39",
IF(Table1[[#This Row],[Age]]&lt;50,"40-49",
IF(Table1[[#This Row],[Age]]&lt;60,"50-59","60+"))))</f>
        <v>50-59</v>
      </c>
      <c r="M179" t="s">
        <v>13</v>
      </c>
      <c r="N179" t="s">
        <v>35</v>
      </c>
    </row>
    <row r="180" spans="1:14" x14ac:dyDescent="0.35">
      <c r="A180">
        <v>279</v>
      </c>
      <c r="B180" t="s">
        <v>10</v>
      </c>
      <c r="C180" s="6">
        <v>44360</v>
      </c>
      <c r="D180">
        <f>YEAR(Table1[[#This Row],[Join Date]])</f>
        <v>2021</v>
      </c>
      <c r="E180" s="6">
        <v>44755</v>
      </c>
      <c r="F180">
        <f>IFERROR(YEAR(Table1[[#This Row],[Exit Date]]), " ")</f>
        <v>2022</v>
      </c>
      <c r="G180">
        <f>IFERROR((Table1[[#This Row],[Exit Year]]-Table1[[#This Row],[Join Year]])+1," ")</f>
        <v>2</v>
      </c>
      <c r="H180" t="s">
        <v>38</v>
      </c>
      <c r="I180" t="s">
        <v>23</v>
      </c>
      <c r="J180" t="s">
        <v>12</v>
      </c>
      <c r="K180">
        <v>46</v>
      </c>
      <c r="L180" t="str">
        <f>IF(Table1[[#This Row],[Age]]&lt;30,"20-29",
IF(Table1[[#This Row],[Age]]&lt;40,"30-39",
IF(Table1[[#This Row],[Age]]&lt;50,"40-49",
IF(Table1[[#This Row],[Age]]&lt;60,"50-59","60+"))))</f>
        <v>40-49</v>
      </c>
      <c r="M180" t="s">
        <v>16</v>
      </c>
      <c r="N180" t="s">
        <v>17</v>
      </c>
    </row>
    <row r="181" spans="1:14" x14ac:dyDescent="0.35">
      <c r="A181">
        <v>280</v>
      </c>
      <c r="B181" t="s">
        <v>26</v>
      </c>
      <c r="C181" s="6">
        <v>43419</v>
      </c>
      <c r="D181">
        <f>YEAR(Table1[[#This Row],[Join Date]])</f>
        <v>2018</v>
      </c>
      <c r="E181" s="6">
        <v>44303</v>
      </c>
      <c r="F181">
        <f>IFERROR(YEAR(Table1[[#This Row],[Exit Date]]), " ")</f>
        <v>2021</v>
      </c>
      <c r="G181">
        <f>IFERROR((Table1[[#This Row],[Exit Year]]-Table1[[#This Row],[Join Year]])+1," ")</f>
        <v>4</v>
      </c>
      <c r="H181" t="s">
        <v>22</v>
      </c>
      <c r="I181" t="s">
        <v>23</v>
      </c>
      <c r="J181" t="s">
        <v>18</v>
      </c>
      <c r="K181">
        <v>53</v>
      </c>
      <c r="L181" t="str">
        <f>IF(Table1[[#This Row],[Age]]&lt;30,"20-29",
IF(Table1[[#This Row],[Age]]&lt;40,"30-39",
IF(Table1[[#This Row],[Age]]&lt;50,"40-49",
IF(Table1[[#This Row],[Age]]&lt;60,"50-59","60+"))))</f>
        <v>50-59</v>
      </c>
      <c r="M181" t="s">
        <v>13</v>
      </c>
      <c r="N181" t="s">
        <v>19</v>
      </c>
    </row>
    <row r="182" spans="1:14" x14ac:dyDescent="0.35">
      <c r="A182">
        <v>281</v>
      </c>
      <c r="B182" t="s">
        <v>36</v>
      </c>
      <c r="C182" s="6">
        <v>44249</v>
      </c>
      <c r="D182">
        <f>YEAR(Table1[[#This Row],[Join Date]])</f>
        <v>2021</v>
      </c>
      <c r="E182" s="6" t="s">
        <v>48</v>
      </c>
      <c r="F182" t="str">
        <f>IFERROR(YEAR(Table1[[#This Row],[Exit Date]]), " ")</f>
        <v xml:space="preserve"> </v>
      </c>
      <c r="G182" t="str">
        <f>IFERROR((Table1[[#This Row],[Exit Year]]-Table1[[#This Row],[Join Year]])+1," ")</f>
        <v xml:space="preserve"> </v>
      </c>
      <c r="H182" t="s">
        <v>48</v>
      </c>
      <c r="I182" t="s">
        <v>11</v>
      </c>
      <c r="J182" t="s">
        <v>12</v>
      </c>
      <c r="K182">
        <v>35</v>
      </c>
      <c r="L182" t="str">
        <f>IF(Table1[[#This Row],[Age]]&lt;30,"20-29",
IF(Table1[[#This Row],[Age]]&lt;40,"30-39",
IF(Table1[[#This Row],[Age]]&lt;50,"40-49",
IF(Table1[[#This Row],[Age]]&lt;60,"50-59","60+"))))</f>
        <v>30-39</v>
      </c>
      <c r="M182" t="s">
        <v>20</v>
      </c>
      <c r="N182" t="s">
        <v>21</v>
      </c>
    </row>
    <row r="183" spans="1:14" x14ac:dyDescent="0.35">
      <c r="A183">
        <v>282</v>
      </c>
      <c r="B183" t="s">
        <v>10</v>
      </c>
      <c r="C183" s="6">
        <v>45533</v>
      </c>
      <c r="D183">
        <f>YEAR(Table1[[#This Row],[Join Date]])</f>
        <v>2024</v>
      </c>
      <c r="E183" s="6" t="s">
        <v>48</v>
      </c>
      <c r="F183" t="str">
        <f>IFERROR(YEAR(Table1[[#This Row],[Exit Date]]), " ")</f>
        <v xml:space="preserve"> </v>
      </c>
      <c r="G183" t="str">
        <f>IFERROR((Table1[[#This Row],[Exit Year]]-Table1[[#This Row],[Join Year]])+1," ")</f>
        <v xml:space="preserve"> </v>
      </c>
      <c r="H183" t="s">
        <v>48</v>
      </c>
      <c r="I183" t="s">
        <v>11</v>
      </c>
      <c r="J183" t="s">
        <v>12</v>
      </c>
      <c r="K183">
        <v>32</v>
      </c>
      <c r="L183" t="str">
        <f>IF(Table1[[#This Row],[Age]]&lt;30,"20-29",
IF(Table1[[#This Row],[Age]]&lt;40,"30-39",
IF(Table1[[#This Row],[Age]]&lt;50,"40-49",
IF(Table1[[#This Row],[Age]]&lt;60,"50-59","60+"))))</f>
        <v>30-39</v>
      </c>
      <c r="M183" t="s">
        <v>44</v>
      </c>
      <c r="N183" t="s">
        <v>25</v>
      </c>
    </row>
    <row r="184" spans="1:14" x14ac:dyDescent="0.35">
      <c r="A184">
        <v>283</v>
      </c>
      <c r="B184" t="s">
        <v>36</v>
      </c>
      <c r="C184" s="6">
        <v>44377</v>
      </c>
      <c r="D184">
        <f>YEAR(Table1[[#This Row],[Join Date]])</f>
        <v>2021</v>
      </c>
      <c r="E184" s="6" t="s">
        <v>48</v>
      </c>
      <c r="F184" t="str">
        <f>IFERROR(YEAR(Table1[[#This Row],[Exit Date]]), " ")</f>
        <v xml:space="preserve"> </v>
      </c>
      <c r="G184" t="str">
        <f>IFERROR((Table1[[#This Row],[Exit Year]]-Table1[[#This Row],[Join Year]])+1," ")</f>
        <v xml:space="preserve"> </v>
      </c>
      <c r="H184" t="s">
        <v>48</v>
      </c>
      <c r="I184" t="s">
        <v>11</v>
      </c>
      <c r="J184" t="s">
        <v>12</v>
      </c>
      <c r="K184">
        <v>46</v>
      </c>
      <c r="L184" t="str">
        <f>IF(Table1[[#This Row],[Age]]&lt;30,"20-29",
IF(Table1[[#This Row],[Age]]&lt;40,"30-39",
IF(Table1[[#This Row],[Age]]&lt;50,"40-49",
IF(Table1[[#This Row],[Age]]&lt;60,"50-59","60+"))))</f>
        <v>40-49</v>
      </c>
      <c r="M184" t="s">
        <v>13</v>
      </c>
      <c r="N184" t="s">
        <v>35</v>
      </c>
    </row>
    <row r="185" spans="1:14" x14ac:dyDescent="0.35">
      <c r="A185">
        <v>284</v>
      </c>
      <c r="B185" t="s">
        <v>10</v>
      </c>
      <c r="C185" s="6">
        <v>44088</v>
      </c>
      <c r="D185">
        <f>YEAR(Table1[[#This Row],[Join Date]])</f>
        <v>2020</v>
      </c>
      <c r="E185" s="6" t="s">
        <v>48</v>
      </c>
      <c r="F185" t="str">
        <f>IFERROR(YEAR(Table1[[#This Row],[Exit Date]]), " ")</f>
        <v xml:space="preserve"> </v>
      </c>
      <c r="G185" t="str">
        <f>IFERROR((Table1[[#This Row],[Exit Year]]-Table1[[#This Row],[Join Year]])+1," ")</f>
        <v xml:space="preserve"> </v>
      </c>
      <c r="H185" t="s">
        <v>48</v>
      </c>
      <c r="I185" t="s">
        <v>11</v>
      </c>
      <c r="J185" t="s">
        <v>18</v>
      </c>
      <c r="K185">
        <v>50</v>
      </c>
      <c r="L185" t="str">
        <f>IF(Table1[[#This Row],[Age]]&lt;30,"20-29",
IF(Table1[[#This Row],[Age]]&lt;40,"30-39",
IF(Table1[[#This Row],[Age]]&lt;50,"40-49",
IF(Table1[[#This Row],[Age]]&lt;60,"50-59","60+"))))</f>
        <v>50-59</v>
      </c>
      <c r="M185" t="s">
        <v>16</v>
      </c>
      <c r="N185" t="s">
        <v>14</v>
      </c>
    </row>
    <row r="186" spans="1:14" x14ac:dyDescent="0.35">
      <c r="A186">
        <v>285</v>
      </c>
      <c r="B186" t="s">
        <v>26</v>
      </c>
      <c r="C186" s="6">
        <v>43373</v>
      </c>
      <c r="D186">
        <f>YEAR(Table1[[#This Row],[Join Date]])</f>
        <v>2018</v>
      </c>
      <c r="E186" s="6">
        <v>44825</v>
      </c>
      <c r="F186">
        <f>IFERROR(YEAR(Table1[[#This Row],[Exit Date]]), " ")</f>
        <v>2022</v>
      </c>
      <c r="G186">
        <f>IFERROR((Table1[[#This Row],[Exit Year]]-Table1[[#This Row],[Join Year]])+1," ")</f>
        <v>5</v>
      </c>
      <c r="H186" t="s">
        <v>27</v>
      </c>
      <c r="I186" t="s">
        <v>23</v>
      </c>
      <c r="J186" t="s">
        <v>12</v>
      </c>
      <c r="K186">
        <v>64</v>
      </c>
      <c r="L186" t="str">
        <f>IF(Table1[[#This Row],[Age]]&lt;30,"20-29",
IF(Table1[[#This Row],[Age]]&lt;40,"30-39",
IF(Table1[[#This Row],[Age]]&lt;50,"40-49",
IF(Table1[[#This Row],[Age]]&lt;60,"50-59","60+"))))</f>
        <v>60+</v>
      </c>
      <c r="M186" t="s">
        <v>16</v>
      </c>
      <c r="N186" t="s">
        <v>19</v>
      </c>
    </row>
    <row r="187" spans="1:14" x14ac:dyDescent="0.35">
      <c r="A187">
        <v>286</v>
      </c>
      <c r="B187" t="s">
        <v>26</v>
      </c>
      <c r="C187" s="6">
        <v>43314</v>
      </c>
      <c r="D187">
        <f>YEAR(Table1[[#This Row],[Join Date]])</f>
        <v>2018</v>
      </c>
      <c r="E187" s="6" t="s">
        <v>48</v>
      </c>
      <c r="F187" t="str">
        <f>IFERROR(YEAR(Table1[[#This Row],[Exit Date]]), " ")</f>
        <v xml:space="preserve"> </v>
      </c>
      <c r="G187" t="str">
        <f>IFERROR((Table1[[#This Row],[Exit Year]]-Table1[[#This Row],[Join Year]])+1," ")</f>
        <v xml:space="preserve"> </v>
      </c>
      <c r="H187" t="s">
        <v>48</v>
      </c>
      <c r="I187" t="s">
        <v>11</v>
      </c>
      <c r="J187" t="s">
        <v>18</v>
      </c>
      <c r="K187">
        <v>29</v>
      </c>
      <c r="L187" t="str">
        <f>IF(Table1[[#This Row],[Age]]&lt;30,"20-29",
IF(Table1[[#This Row],[Age]]&lt;40,"30-39",
IF(Table1[[#This Row],[Age]]&lt;50,"40-49",
IF(Table1[[#This Row],[Age]]&lt;60,"50-59","60+"))))</f>
        <v>20-29</v>
      </c>
      <c r="M187" t="s">
        <v>20</v>
      </c>
      <c r="N187" t="s">
        <v>21</v>
      </c>
    </row>
    <row r="188" spans="1:14" x14ac:dyDescent="0.35">
      <c r="A188">
        <v>287</v>
      </c>
      <c r="B188" t="s">
        <v>26</v>
      </c>
      <c r="C188" s="6">
        <v>44418</v>
      </c>
      <c r="D188">
        <f>YEAR(Table1[[#This Row],[Join Date]])</f>
        <v>2021</v>
      </c>
      <c r="E188" s="6">
        <v>45628</v>
      </c>
      <c r="F188">
        <f>IFERROR(YEAR(Table1[[#This Row],[Exit Date]]), " ")</f>
        <v>2024</v>
      </c>
      <c r="G188">
        <f>IFERROR((Table1[[#This Row],[Exit Year]]-Table1[[#This Row],[Join Year]])+1," ")</f>
        <v>4</v>
      </c>
      <c r="H188" t="s">
        <v>22</v>
      </c>
      <c r="I188" t="s">
        <v>23</v>
      </c>
      <c r="J188" t="s">
        <v>12</v>
      </c>
      <c r="K188">
        <v>27</v>
      </c>
      <c r="L188" t="str">
        <f>IF(Table1[[#This Row],[Age]]&lt;30,"20-29",
IF(Table1[[#This Row],[Age]]&lt;40,"30-39",
IF(Table1[[#This Row],[Age]]&lt;50,"40-49",
IF(Table1[[#This Row],[Age]]&lt;60,"50-59","60+"))))</f>
        <v>20-29</v>
      </c>
      <c r="M188" t="s">
        <v>24</v>
      </c>
      <c r="N188" t="s">
        <v>37</v>
      </c>
    </row>
    <row r="189" spans="1:14" x14ac:dyDescent="0.35">
      <c r="A189">
        <v>288</v>
      </c>
      <c r="B189" t="s">
        <v>34</v>
      </c>
      <c r="C189" s="6">
        <v>44324</v>
      </c>
      <c r="D189">
        <f>YEAR(Table1[[#This Row],[Join Date]])</f>
        <v>2021</v>
      </c>
      <c r="E189" s="6">
        <v>45076</v>
      </c>
      <c r="F189">
        <f>IFERROR(YEAR(Table1[[#This Row],[Exit Date]]), " ")</f>
        <v>2023</v>
      </c>
      <c r="G189">
        <f>IFERROR((Table1[[#This Row],[Exit Year]]-Table1[[#This Row],[Join Year]])+1," ")</f>
        <v>3</v>
      </c>
      <c r="H189" t="s">
        <v>40</v>
      </c>
      <c r="I189" t="s">
        <v>23</v>
      </c>
      <c r="J189" t="s">
        <v>18</v>
      </c>
      <c r="K189">
        <v>31</v>
      </c>
      <c r="L189" t="str">
        <f>IF(Table1[[#This Row],[Age]]&lt;30,"20-29",
IF(Table1[[#This Row],[Age]]&lt;40,"30-39",
IF(Table1[[#This Row],[Age]]&lt;50,"40-49",
IF(Table1[[#This Row],[Age]]&lt;60,"50-59","60+"))))</f>
        <v>30-39</v>
      </c>
      <c r="M189" t="s">
        <v>13</v>
      </c>
      <c r="N189" t="s">
        <v>25</v>
      </c>
    </row>
    <row r="190" spans="1:14" x14ac:dyDescent="0.35">
      <c r="A190">
        <v>289</v>
      </c>
      <c r="B190" t="s">
        <v>10</v>
      </c>
      <c r="C190" s="6">
        <v>43513</v>
      </c>
      <c r="D190">
        <f>YEAR(Table1[[#This Row],[Join Date]])</f>
        <v>2019</v>
      </c>
      <c r="E190" s="6">
        <v>44923</v>
      </c>
      <c r="F190">
        <f>IFERROR(YEAR(Table1[[#This Row],[Exit Date]]), " ")</f>
        <v>2022</v>
      </c>
      <c r="G190">
        <f>IFERROR((Table1[[#This Row],[Exit Year]]-Table1[[#This Row],[Join Year]])+1," ")</f>
        <v>4</v>
      </c>
      <c r="H190" t="s">
        <v>38</v>
      </c>
      <c r="I190" t="s">
        <v>23</v>
      </c>
      <c r="J190" t="s">
        <v>18</v>
      </c>
      <c r="K190">
        <v>24</v>
      </c>
      <c r="L190" t="str">
        <f>IF(Table1[[#This Row],[Age]]&lt;30,"20-29",
IF(Table1[[#This Row],[Age]]&lt;40,"30-39",
IF(Table1[[#This Row],[Age]]&lt;50,"40-49",
IF(Table1[[#This Row],[Age]]&lt;60,"50-59","60+"))))</f>
        <v>20-29</v>
      </c>
      <c r="M190" t="s">
        <v>44</v>
      </c>
      <c r="N190" t="s">
        <v>35</v>
      </c>
    </row>
    <row r="191" spans="1:14" x14ac:dyDescent="0.35">
      <c r="A191">
        <v>290</v>
      </c>
      <c r="B191" t="s">
        <v>36</v>
      </c>
      <c r="C191" s="6">
        <v>44180</v>
      </c>
      <c r="D191">
        <f>YEAR(Table1[[#This Row],[Join Date]])</f>
        <v>2020</v>
      </c>
      <c r="E191" s="6" t="s">
        <v>48</v>
      </c>
      <c r="F191" t="str">
        <f>IFERROR(YEAR(Table1[[#This Row],[Exit Date]]), " ")</f>
        <v xml:space="preserve"> </v>
      </c>
      <c r="G191" t="str">
        <f>IFERROR((Table1[[#This Row],[Exit Year]]-Table1[[#This Row],[Join Year]])+1," ")</f>
        <v xml:space="preserve"> </v>
      </c>
      <c r="H191" t="s">
        <v>48</v>
      </c>
      <c r="I191" t="s">
        <v>11</v>
      </c>
      <c r="J191" t="s">
        <v>12</v>
      </c>
      <c r="K191">
        <v>37</v>
      </c>
      <c r="L191" t="str">
        <f>IF(Table1[[#This Row],[Age]]&lt;30,"20-29",
IF(Table1[[#This Row],[Age]]&lt;40,"30-39",
IF(Table1[[#This Row],[Age]]&lt;50,"40-49",
IF(Table1[[#This Row],[Age]]&lt;60,"50-59","60+"))))</f>
        <v>30-39</v>
      </c>
      <c r="M191" t="s">
        <v>13</v>
      </c>
      <c r="N191" t="s">
        <v>37</v>
      </c>
    </row>
    <row r="192" spans="1:14" x14ac:dyDescent="0.35">
      <c r="A192">
        <v>291</v>
      </c>
      <c r="B192" t="s">
        <v>34</v>
      </c>
      <c r="C192" s="6">
        <v>44099</v>
      </c>
      <c r="D192">
        <f>YEAR(Table1[[#This Row],[Join Date]])</f>
        <v>2020</v>
      </c>
      <c r="E192" s="6" t="s">
        <v>48</v>
      </c>
      <c r="F192" t="str">
        <f>IFERROR(YEAR(Table1[[#This Row],[Exit Date]]), " ")</f>
        <v xml:space="preserve"> </v>
      </c>
      <c r="G192" t="str">
        <f>IFERROR((Table1[[#This Row],[Exit Year]]-Table1[[#This Row],[Join Year]])+1," ")</f>
        <v xml:space="preserve"> </v>
      </c>
      <c r="H192" t="s">
        <v>48</v>
      </c>
      <c r="I192" t="s">
        <v>11</v>
      </c>
      <c r="J192" t="s">
        <v>18</v>
      </c>
      <c r="K192">
        <v>23</v>
      </c>
      <c r="L192" t="str">
        <f>IF(Table1[[#This Row],[Age]]&lt;30,"20-29",
IF(Table1[[#This Row],[Age]]&lt;40,"30-39",
IF(Table1[[#This Row],[Age]]&lt;50,"40-49",
IF(Table1[[#This Row],[Age]]&lt;60,"50-59","60+"))))</f>
        <v>20-29</v>
      </c>
      <c r="M192" t="s">
        <v>13</v>
      </c>
      <c r="N192" t="s">
        <v>25</v>
      </c>
    </row>
    <row r="193" spans="1:14" x14ac:dyDescent="0.35">
      <c r="A193">
        <v>292</v>
      </c>
      <c r="B193" t="s">
        <v>34</v>
      </c>
      <c r="C193" s="6">
        <v>45632</v>
      </c>
      <c r="D193">
        <f>YEAR(Table1[[#This Row],[Join Date]])</f>
        <v>2024</v>
      </c>
      <c r="E193" s="6" t="s">
        <v>48</v>
      </c>
      <c r="F193" t="str">
        <f>IFERROR(YEAR(Table1[[#This Row],[Exit Date]]), " ")</f>
        <v xml:space="preserve"> </v>
      </c>
      <c r="G193" t="str">
        <f>IFERROR((Table1[[#This Row],[Exit Year]]-Table1[[#This Row],[Join Year]])+1," ")</f>
        <v xml:space="preserve"> </v>
      </c>
      <c r="H193" t="s">
        <v>48</v>
      </c>
      <c r="I193" t="s">
        <v>11</v>
      </c>
      <c r="J193" t="s">
        <v>18</v>
      </c>
      <c r="K193">
        <v>31</v>
      </c>
      <c r="L193" t="str">
        <f>IF(Table1[[#This Row],[Age]]&lt;30,"20-29",
IF(Table1[[#This Row],[Age]]&lt;40,"30-39",
IF(Table1[[#This Row],[Age]]&lt;50,"40-49",
IF(Table1[[#This Row],[Age]]&lt;60,"50-59","60+"))))</f>
        <v>30-39</v>
      </c>
      <c r="M193" t="s">
        <v>16</v>
      </c>
      <c r="N193" t="s">
        <v>35</v>
      </c>
    </row>
    <row r="194" spans="1:14" x14ac:dyDescent="0.35">
      <c r="A194">
        <v>293</v>
      </c>
      <c r="B194" t="s">
        <v>36</v>
      </c>
      <c r="C194" s="6">
        <v>45294</v>
      </c>
      <c r="D194">
        <f>YEAR(Table1[[#This Row],[Join Date]])</f>
        <v>2024</v>
      </c>
      <c r="E194" s="6" t="s">
        <v>48</v>
      </c>
      <c r="F194" t="str">
        <f>IFERROR(YEAR(Table1[[#This Row],[Exit Date]]), " ")</f>
        <v xml:space="preserve"> </v>
      </c>
      <c r="G194" t="str">
        <f>IFERROR((Table1[[#This Row],[Exit Year]]-Table1[[#This Row],[Join Year]])+1," ")</f>
        <v xml:space="preserve"> </v>
      </c>
      <c r="H194" t="s">
        <v>48</v>
      </c>
      <c r="I194" t="s">
        <v>11</v>
      </c>
      <c r="J194" t="s">
        <v>12</v>
      </c>
      <c r="K194">
        <v>52</v>
      </c>
      <c r="L194" t="str">
        <f>IF(Table1[[#This Row],[Age]]&lt;30,"20-29",
IF(Table1[[#This Row],[Age]]&lt;40,"30-39",
IF(Table1[[#This Row],[Age]]&lt;50,"40-49",
IF(Table1[[#This Row],[Age]]&lt;60,"50-59","60+"))))</f>
        <v>50-59</v>
      </c>
      <c r="M194" t="s">
        <v>13</v>
      </c>
      <c r="N194" t="s">
        <v>35</v>
      </c>
    </row>
    <row r="195" spans="1:14" x14ac:dyDescent="0.35">
      <c r="A195">
        <v>294</v>
      </c>
      <c r="B195" t="s">
        <v>26</v>
      </c>
      <c r="C195" s="6">
        <v>44590</v>
      </c>
      <c r="D195">
        <f>YEAR(Table1[[#This Row],[Join Date]])</f>
        <v>2022</v>
      </c>
      <c r="E195" s="6" t="s">
        <v>48</v>
      </c>
      <c r="F195" t="str">
        <f>IFERROR(YEAR(Table1[[#This Row],[Exit Date]]), " ")</f>
        <v xml:space="preserve"> </v>
      </c>
      <c r="G195" t="str">
        <f>IFERROR((Table1[[#This Row],[Exit Year]]-Table1[[#This Row],[Join Year]])+1," ")</f>
        <v xml:space="preserve"> </v>
      </c>
      <c r="H195" t="s">
        <v>48</v>
      </c>
      <c r="I195" t="s">
        <v>11</v>
      </c>
      <c r="J195" t="s">
        <v>18</v>
      </c>
      <c r="K195">
        <v>25</v>
      </c>
      <c r="L195" t="str">
        <f>IF(Table1[[#This Row],[Age]]&lt;30,"20-29",
IF(Table1[[#This Row],[Age]]&lt;40,"30-39",
IF(Table1[[#This Row],[Age]]&lt;50,"40-49",
IF(Table1[[#This Row],[Age]]&lt;60,"50-59","60+"))))</f>
        <v>20-29</v>
      </c>
      <c r="M195" t="s">
        <v>20</v>
      </c>
      <c r="N195" t="s">
        <v>14</v>
      </c>
    </row>
    <row r="196" spans="1:14" x14ac:dyDescent="0.35">
      <c r="A196">
        <v>295</v>
      </c>
      <c r="B196" t="s">
        <v>15</v>
      </c>
      <c r="C196" s="6">
        <v>45215</v>
      </c>
      <c r="D196">
        <f>YEAR(Table1[[#This Row],[Join Date]])</f>
        <v>2023</v>
      </c>
      <c r="E196" s="6" t="s">
        <v>48</v>
      </c>
      <c r="F196" t="str">
        <f>IFERROR(YEAR(Table1[[#This Row],[Exit Date]]), " ")</f>
        <v xml:space="preserve"> </v>
      </c>
      <c r="G196" t="str">
        <f>IFERROR((Table1[[#This Row],[Exit Year]]-Table1[[#This Row],[Join Year]])+1," ")</f>
        <v xml:space="preserve"> </v>
      </c>
      <c r="H196" t="s">
        <v>48</v>
      </c>
      <c r="I196" t="s">
        <v>11</v>
      </c>
      <c r="J196" t="s">
        <v>18</v>
      </c>
      <c r="K196">
        <v>46</v>
      </c>
      <c r="L196" t="str">
        <f>IF(Table1[[#This Row],[Age]]&lt;30,"20-29",
IF(Table1[[#This Row],[Age]]&lt;40,"30-39",
IF(Table1[[#This Row],[Age]]&lt;50,"40-49",
IF(Table1[[#This Row],[Age]]&lt;60,"50-59","60+"))))</f>
        <v>40-49</v>
      </c>
      <c r="M196" t="s">
        <v>39</v>
      </c>
      <c r="N196" t="s">
        <v>19</v>
      </c>
    </row>
    <row r="197" spans="1:14" x14ac:dyDescent="0.35">
      <c r="A197">
        <v>296</v>
      </c>
      <c r="B197" t="s">
        <v>15</v>
      </c>
      <c r="C197" s="6">
        <v>43624</v>
      </c>
      <c r="D197">
        <f>YEAR(Table1[[#This Row],[Join Date]])</f>
        <v>2019</v>
      </c>
      <c r="E197" s="6">
        <v>44228</v>
      </c>
      <c r="F197">
        <f>IFERROR(YEAR(Table1[[#This Row],[Exit Date]]), " ")</f>
        <v>2021</v>
      </c>
      <c r="G197">
        <f>IFERROR((Table1[[#This Row],[Exit Year]]-Table1[[#This Row],[Join Year]])+1," ")</f>
        <v>3</v>
      </c>
      <c r="H197" t="s">
        <v>41</v>
      </c>
      <c r="I197" t="s">
        <v>23</v>
      </c>
      <c r="J197" t="s">
        <v>12</v>
      </c>
      <c r="K197">
        <v>24</v>
      </c>
      <c r="L197" t="str">
        <f>IF(Table1[[#This Row],[Age]]&lt;30,"20-29",
IF(Table1[[#This Row],[Age]]&lt;40,"30-39",
IF(Table1[[#This Row],[Age]]&lt;50,"40-49",
IF(Table1[[#This Row],[Age]]&lt;60,"50-59","60+"))))</f>
        <v>20-29</v>
      </c>
      <c r="M197" t="s">
        <v>13</v>
      </c>
      <c r="N197" t="s">
        <v>21</v>
      </c>
    </row>
    <row r="198" spans="1:14" x14ac:dyDescent="0.35">
      <c r="A198">
        <v>297</v>
      </c>
      <c r="B198" t="s">
        <v>15</v>
      </c>
      <c r="C198" s="6">
        <v>44514</v>
      </c>
      <c r="D198">
        <f>YEAR(Table1[[#This Row],[Join Date]])</f>
        <v>2021</v>
      </c>
      <c r="E198" s="6">
        <v>45529</v>
      </c>
      <c r="F198">
        <f>IFERROR(YEAR(Table1[[#This Row],[Exit Date]]), " ")</f>
        <v>2024</v>
      </c>
      <c r="G198">
        <f>IFERROR((Table1[[#This Row],[Exit Year]]-Table1[[#This Row],[Join Year]])+1," ")</f>
        <v>4</v>
      </c>
      <c r="H198" t="s">
        <v>41</v>
      </c>
      <c r="I198" t="s">
        <v>23</v>
      </c>
      <c r="J198" t="s">
        <v>18</v>
      </c>
      <c r="K198">
        <v>38</v>
      </c>
      <c r="L198" t="str">
        <f>IF(Table1[[#This Row],[Age]]&lt;30,"20-29",
IF(Table1[[#This Row],[Age]]&lt;40,"30-39",
IF(Table1[[#This Row],[Age]]&lt;50,"40-49",
IF(Table1[[#This Row],[Age]]&lt;60,"50-59","60+"))))</f>
        <v>30-39</v>
      </c>
      <c r="M198" t="s">
        <v>16</v>
      </c>
      <c r="N198" t="s">
        <v>37</v>
      </c>
    </row>
    <row r="199" spans="1:14" x14ac:dyDescent="0.35">
      <c r="A199">
        <v>298</v>
      </c>
      <c r="B199" t="s">
        <v>29</v>
      </c>
      <c r="C199" s="6">
        <v>43700</v>
      </c>
      <c r="D199">
        <f>YEAR(Table1[[#This Row],[Join Date]])</f>
        <v>2019</v>
      </c>
      <c r="E199" s="6" t="s">
        <v>48</v>
      </c>
      <c r="F199" t="str">
        <f>IFERROR(YEAR(Table1[[#This Row],[Exit Date]]), " ")</f>
        <v xml:space="preserve"> </v>
      </c>
      <c r="G199" t="str">
        <f>IFERROR((Table1[[#This Row],[Exit Year]]-Table1[[#This Row],[Join Year]])+1," ")</f>
        <v xml:space="preserve"> </v>
      </c>
      <c r="H199" t="s">
        <v>48</v>
      </c>
      <c r="I199" t="s">
        <v>11</v>
      </c>
      <c r="J199" t="s">
        <v>12</v>
      </c>
      <c r="K199">
        <v>49</v>
      </c>
      <c r="L199" t="str">
        <f>IF(Table1[[#This Row],[Age]]&lt;30,"20-29",
IF(Table1[[#This Row],[Age]]&lt;40,"30-39",
IF(Table1[[#This Row],[Age]]&lt;50,"40-49",
IF(Table1[[#This Row],[Age]]&lt;60,"50-59","60+"))))</f>
        <v>40-49</v>
      </c>
      <c r="M199" t="s">
        <v>16</v>
      </c>
      <c r="N199" t="s">
        <v>25</v>
      </c>
    </row>
    <row r="200" spans="1:14" x14ac:dyDescent="0.35">
      <c r="A200">
        <v>299</v>
      </c>
      <c r="B200" t="s">
        <v>34</v>
      </c>
      <c r="C200" s="6">
        <v>45540</v>
      </c>
      <c r="D200">
        <f>YEAR(Table1[[#This Row],[Join Date]])</f>
        <v>2024</v>
      </c>
      <c r="E200" s="6" t="s">
        <v>48</v>
      </c>
      <c r="F200" t="str">
        <f>IFERROR(YEAR(Table1[[#This Row],[Exit Date]]), " ")</f>
        <v xml:space="preserve"> </v>
      </c>
      <c r="G200" t="str">
        <f>IFERROR((Table1[[#This Row],[Exit Year]]-Table1[[#This Row],[Join Year]])+1," ")</f>
        <v xml:space="preserve"> </v>
      </c>
      <c r="H200" t="s">
        <v>48</v>
      </c>
      <c r="I200" t="s">
        <v>11</v>
      </c>
      <c r="J200" t="s">
        <v>12</v>
      </c>
      <c r="K200">
        <v>31</v>
      </c>
      <c r="L200" t="str">
        <f>IF(Table1[[#This Row],[Age]]&lt;30,"20-29",
IF(Table1[[#This Row],[Age]]&lt;40,"30-39",
IF(Table1[[#This Row],[Age]]&lt;50,"40-49",
IF(Table1[[#This Row],[Age]]&lt;60,"50-59","60+"))))</f>
        <v>30-39</v>
      </c>
      <c r="M200" t="s">
        <v>20</v>
      </c>
      <c r="N200" t="s">
        <v>35</v>
      </c>
    </row>
    <row r="201" spans="1:14" x14ac:dyDescent="0.35">
      <c r="A201">
        <v>300</v>
      </c>
      <c r="B201" t="s">
        <v>10</v>
      </c>
      <c r="C201" s="6">
        <v>43297</v>
      </c>
      <c r="D201">
        <f>YEAR(Table1[[#This Row],[Join Date]])</f>
        <v>2018</v>
      </c>
      <c r="E201" s="6">
        <v>44682</v>
      </c>
      <c r="F201">
        <f>IFERROR(YEAR(Table1[[#This Row],[Exit Date]]), " ")</f>
        <v>2022</v>
      </c>
      <c r="G201">
        <f>IFERROR((Table1[[#This Row],[Exit Year]]-Table1[[#This Row],[Join Year]])+1," ")</f>
        <v>5</v>
      </c>
      <c r="H201" t="s">
        <v>40</v>
      </c>
      <c r="I201" t="s">
        <v>23</v>
      </c>
      <c r="J201" t="s">
        <v>12</v>
      </c>
      <c r="K201">
        <v>51</v>
      </c>
      <c r="L201" t="str">
        <f>IF(Table1[[#This Row],[Age]]&lt;30,"20-29",
IF(Table1[[#This Row],[Age]]&lt;40,"30-39",
IF(Table1[[#This Row],[Age]]&lt;50,"40-49",
IF(Table1[[#This Row],[Age]]&lt;60,"50-59","60+"))))</f>
        <v>50-59</v>
      </c>
      <c r="M201" t="s">
        <v>24</v>
      </c>
      <c r="N201" t="s">
        <v>14</v>
      </c>
    </row>
    <row r="202" spans="1:14" x14ac:dyDescent="0.35">
      <c r="A202">
        <v>301</v>
      </c>
      <c r="B202" t="s">
        <v>10</v>
      </c>
      <c r="C202" s="6">
        <v>43407</v>
      </c>
      <c r="D202">
        <f>YEAR(Table1[[#This Row],[Join Date]])</f>
        <v>2018</v>
      </c>
      <c r="E202" s="6" t="s">
        <v>48</v>
      </c>
      <c r="F202" t="str">
        <f>IFERROR(YEAR(Table1[[#This Row],[Exit Date]]), " ")</f>
        <v xml:space="preserve"> </v>
      </c>
      <c r="G202" t="str">
        <f>IFERROR((Table1[[#This Row],[Exit Year]]-Table1[[#This Row],[Join Year]])+1," ")</f>
        <v xml:space="preserve"> </v>
      </c>
      <c r="H202" t="s">
        <v>48</v>
      </c>
      <c r="I202" t="s">
        <v>11</v>
      </c>
      <c r="J202" t="s">
        <v>18</v>
      </c>
      <c r="K202">
        <v>27</v>
      </c>
      <c r="L202" t="str">
        <f>IF(Table1[[#This Row],[Age]]&lt;30,"20-29",
IF(Table1[[#This Row],[Age]]&lt;40,"30-39",
IF(Table1[[#This Row],[Age]]&lt;50,"40-49",
IF(Table1[[#This Row],[Age]]&lt;60,"50-59","60+"))))</f>
        <v>20-29</v>
      </c>
      <c r="M202" t="s">
        <v>13</v>
      </c>
      <c r="N202" t="s">
        <v>17</v>
      </c>
    </row>
    <row r="203" spans="1:14" x14ac:dyDescent="0.35">
      <c r="A203">
        <v>302</v>
      </c>
      <c r="B203" t="s">
        <v>15</v>
      </c>
      <c r="C203" s="6">
        <v>44121</v>
      </c>
      <c r="D203">
        <f>YEAR(Table1[[#This Row],[Join Date]])</f>
        <v>2020</v>
      </c>
      <c r="E203" s="6" t="s">
        <v>48</v>
      </c>
      <c r="F203" t="str">
        <f>IFERROR(YEAR(Table1[[#This Row],[Exit Date]]), " ")</f>
        <v xml:space="preserve"> </v>
      </c>
      <c r="G203" t="str">
        <f>IFERROR((Table1[[#This Row],[Exit Year]]-Table1[[#This Row],[Join Year]])+1," ")</f>
        <v xml:space="preserve"> </v>
      </c>
      <c r="H203" t="s">
        <v>48</v>
      </c>
      <c r="I203" t="s">
        <v>11</v>
      </c>
      <c r="J203" t="s">
        <v>12</v>
      </c>
      <c r="K203">
        <v>22</v>
      </c>
      <c r="L203" t="str">
        <f>IF(Table1[[#This Row],[Age]]&lt;30,"20-29",
IF(Table1[[#This Row],[Age]]&lt;40,"30-39",
IF(Table1[[#This Row],[Age]]&lt;50,"40-49",
IF(Table1[[#This Row],[Age]]&lt;60,"50-59","60+"))))</f>
        <v>20-29</v>
      </c>
      <c r="M203" t="s">
        <v>30</v>
      </c>
      <c r="N203" t="s">
        <v>19</v>
      </c>
    </row>
    <row r="204" spans="1:14" x14ac:dyDescent="0.35">
      <c r="A204">
        <v>303</v>
      </c>
      <c r="B204" t="s">
        <v>15</v>
      </c>
      <c r="C204" s="6">
        <v>44423</v>
      </c>
      <c r="D204">
        <f>YEAR(Table1[[#This Row],[Join Date]])</f>
        <v>2021</v>
      </c>
      <c r="E204" s="6" t="s">
        <v>48</v>
      </c>
      <c r="F204" t="str">
        <f>IFERROR(YEAR(Table1[[#This Row],[Exit Date]]), " ")</f>
        <v xml:space="preserve"> </v>
      </c>
      <c r="G204" t="str">
        <f>IFERROR((Table1[[#This Row],[Exit Year]]-Table1[[#This Row],[Join Year]])+1," ")</f>
        <v xml:space="preserve"> </v>
      </c>
      <c r="H204" t="s">
        <v>48</v>
      </c>
      <c r="I204" t="s">
        <v>11</v>
      </c>
      <c r="J204" t="s">
        <v>18</v>
      </c>
      <c r="K204">
        <v>50</v>
      </c>
      <c r="L204" t="str">
        <f>IF(Table1[[#This Row],[Age]]&lt;30,"20-29",
IF(Table1[[#This Row],[Age]]&lt;40,"30-39",
IF(Table1[[#This Row],[Age]]&lt;50,"40-49",
IF(Table1[[#This Row],[Age]]&lt;60,"50-59","60+"))))</f>
        <v>50-59</v>
      </c>
      <c r="M204" t="s">
        <v>13</v>
      </c>
      <c r="N204" t="s">
        <v>21</v>
      </c>
    </row>
    <row r="205" spans="1:14" x14ac:dyDescent="0.35">
      <c r="A205">
        <v>304</v>
      </c>
      <c r="B205" t="s">
        <v>15</v>
      </c>
      <c r="C205" s="6">
        <v>45087</v>
      </c>
      <c r="D205">
        <f>YEAR(Table1[[#This Row],[Join Date]])</f>
        <v>2023</v>
      </c>
      <c r="E205" s="6" t="s">
        <v>48</v>
      </c>
      <c r="F205" t="str">
        <f>IFERROR(YEAR(Table1[[#This Row],[Exit Date]]), " ")</f>
        <v xml:space="preserve"> </v>
      </c>
      <c r="G205" t="str">
        <f>IFERROR((Table1[[#This Row],[Exit Year]]-Table1[[#This Row],[Join Year]])+1," ")</f>
        <v xml:space="preserve"> </v>
      </c>
      <c r="H205" t="s">
        <v>48</v>
      </c>
      <c r="I205" t="s">
        <v>11</v>
      </c>
      <c r="J205" t="s">
        <v>12</v>
      </c>
      <c r="K205">
        <v>24</v>
      </c>
      <c r="L205" t="str">
        <f>IF(Table1[[#This Row],[Age]]&lt;30,"20-29",
IF(Table1[[#This Row],[Age]]&lt;40,"30-39",
IF(Table1[[#This Row],[Age]]&lt;50,"40-49",
IF(Table1[[#This Row],[Age]]&lt;60,"50-59","60+"))))</f>
        <v>20-29</v>
      </c>
      <c r="M205" t="s">
        <v>13</v>
      </c>
      <c r="N205" t="s">
        <v>25</v>
      </c>
    </row>
    <row r="206" spans="1:14" x14ac:dyDescent="0.35">
      <c r="A206">
        <v>305</v>
      </c>
      <c r="B206" t="s">
        <v>15</v>
      </c>
      <c r="C206" s="6">
        <v>43479</v>
      </c>
      <c r="D206">
        <f>YEAR(Table1[[#This Row],[Join Date]])</f>
        <v>2019</v>
      </c>
      <c r="E206" s="6">
        <v>44449</v>
      </c>
      <c r="F206">
        <f>IFERROR(YEAR(Table1[[#This Row],[Exit Date]]), " ")</f>
        <v>2021</v>
      </c>
      <c r="G206">
        <f>IFERROR((Table1[[#This Row],[Exit Year]]-Table1[[#This Row],[Join Year]])+1," ")</f>
        <v>3</v>
      </c>
      <c r="H206" t="s">
        <v>22</v>
      </c>
      <c r="I206" t="s">
        <v>23</v>
      </c>
      <c r="J206" t="s">
        <v>18</v>
      </c>
      <c r="K206">
        <v>50</v>
      </c>
      <c r="L206" t="str">
        <f>IF(Table1[[#This Row],[Age]]&lt;30,"20-29",
IF(Table1[[#This Row],[Age]]&lt;40,"30-39",
IF(Table1[[#This Row],[Age]]&lt;50,"40-49",
IF(Table1[[#This Row],[Age]]&lt;60,"50-59","60+"))))</f>
        <v>50-59</v>
      </c>
      <c r="M206" t="s">
        <v>16</v>
      </c>
      <c r="N206" t="s">
        <v>28</v>
      </c>
    </row>
    <row r="207" spans="1:14" x14ac:dyDescent="0.35">
      <c r="A207">
        <v>306</v>
      </c>
      <c r="B207" t="s">
        <v>26</v>
      </c>
      <c r="C207" s="6">
        <v>44749</v>
      </c>
      <c r="D207">
        <f>YEAR(Table1[[#This Row],[Join Date]])</f>
        <v>2022</v>
      </c>
      <c r="E207" s="6">
        <v>44972</v>
      </c>
      <c r="F207">
        <f>IFERROR(YEAR(Table1[[#This Row],[Exit Date]]), " ")</f>
        <v>2023</v>
      </c>
      <c r="G207">
        <f>IFERROR((Table1[[#This Row],[Exit Year]]-Table1[[#This Row],[Join Year]])+1," ")</f>
        <v>2</v>
      </c>
      <c r="H207" t="s">
        <v>27</v>
      </c>
      <c r="I207" t="s">
        <v>23</v>
      </c>
      <c r="J207" t="s">
        <v>18</v>
      </c>
      <c r="K207">
        <v>63</v>
      </c>
      <c r="L207" t="str">
        <f>IF(Table1[[#This Row],[Age]]&lt;30,"20-29",
IF(Table1[[#This Row],[Age]]&lt;40,"30-39",
IF(Table1[[#This Row],[Age]]&lt;50,"40-49",
IF(Table1[[#This Row],[Age]]&lt;60,"50-59","60+"))))</f>
        <v>60+</v>
      </c>
      <c r="M207" t="s">
        <v>13</v>
      </c>
      <c r="N207" t="s">
        <v>31</v>
      </c>
    </row>
    <row r="208" spans="1:14" x14ac:dyDescent="0.35">
      <c r="A208">
        <v>307</v>
      </c>
      <c r="B208" t="s">
        <v>29</v>
      </c>
      <c r="C208" s="6">
        <v>45457</v>
      </c>
      <c r="D208">
        <f>YEAR(Table1[[#This Row],[Join Date]])</f>
        <v>2024</v>
      </c>
      <c r="E208" s="6" t="s">
        <v>48</v>
      </c>
      <c r="F208" t="str">
        <f>IFERROR(YEAR(Table1[[#This Row],[Exit Date]]), " ")</f>
        <v xml:space="preserve"> </v>
      </c>
      <c r="G208" t="str">
        <f>IFERROR((Table1[[#This Row],[Exit Year]]-Table1[[#This Row],[Join Year]])+1," ")</f>
        <v xml:space="preserve"> </v>
      </c>
      <c r="H208" t="s">
        <v>48</v>
      </c>
      <c r="I208" t="s">
        <v>11</v>
      </c>
      <c r="J208" t="s">
        <v>12</v>
      </c>
      <c r="K208">
        <v>40</v>
      </c>
      <c r="L208" t="str">
        <f>IF(Table1[[#This Row],[Age]]&lt;30,"20-29",
IF(Table1[[#This Row],[Age]]&lt;40,"30-39",
IF(Table1[[#This Row],[Age]]&lt;50,"40-49",
IF(Table1[[#This Row],[Age]]&lt;60,"50-59","60+"))))</f>
        <v>40-49</v>
      </c>
      <c r="M208" t="s">
        <v>20</v>
      </c>
      <c r="N208" t="s">
        <v>32</v>
      </c>
    </row>
    <row r="209" spans="1:14" x14ac:dyDescent="0.35">
      <c r="A209">
        <v>308</v>
      </c>
      <c r="B209" t="s">
        <v>10</v>
      </c>
      <c r="C209" s="6">
        <v>43304</v>
      </c>
      <c r="D209">
        <f>YEAR(Table1[[#This Row],[Join Date]])</f>
        <v>2018</v>
      </c>
      <c r="E209" s="6" t="s">
        <v>48</v>
      </c>
      <c r="F209" t="str">
        <f>IFERROR(YEAR(Table1[[#This Row],[Exit Date]]), " ")</f>
        <v xml:space="preserve"> </v>
      </c>
      <c r="G209" t="str">
        <f>IFERROR((Table1[[#This Row],[Exit Year]]-Table1[[#This Row],[Join Year]])+1," ")</f>
        <v xml:space="preserve"> </v>
      </c>
      <c r="H209" t="s">
        <v>48</v>
      </c>
      <c r="I209" t="s">
        <v>11</v>
      </c>
      <c r="J209" t="s">
        <v>18</v>
      </c>
      <c r="K209">
        <v>32</v>
      </c>
      <c r="L209" t="str">
        <f>IF(Table1[[#This Row],[Age]]&lt;30,"20-29",
IF(Table1[[#This Row],[Age]]&lt;40,"30-39",
IF(Table1[[#This Row],[Age]]&lt;50,"40-49",
IF(Table1[[#This Row],[Age]]&lt;60,"50-59","60+"))))</f>
        <v>30-39</v>
      </c>
      <c r="M209" t="s">
        <v>44</v>
      </c>
      <c r="N209" t="s">
        <v>33</v>
      </c>
    </row>
    <row r="210" spans="1:14" x14ac:dyDescent="0.35">
      <c r="A210">
        <v>309</v>
      </c>
      <c r="B210" t="s">
        <v>15</v>
      </c>
      <c r="C210" s="6">
        <v>44987</v>
      </c>
      <c r="D210">
        <f>YEAR(Table1[[#This Row],[Join Date]])</f>
        <v>2023</v>
      </c>
      <c r="E210" s="6" t="s">
        <v>48</v>
      </c>
      <c r="F210" t="str">
        <f>IFERROR(YEAR(Table1[[#This Row],[Exit Date]]), " ")</f>
        <v xml:space="preserve"> </v>
      </c>
      <c r="G210" t="str">
        <f>IFERROR((Table1[[#This Row],[Exit Year]]-Table1[[#This Row],[Join Year]])+1," ")</f>
        <v xml:space="preserve"> </v>
      </c>
      <c r="H210" t="s">
        <v>48</v>
      </c>
      <c r="I210" t="s">
        <v>11</v>
      </c>
      <c r="J210" t="s">
        <v>18</v>
      </c>
      <c r="K210">
        <v>50</v>
      </c>
      <c r="L210" t="str">
        <f>IF(Table1[[#This Row],[Age]]&lt;30,"20-29",
IF(Table1[[#This Row],[Age]]&lt;40,"30-39",
IF(Table1[[#This Row],[Age]]&lt;50,"40-49",
IF(Table1[[#This Row],[Age]]&lt;60,"50-59","60+"))))</f>
        <v>50-59</v>
      </c>
      <c r="M210" t="s">
        <v>13</v>
      </c>
      <c r="N210" t="s">
        <v>35</v>
      </c>
    </row>
    <row r="211" spans="1:14" x14ac:dyDescent="0.35">
      <c r="A211">
        <v>310</v>
      </c>
      <c r="B211" t="s">
        <v>34</v>
      </c>
      <c r="C211" s="6">
        <v>45326</v>
      </c>
      <c r="D211">
        <f>YEAR(Table1[[#This Row],[Join Date]])</f>
        <v>2024</v>
      </c>
      <c r="E211" s="6" t="s">
        <v>48</v>
      </c>
      <c r="F211" t="str">
        <f>IFERROR(YEAR(Table1[[#This Row],[Exit Date]]), " ")</f>
        <v xml:space="preserve"> </v>
      </c>
      <c r="G211" t="str">
        <f>IFERROR((Table1[[#This Row],[Exit Year]]-Table1[[#This Row],[Join Year]])+1," ")</f>
        <v xml:space="preserve"> </v>
      </c>
      <c r="H211" t="s">
        <v>48</v>
      </c>
      <c r="I211" t="s">
        <v>11</v>
      </c>
      <c r="J211" t="s">
        <v>12</v>
      </c>
      <c r="K211">
        <v>24</v>
      </c>
      <c r="L211" t="str">
        <f>IF(Table1[[#This Row],[Age]]&lt;30,"20-29",
IF(Table1[[#This Row],[Age]]&lt;40,"30-39",
IF(Table1[[#This Row],[Age]]&lt;50,"40-49",
IF(Table1[[#This Row],[Age]]&lt;60,"50-59","60+"))))</f>
        <v>20-29</v>
      </c>
      <c r="M211" t="s">
        <v>16</v>
      </c>
      <c r="N211" t="s">
        <v>37</v>
      </c>
    </row>
    <row r="212" spans="1:14" x14ac:dyDescent="0.35">
      <c r="A212">
        <v>311</v>
      </c>
      <c r="B212" t="s">
        <v>36</v>
      </c>
      <c r="C212" s="6">
        <v>45474</v>
      </c>
      <c r="D212">
        <f>YEAR(Table1[[#This Row],[Join Date]])</f>
        <v>2024</v>
      </c>
      <c r="E212" s="6" t="s">
        <v>48</v>
      </c>
      <c r="F212" t="str">
        <f>IFERROR(YEAR(Table1[[#This Row],[Exit Date]]), " ")</f>
        <v xml:space="preserve"> </v>
      </c>
      <c r="G212" t="str">
        <f>IFERROR((Table1[[#This Row],[Exit Year]]-Table1[[#This Row],[Join Year]])+1," ")</f>
        <v xml:space="preserve"> </v>
      </c>
      <c r="H212" t="s">
        <v>48</v>
      </c>
      <c r="I212" t="s">
        <v>11</v>
      </c>
      <c r="J212" t="s">
        <v>18</v>
      </c>
      <c r="K212">
        <v>36</v>
      </c>
      <c r="L212" t="str">
        <f>IF(Table1[[#This Row],[Age]]&lt;30,"20-29",
IF(Table1[[#This Row],[Age]]&lt;40,"30-39",
IF(Table1[[#This Row],[Age]]&lt;50,"40-49",
IF(Table1[[#This Row],[Age]]&lt;60,"50-59","60+"))))</f>
        <v>30-39</v>
      </c>
      <c r="M212" t="s">
        <v>16</v>
      </c>
      <c r="N212" t="s">
        <v>19</v>
      </c>
    </row>
    <row r="213" spans="1:14" x14ac:dyDescent="0.35">
      <c r="A213">
        <v>312</v>
      </c>
      <c r="B213" t="s">
        <v>29</v>
      </c>
      <c r="C213" s="6">
        <v>44227</v>
      </c>
      <c r="D213">
        <f>YEAR(Table1[[#This Row],[Join Date]])</f>
        <v>2021</v>
      </c>
      <c r="E213" s="6">
        <v>45322</v>
      </c>
      <c r="F213">
        <f>IFERROR(YEAR(Table1[[#This Row],[Exit Date]]), " ")</f>
        <v>2024</v>
      </c>
      <c r="G213">
        <f>IFERROR((Table1[[#This Row],[Exit Year]]-Table1[[#This Row],[Join Year]])+1," ")</f>
        <v>4</v>
      </c>
      <c r="H213" t="s">
        <v>27</v>
      </c>
      <c r="I213" t="s">
        <v>23</v>
      </c>
      <c r="J213" t="s">
        <v>18</v>
      </c>
      <c r="K213">
        <v>63</v>
      </c>
      <c r="L213" t="str">
        <f>IF(Table1[[#This Row],[Age]]&lt;30,"20-29",
IF(Table1[[#This Row],[Age]]&lt;40,"30-39",
IF(Table1[[#This Row],[Age]]&lt;50,"40-49",
IF(Table1[[#This Row],[Age]]&lt;60,"50-59","60+"))))</f>
        <v>60+</v>
      </c>
      <c r="M213" t="s">
        <v>20</v>
      </c>
      <c r="N213" t="s">
        <v>25</v>
      </c>
    </row>
    <row r="214" spans="1:14" x14ac:dyDescent="0.35">
      <c r="A214">
        <v>313</v>
      </c>
      <c r="B214" t="s">
        <v>10</v>
      </c>
      <c r="C214" s="6">
        <v>43446</v>
      </c>
      <c r="D214">
        <f>YEAR(Table1[[#This Row],[Join Date]])</f>
        <v>2018</v>
      </c>
      <c r="E214" s="6">
        <v>43936</v>
      </c>
      <c r="F214">
        <f>IFERROR(YEAR(Table1[[#This Row],[Exit Date]]), " ")</f>
        <v>2020</v>
      </c>
      <c r="G214">
        <f>IFERROR((Table1[[#This Row],[Exit Year]]-Table1[[#This Row],[Join Year]])+1," ")</f>
        <v>3</v>
      </c>
      <c r="H214" t="s">
        <v>38</v>
      </c>
      <c r="I214" t="s">
        <v>23</v>
      </c>
      <c r="J214" t="s">
        <v>18</v>
      </c>
      <c r="K214">
        <v>43</v>
      </c>
      <c r="L214" t="str">
        <f>IF(Table1[[#This Row],[Age]]&lt;30,"20-29",
IF(Table1[[#This Row],[Age]]&lt;40,"30-39",
IF(Table1[[#This Row],[Age]]&lt;50,"40-49",
IF(Table1[[#This Row],[Age]]&lt;60,"50-59","60+"))))</f>
        <v>40-49</v>
      </c>
      <c r="M214" t="s">
        <v>24</v>
      </c>
      <c r="N214" t="s">
        <v>35</v>
      </c>
    </row>
    <row r="215" spans="1:14" x14ac:dyDescent="0.35">
      <c r="A215">
        <v>314</v>
      </c>
      <c r="B215" t="s">
        <v>15</v>
      </c>
      <c r="C215" s="6">
        <v>45314</v>
      </c>
      <c r="D215">
        <f>YEAR(Table1[[#This Row],[Join Date]])</f>
        <v>2024</v>
      </c>
      <c r="E215" s="6" t="s">
        <v>48</v>
      </c>
      <c r="F215" t="str">
        <f>IFERROR(YEAR(Table1[[#This Row],[Exit Date]]), " ")</f>
        <v xml:space="preserve"> </v>
      </c>
      <c r="G215" t="str">
        <f>IFERROR((Table1[[#This Row],[Exit Year]]-Table1[[#This Row],[Join Year]])+1," ")</f>
        <v xml:space="preserve"> </v>
      </c>
      <c r="H215" t="s">
        <v>48</v>
      </c>
      <c r="I215" t="s">
        <v>11</v>
      </c>
      <c r="J215" t="s">
        <v>12</v>
      </c>
      <c r="K215">
        <v>40</v>
      </c>
      <c r="L215" t="str">
        <f>IF(Table1[[#This Row],[Age]]&lt;30,"20-29",
IF(Table1[[#This Row],[Age]]&lt;40,"30-39",
IF(Table1[[#This Row],[Age]]&lt;50,"40-49",
IF(Table1[[#This Row],[Age]]&lt;60,"50-59","60+"))))</f>
        <v>40-49</v>
      </c>
      <c r="M215" t="s">
        <v>13</v>
      </c>
      <c r="N215" t="s">
        <v>17</v>
      </c>
    </row>
    <row r="216" spans="1:14" x14ac:dyDescent="0.35">
      <c r="A216">
        <v>315</v>
      </c>
      <c r="B216" t="s">
        <v>15</v>
      </c>
      <c r="C216" s="6">
        <v>43123</v>
      </c>
      <c r="D216">
        <f>YEAR(Table1[[#This Row],[Join Date]])</f>
        <v>2018</v>
      </c>
      <c r="E216" s="6" t="s">
        <v>48</v>
      </c>
      <c r="F216" t="str">
        <f>IFERROR(YEAR(Table1[[#This Row],[Exit Date]]), " ")</f>
        <v xml:space="preserve"> </v>
      </c>
      <c r="G216" t="str">
        <f>IFERROR((Table1[[#This Row],[Exit Year]]-Table1[[#This Row],[Join Year]])+1," ")</f>
        <v xml:space="preserve"> </v>
      </c>
      <c r="H216" t="s">
        <v>48</v>
      </c>
      <c r="I216" t="s">
        <v>11</v>
      </c>
      <c r="J216" t="s">
        <v>18</v>
      </c>
      <c r="K216">
        <v>42</v>
      </c>
      <c r="L216" t="str">
        <f>IF(Table1[[#This Row],[Age]]&lt;30,"20-29",
IF(Table1[[#This Row],[Age]]&lt;40,"30-39",
IF(Table1[[#This Row],[Age]]&lt;50,"40-49",
IF(Table1[[#This Row],[Age]]&lt;60,"50-59","60+"))))</f>
        <v>40-49</v>
      </c>
      <c r="M216" t="s">
        <v>30</v>
      </c>
      <c r="N216" t="s">
        <v>19</v>
      </c>
    </row>
    <row r="217" spans="1:14" x14ac:dyDescent="0.35">
      <c r="A217">
        <v>316</v>
      </c>
      <c r="B217" t="s">
        <v>10</v>
      </c>
      <c r="C217" s="6">
        <v>43717</v>
      </c>
      <c r="D217">
        <f>YEAR(Table1[[#This Row],[Join Date]])</f>
        <v>2019</v>
      </c>
      <c r="E217" s="6">
        <v>44677</v>
      </c>
      <c r="F217">
        <f>IFERROR(YEAR(Table1[[#This Row],[Exit Date]]), " ")</f>
        <v>2022</v>
      </c>
      <c r="G217">
        <f>IFERROR((Table1[[#This Row],[Exit Year]]-Table1[[#This Row],[Join Year]])+1," ")</f>
        <v>4</v>
      </c>
      <c r="H217" t="s">
        <v>40</v>
      </c>
      <c r="I217" t="s">
        <v>23</v>
      </c>
      <c r="J217" t="s">
        <v>12</v>
      </c>
      <c r="K217">
        <v>35</v>
      </c>
      <c r="L217" t="str">
        <f>IF(Table1[[#This Row],[Age]]&lt;30,"20-29",
IF(Table1[[#This Row],[Age]]&lt;40,"30-39",
IF(Table1[[#This Row],[Age]]&lt;50,"40-49",
IF(Table1[[#This Row],[Age]]&lt;60,"50-59","60+"))))</f>
        <v>30-39</v>
      </c>
      <c r="M217" t="s">
        <v>13</v>
      </c>
      <c r="N217" t="s">
        <v>21</v>
      </c>
    </row>
    <row r="218" spans="1:14" x14ac:dyDescent="0.35">
      <c r="A218">
        <v>317</v>
      </c>
      <c r="B218" t="s">
        <v>29</v>
      </c>
      <c r="C218" s="6">
        <v>43534</v>
      </c>
      <c r="D218">
        <f>YEAR(Table1[[#This Row],[Join Date]])</f>
        <v>2019</v>
      </c>
      <c r="E218" s="6">
        <v>44117</v>
      </c>
      <c r="F218">
        <f>IFERROR(YEAR(Table1[[#This Row],[Exit Date]]), " ")</f>
        <v>2020</v>
      </c>
      <c r="G218">
        <f>IFERROR((Table1[[#This Row],[Exit Year]]-Table1[[#This Row],[Join Year]])+1," ")</f>
        <v>2</v>
      </c>
      <c r="H218" t="s">
        <v>46</v>
      </c>
      <c r="I218" t="s">
        <v>23</v>
      </c>
      <c r="J218" t="s">
        <v>12</v>
      </c>
      <c r="K218">
        <v>31</v>
      </c>
      <c r="L218" t="str">
        <f>IF(Table1[[#This Row],[Age]]&lt;30,"20-29",
IF(Table1[[#This Row],[Age]]&lt;40,"30-39",
IF(Table1[[#This Row],[Age]]&lt;50,"40-49",
IF(Table1[[#This Row],[Age]]&lt;60,"50-59","60+"))))</f>
        <v>30-39</v>
      </c>
      <c r="M218" t="s">
        <v>13</v>
      </c>
      <c r="N218" t="s">
        <v>25</v>
      </c>
    </row>
    <row r="219" spans="1:14" x14ac:dyDescent="0.35">
      <c r="A219">
        <v>318</v>
      </c>
      <c r="B219" t="s">
        <v>36</v>
      </c>
      <c r="C219" s="6">
        <v>44619</v>
      </c>
      <c r="D219">
        <f>YEAR(Table1[[#This Row],[Join Date]])</f>
        <v>2022</v>
      </c>
      <c r="E219" s="6" t="s">
        <v>48</v>
      </c>
      <c r="F219" t="str">
        <f>IFERROR(YEAR(Table1[[#This Row],[Exit Date]]), " ")</f>
        <v xml:space="preserve"> </v>
      </c>
      <c r="G219" t="str">
        <f>IFERROR((Table1[[#This Row],[Exit Year]]-Table1[[#This Row],[Join Year]])+1," ")</f>
        <v xml:space="preserve"> </v>
      </c>
      <c r="H219" t="s">
        <v>48</v>
      </c>
      <c r="I219" t="s">
        <v>11</v>
      </c>
      <c r="J219" t="s">
        <v>12</v>
      </c>
      <c r="K219">
        <v>51</v>
      </c>
      <c r="L219" t="str">
        <f>IF(Table1[[#This Row],[Age]]&lt;30,"20-29",
IF(Table1[[#This Row],[Age]]&lt;40,"30-39",
IF(Table1[[#This Row],[Age]]&lt;50,"40-49",
IF(Table1[[#This Row],[Age]]&lt;60,"50-59","60+"))))</f>
        <v>50-59</v>
      </c>
      <c r="M219" t="s">
        <v>16</v>
      </c>
      <c r="N219" t="s">
        <v>35</v>
      </c>
    </row>
    <row r="220" spans="1:14" x14ac:dyDescent="0.35">
      <c r="A220">
        <v>319</v>
      </c>
      <c r="B220" t="s">
        <v>10</v>
      </c>
      <c r="C220" s="6">
        <v>45485</v>
      </c>
      <c r="D220">
        <f>YEAR(Table1[[#This Row],[Join Date]])</f>
        <v>2024</v>
      </c>
      <c r="E220" s="6" t="s">
        <v>48</v>
      </c>
      <c r="F220" t="str">
        <f>IFERROR(YEAR(Table1[[#This Row],[Exit Date]]), " ")</f>
        <v xml:space="preserve"> </v>
      </c>
      <c r="G220" t="str">
        <f>IFERROR((Table1[[#This Row],[Exit Year]]-Table1[[#This Row],[Join Year]])+1," ")</f>
        <v xml:space="preserve"> </v>
      </c>
      <c r="H220" t="s">
        <v>48</v>
      </c>
      <c r="I220" t="s">
        <v>11</v>
      </c>
      <c r="J220" t="s">
        <v>18</v>
      </c>
      <c r="K220">
        <v>48</v>
      </c>
      <c r="L220" t="str">
        <f>IF(Table1[[#This Row],[Age]]&lt;30,"20-29",
IF(Table1[[#This Row],[Age]]&lt;40,"30-39",
IF(Table1[[#This Row],[Age]]&lt;50,"40-49",
IF(Table1[[#This Row],[Age]]&lt;60,"50-59","60+"))))</f>
        <v>40-49</v>
      </c>
      <c r="M220" t="s">
        <v>13</v>
      </c>
      <c r="N220" t="s">
        <v>14</v>
      </c>
    </row>
    <row r="221" spans="1:14" x14ac:dyDescent="0.35">
      <c r="A221">
        <v>320</v>
      </c>
      <c r="B221" t="s">
        <v>29</v>
      </c>
      <c r="C221" s="6">
        <v>43588</v>
      </c>
      <c r="D221">
        <f>YEAR(Table1[[#This Row],[Join Date]])</f>
        <v>2019</v>
      </c>
      <c r="E221" s="6">
        <v>44896</v>
      </c>
      <c r="F221">
        <f>IFERROR(YEAR(Table1[[#This Row],[Exit Date]]), " ")</f>
        <v>2022</v>
      </c>
      <c r="G221">
        <f>IFERROR((Table1[[#This Row],[Exit Year]]-Table1[[#This Row],[Join Year]])+1," ")</f>
        <v>4</v>
      </c>
      <c r="H221" t="s">
        <v>41</v>
      </c>
      <c r="I221" t="s">
        <v>23</v>
      </c>
      <c r="J221" t="s">
        <v>12</v>
      </c>
      <c r="K221">
        <v>41</v>
      </c>
      <c r="L221" t="str">
        <f>IF(Table1[[#This Row],[Age]]&lt;30,"20-29",
IF(Table1[[#This Row],[Age]]&lt;40,"30-39",
IF(Table1[[#This Row],[Age]]&lt;50,"40-49",
IF(Table1[[#This Row],[Age]]&lt;60,"50-59","60+"))))</f>
        <v>40-49</v>
      </c>
      <c r="M221" t="s">
        <v>20</v>
      </c>
      <c r="N221" t="s">
        <v>19</v>
      </c>
    </row>
    <row r="222" spans="1:14" x14ac:dyDescent="0.35">
      <c r="A222">
        <v>321</v>
      </c>
      <c r="B222" t="s">
        <v>36</v>
      </c>
      <c r="C222" s="6">
        <v>44250</v>
      </c>
      <c r="D222">
        <f>YEAR(Table1[[#This Row],[Join Date]])</f>
        <v>2021</v>
      </c>
      <c r="E222" s="6">
        <v>45392</v>
      </c>
      <c r="F222">
        <f>IFERROR(YEAR(Table1[[#This Row],[Exit Date]]), " ")</f>
        <v>2024</v>
      </c>
      <c r="G222">
        <f>IFERROR((Table1[[#This Row],[Exit Year]]-Table1[[#This Row],[Join Year]])+1," ")</f>
        <v>4</v>
      </c>
      <c r="H222" t="s">
        <v>27</v>
      </c>
      <c r="I222" t="s">
        <v>23</v>
      </c>
      <c r="J222" t="s">
        <v>18</v>
      </c>
      <c r="K222">
        <v>63</v>
      </c>
      <c r="L222" t="str">
        <f>IF(Table1[[#This Row],[Age]]&lt;30,"20-29",
IF(Table1[[#This Row],[Age]]&lt;40,"30-39",
IF(Table1[[#This Row],[Age]]&lt;50,"40-49",
IF(Table1[[#This Row],[Age]]&lt;60,"50-59","60+"))))</f>
        <v>60+</v>
      </c>
      <c r="M222" t="s">
        <v>39</v>
      </c>
      <c r="N222" t="s">
        <v>21</v>
      </c>
    </row>
    <row r="223" spans="1:14" x14ac:dyDescent="0.35">
      <c r="A223">
        <v>322</v>
      </c>
      <c r="B223" t="s">
        <v>26</v>
      </c>
      <c r="C223" s="6">
        <v>45244</v>
      </c>
      <c r="D223">
        <f>YEAR(Table1[[#This Row],[Join Date]])</f>
        <v>2023</v>
      </c>
      <c r="E223" s="6">
        <v>45446</v>
      </c>
      <c r="F223">
        <f>IFERROR(YEAR(Table1[[#This Row],[Exit Date]]), " ")</f>
        <v>2024</v>
      </c>
      <c r="G223">
        <f>IFERROR((Table1[[#This Row],[Exit Year]]-Table1[[#This Row],[Join Year]])+1," ")</f>
        <v>2</v>
      </c>
      <c r="H223" t="s">
        <v>40</v>
      </c>
      <c r="I223" t="s">
        <v>23</v>
      </c>
      <c r="J223" t="s">
        <v>12</v>
      </c>
      <c r="K223">
        <v>24</v>
      </c>
      <c r="L223" t="str">
        <f>IF(Table1[[#This Row],[Age]]&lt;30,"20-29",
IF(Table1[[#This Row],[Age]]&lt;40,"30-39",
IF(Table1[[#This Row],[Age]]&lt;50,"40-49",
IF(Table1[[#This Row],[Age]]&lt;60,"50-59","60+"))))</f>
        <v>20-29</v>
      </c>
      <c r="M223" t="s">
        <v>13</v>
      </c>
      <c r="N223" t="s">
        <v>37</v>
      </c>
    </row>
    <row r="224" spans="1:14" x14ac:dyDescent="0.35">
      <c r="A224">
        <v>323</v>
      </c>
      <c r="B224" t="s">
        <v>15</v>
      </c>
      <c r="C224" s="6">
        <v>45256</v>
      </c>
      <c r="D224">
        <f>YEAR(Table1[[#This Row],[Join Date]])</f>
        <v>2023</v>
      </c>
      <c r="E224" s="6" t="s">
        <v>48</v>
      </c>
      <c r="F224" t="str">
        <f>IFERROR(YEAR(Table1[[#This Row],[Exit Date]]), " ")</f>
        <v xml:space="preserve"> </v>
      </c>
      <c r="G224" t="str">
        <f>IFERROR((Table1[[#This Row],[Exit Year]]-Table1[[#This Row],[Join Year]])+1," ")</f>
        <v xml:space="preserve"> </v>
      </c>
      <c r="H224" t="s">
        <v>48</v>
      </c>
      <c r="I224" t="s">
        <v>11</v>
      </c>
      <c r="J224" t="s">
        <v>18</v>
      </c>
      <c r="K224">
        <v>41</v>
      </c>
      <c r="L224" t="str">
        <f>IF(Table1[[#This Row],[Age]]&lt;30,"20-29",
IF(Table1[[#This Row],[Age]]&lt;40,"30-39",
IF(Table1[[#This Row],[Age]]&lt;50,"40-49",
IF(Table1[[#This Row],[Age]]&lt;60,"50-59","60+"))))</f>
        <v>40-49</v>
      </c>
      <c r="M224" t="s">
        <v>16</v>
      </c>
      <c r="N224" t="s">
        <v>25</v>
      </c>
    </row>
    <row r="225" spans="1:14" x14ac:dyDescent="0.35">
      <c r="A225">
        <v>324</v>
      </c>
      <c r="B225" t="s">
        <v>26</v>
      </c>
      <c r="C225" s="6">
        <v>45465</v>
      </c>
      <c r="D225">
        <f>YEAR(Table1[[#This Row],[Join Date]])</f>
        <v>2024</v>
      </c>
      <c r="E225" s="6" t="s">
        <v>48</v>
      </c>
      <c r="F225" t="str">
        <f>IFERROR(YEAR(Table1[[#This Row],[Exit Date]]), " ")</f>
        <v xml:space="preserve"> </v>
      </c>
      <c r="G225" t="str">
        <f>IFERROR((Table1[[#This Row],[Exit Year]]-Table1[[#This Row],[Join Year]])+1," ")</f>
        <v xml:space="preserve"> </v>
      </c>
      <c r="H225" t="s">
        <v>48</v>
      </c>
      <c r="I225" t="s">
        <v>11</v>
      </c>
      <c r="J225" t="s">
        <v>18</v>
      </c>
      <c r="K225">
        <v>40</v>
      </c>
      <c r="L225" t="str">
        <f>IF(Table1[[#This Row],[Age]]&lt;30,"20-29",
IF(Table1[[#This Row],[Age]]&lt;40,"30-39",
IF(Table1[[#This Row],[Age]]&lt;50,"40-49",
IF(Table1[[#This Row],[Age]]&lt;60,"50-59","60+"))))</f>
        <v>40-49</v>
      </c>
      <c r="M225" t="s">
        <v>16</v>
      </c>
      <c r="N225" t="s">
        <v>35</v>
      </c>
    </row>
    <row r="226" spans="1:14" x14ac:dyDescent="0.35">
      <c r="A226">
        <v>325</v>
      </c>
      <c r="B226" t="s">
        <v>10</v>
      </c>
      <c r="C226" s="6">
        <v>43597</v>
      </c>
      <c r="D226">
        <f>YEAR(Table1[[#This Row],[Join Date]])</f>
        <v>2019</v>
      </c>
      <c r="E226" s="6" t="s">
        <v>48</v>
      </c>
      <c r="F226" t="str">
        <f>IFERROR(YEAR(Table1[[#This Row],[Exit Date]]), " ")</f>
        <v xml:space="preserve"> </v>
      </c>
      <c r="G226" t="str">
        <f>IFERROR((Table1[[#This Row],[Exit Year]]-Table1[[#This Row],[Join Year]])+1," ")</f>
        <v xml:space="preserve"> </v>
      </c>
      <c r="H226" t="s">
        <v>48</v>
      </c>
      <c r="I226" t="s">
        <v>11</v>
      </c>
      <c r="J226" t="s">
        <v>12</v>
      </c>
      <c r="K226">
        <v>48</v>
      </c>
      <c r="L226" t="str">
        <f>IF(Table1[[#This Row],[Age]]&lt;30,"20-29",
IF(Table1[[#This Row],[Age]]&lt;40,"30-39",
IF(Table1[[#This Row],[Age]]&lt;50,"40-49",
IF(Table1[[#This Row],[Age]]&lt;60,"50-59","60+"))))</f>
        <v>40-49</v>
      </c>
      <c r="M226" t="s">
        <v>20</v>
      </c>
      <c r="N226" t="s">
        <v>35</v>
      </c>
    </row>
    <row r="227" spans="1:14" x14ac:dyDescent="0.35">
      <c r="A227">
        <v>326</v>
      </c>
      <c r="B227" t="s">
        <v>15</v>
      </c>
      <c r="C227" s="6">
        <v>44866</v>
      </c>
      <c r="D227">
        <f>YEAR(Table1[[#This Row],[Join Date]])</f>
        <v>2022</v>
      </c>
      <c r="E227" s="6" t="s">
        <v>48</v>
      </c>
      <c r="F227" t="str">
        <f>IFERROR(YEAR(Table1[[#This Row],[Exit Date]]), " ")</f>
        <v xml:space="preserve"> </v>
      </c>
      <c r="G227" t="str">
        <f>IFERROR((Table1[[#This Row],[Exit Year]]-Table1[[#This Row],[Join Year]])+1," ")</f>
        <v xml:space="preserve"> </v>
      </c>
      <c r="H227" t="s">
        <v>48</v>
      </c>
      <c r="I227" t="s">
        <v>11</v>
      </c>
      <c r="J227" t="s">
        <v>18</v>
      </c>
      <c r="K227">
        <v>52</v>
      </c>
      <c r="L227" t="str">
        <f>IF(Table1[[#This Row],[Age]]&lt;30,"20-29",
IF(Table1[[#This Row],[Age]]&lt;40,"30-39",
IF(Table1[[#This Row],[Age]]&lt;50,"40-49",
IF(Table1[[#This Row],[Age]]&lt;60,"50-59","60+"))))</f>
        <v>50-59</v>
      </c>
      <c r="M227" t="s">
        <v>24</v>
      </c>
      <c r="N227" t="s">
        <v>25</v>
      </c>
    </row>
    <row r="228" spans="1:14" x14ac:dyDescent="0.35">
      <c r="A228">
        <v>327</v>
      </c>
      <c r="B228" t="s">
        <v>34</v>
      </c>
      <c r="C228" s="6">
        <v>44006</v>
      </c>
      <c r="D228">
        <f>YEAR(Table1[[#This Row],[Join Date]])</f>
        <v>2020</v>
      </c>
      <c r="E228" s="6">
        <v>44463</v>
      </c>
      <c r="F228">
        <f>IFERROR(YEAR(Table1[[#This Row],[Exit Date]]), " ")</f>
        <v>2021</v>
      </c>
      <c r="G228">
        <f>IFERROR((Table1[[#This Row],[Exit Year]]-Table1[[#This Row],[Join Year]])+1," ")</f>
        <v>2</v>
      </c>
      <c r="H228" t="s">
        <v>43</v>
      </c>
      <c r="I228" t="s">
        <v>23</v>
      </c>
      <c r="J228" t="s">
        <v>18</v>
      </c>
      <c r="K228">
        <v>33</v>
      </c>
      <c r="L228" t="str">
        <f>IF(Table1[[#This Row],[Age]]&lt;30,"20-29",
IF(Table1[[#This Row],[Age]]&lt;40,"30-39",
IF(Table1[[#This Row],[Age]]&lt;50,"40-49",
IF(Table1[[#This Row],[Age]]&lt;60,"50-59","60+"))))</f>
        <v>30-39</v>
      </c>
      <c r="M228" t="s">
        <v>13</v>
      </c>
      <c r="N228" t="s">
        <v>35</v>
      </c>
    </row>
    <row r="229" spans="1:14" x14ac:dyDescent="0.35">
      <c r="A229">
        <v>328</v>
      </c>
      <c r="B229" t="s">
        <v>26</v>
      </c>
      <c r="C229" s="6">
        <v>45095</v>
      </c>
      <c r="D229">
        <f>YEAR(Table1[[#This Row],[Join Date]])</f>
        <v>2023</v>
      </c>
      <c r="E229" s="6" t="s">
        <v>48</v>
      </c>
      <c r="F229" t="str">
        <f>IFERROR(YEAR(Table1[[#This Row],[Exit Date]]), " ")</f>
        <v xml:space="preserve"> </v>
      </c>
      <c r="G229" t="str">
        <f>IFERROR((Table1[[#This Row],[Exit Year]]-Table1[[#This Row],[Join Year]])+1," ")</f>
        <v xml:space="preserve"> </v>
      </c>
      <c r="H229" t="s">
        <v>48</v>
      </c>
      <c r="I229" t="s">
        <v>11</v>
      </c>
      <c r="J229" t="s">
        <v>12</v>
      </c>
      <c r="K229">
        <v>51</v>
      </c>
      <c r="L229" t="str">
        <f>IF(Table1[[#This Row],[Age]]&lt;30,"20-29",
IF(Table1[[#This Row],[Age]]&lt;40,"30-39",
IF(Table1[[#This Row],[Age]]&lt;50,"40-49",
IF(Table1[[#This Row],[Age]]&lt;60,"50-59","60+"))))</f>
        <v>50-59</v>
      </c>
      <c r="M229" t="s">
        <v>42</v>
      </c>
      <c r="N229" t="s">
        <v>17</v>
      </c>
    </row>
    <row r="230" spans="1:14" x14ac:dyDescent="0.35">
      <c r="A230">
        <v>329</v>
      </c>
      <c r="B230" t="s">
        <v>10</v>
      </c>
      <c r="C230" s="6">
        <v>44360</v>
      </c>
      <c r="D230">
        <f>YEAR(Table1[[#This Row],[Join Date]])</f>
        <v>2021</v>
      </c>
      <c r="E230" s="6">
        <v>44755</v>
      </c>
      <c r="F230">
        <f>IFERROR(YEAR(Table1[[#This Row],[Exit Date]]), " ")</f>
        <v>2022</v>
      </c>
      <c r="G230">
        <f>IFERROR((Table1[[#This Row],[Exit Year]]-Table1[[#This Row],[Join Year]])+1," ")</f>
        <v>2</v>
      </c>
      <c r="H230" t="s">
        <v>38</v>
      </c>
      <c r="I230" t="s">
        <v>23</v>
      </c>
      <c r="J230" t="s">
        <v>18</v>
      </c>
      <c r="K230">
        <v>46</v>
      </c>
      <c r="L230" t="str">
        <f>IF(Table1[[#This Row],[Age]]&lt;30,"20-29",
IF(Table1[[#This Row],[Age]]&lt;40,"30-39",
IF(Table1[[#This Row],[Age]]&lt;50,"40-49",
IF(Table1[[#This Row],[Age]]&lt;60,"50-59","60+"))))</f>
        <v>40-49</v>
      </c>
      <c r="M230" t="s">
        <v>13</v>
      </c>
      <c r="N230" t="s">
        <v>19</v>
      </c>
    </row>
    <row r="231" spans="1:14" x14ac:dyDescent="0.35">
      <c r="A231">
        <v>330</v>
      </c>
      <c r="B231" t="s">
        <v>26</v>
      </c>
      <c r="C231" s="6">
        <v>43419</v>
      </c>
      <c r="D231">
        <f>YEAR(Table1[[#This Row],[Join Date]])</f>
        <v>2018</v>
      </c>
      <c r="E231" s="6">
        <v>44303</v>
      </c>
      <c r="F231">
        <f>IFERROR(YEAR(Table1[[#This Row],[Exit Date]]), " ")</f>
        <v>2021</v>
      </c>
      <c r="G231">
        <f>IFERROR((Table1[[#This Row],[Exit Year]]-Table1[[#This Row],[Join Year]])+1," ")</f>
        <v>4</v>
      </c>
      <c r="H231" t="s">
        <v>22</v>
      </c>
      <c r="I231" t="s">
        <v>23</v>
      </c>
      <c r="J231" t="s">
        <v>18</v>
      </c>
      <c r="K231">
        <v>53</v>
      </c>
      <c r="L231" t="str">
        <f>IF(Table1[[#This Row],[Age]]&lt;30,"20-29",
IF(Table1[[#This Row],[Age]]&lt;40,"30-39",
IF(Table1[[#This Row],[Age]]&lt;50,"40-49",
IF(Table1[[#This Row],[Age]]&lt;60,"50-59","60+"))))</f>
        <v>50-59</v>
      </c>
      <c r="M231" t="s">
        <v>13</v>
      </c>
      <c r="N231" t="s">
        <v>21</v>
      </c>
    </row>
    <row r="232" spans="1:14" x14ac:dyDescent="0.35">
      <c r="A232">
        <v>331</v>
      </c>
      <c r="B232" t="s">
        <v>36</v>
      </c>
      <c r="C232" s="6">
        <v>44249</v>
      </c>
      <c r="D232">
        <f>YEAR(Table1[[#This Row],[Join Date]])</f>
        <v>2021</v>
      </c>
      <c r="E232" s="6" t="s">
        <v>48</v>
      </c>
      <c r="F232" t="str">
        <f>IFERROR(YEAR(Table1[[#This Row],[Exit Date]]), " ")</f>
        <v xml:space="preserve"> </v>
      </c>
      <c r="G232" t="str">
        <f>IFERROR((Table1[[#This Row],[Exit Year]]-Table1[[#This Row],[Join Year]])+1," ")</f>
        <v xml:space="preserve"> </v>
      </c>
      <c r="H232" t="s">
        <v>48</v>
      </c>
      <c r="I232" t="s">
        <v>11</v>
      </c>
      <c r="J232" t="s">
        <v>18</v>
      </c>
      <c r="K232">
        <v>35</v>
      </c>
      <c r="L232" t="str">
        <f>IF(Table1[[#This Row],[Age]]&lt;30,"20-29",
IF(Table1[[#This Row],[Age]]&lt;40,"30-39",
IF(Table1[[#This Row],[Age]]&lt;50,"40-49",
IF(Table1[[#This Row],[Age]]&lt;60,"50-59","60+"))))</f>
        <v>30-39</v>
      </c>
      <c r="M232" t="s">
        <v>16</v>
      </c>
      <c r="N232" t="s">
        <v>25</v>
      </c>
    </row>
    <row r="233" spans="1:14" x14ac:dyDescent="0.35">
      <c r="A233">
        <v>332</v>
      </c>
      <c r="B233" t="s">
        <v>10</v>
      </c>
      <c r="C233" s="6">
        <v>45533</v>
      </c>
      <c r="D233">
        <f>YEAR(Table1[[#This Row],[Join Date]])</f>
        <v>2024</v>
      </c>
      <c r="E233" s="6" t="s">
        <v>48</v>
      </c>
      <c r="F233" t="str">
        <f>IFERROR(YEAR(Table1[[#This Row],[Exit Date]]), " ")</f>
        <v xml:space="preserve"> </v>
      </c>
      <c r="G233" t="str">
        <f>IFERROR((Table1[[#This Row],[Exit Year]]-Table1[[#This Row],[Join Year]])+1," ")</f>
        <v xml:space="preserve"> </v>
      </c>
      <c r="H233" t="s">
        <v>48</v>
      </c>
      <c r="I233" t="s">
        <v>11</v>
      </c>
      <c r="J233" t="s">
        <v>12</v>
      </c>
      <c r="K233">
        <v>32</v>
      </c>
      <c r="L233" t="str">
        <f>IF(Table1[[#This Row],[Age]]&lt;30,"20-29",
IF(Table1[[#This Row],[Age]]&lt;40,"30-39",
IF(Table1[[#This Row],[Age]]&lt;50,"40-49",
IF(Table1[[#This Row],[Age]]&lt;60,"50-59","60+"))))</f>
        <v>30-39</v>
      </c>
      <c r="M233" t="s">
        <v>13</v>
      </c>
      <c r="N233" t="s">
        <v>21</v>
      </c>
    </row>
    <row r="234" spans="1:14" x14ac:dyDescent="0.35">
      <c r="A234">
        <v>333</v>
      </c>
      <c r="B234" t="s">
        <v>36</v>
      </c>
      <c r="C234" s="6">
        <v>44377</v>
      </c>
      <c r="D234">
        <f>YEAR(Table1[[#This Row],[Join Date]])</f>
        <v>2021</v>
      </c>
      <c r="E234" s="6" t="s">
        <v>48</v>
      </c>
      <c r="F234" t="str">
        <f>IFERROR(YEAR(Table1[[#This Row],[Exit Date]]), " ")</f>
        <v xml:space="preserve"> </v>
      </c>
      <c r="G234" t="str">
        <f>IFERROR((Table1[[#This Row],[Exit Year]]-Table1[[#This Row],[Join Year]])+1," ")</f>
        <v xml:space="preserve"> </v>
      </c>
      <c r="H234" t="s">
        <v>48</v>
      </c>
      <c r="I234" t="s">
        <v>11</v>
      </c>
      <c r="J234" t="s">
        <v>18</v>
      </c>
      <c r="K234">
        <v>46</v>
      </c>
      <c r="L234" t="str">
        <f>IF(Table1[[#This Row],[Age]]&lt;30,"20-29",
IF(Table1[[#This Row],[Age]]&lt;40,"30-39",
IF(Table1[[#This Row],[Age]]&lt;50,"40-49",
IF(Table1[[#This Row],[Age]]&lt;60,"50-59","60+"))))</f>
        <v>40-49</v>
      </c>
      <c r="M234" t="s">
        <v>20</v>
      </c>
      <c r="N234" t="s">
        <v>25</v>
      </c>
    </row>
    <row r="235" spans="1:14" x14ac:dyDescent="0.35">
      <c r="A235">
        <v>334</v>
      </c>
      <c r="B235" t="s">
        <v>10</v>
      </c>
      <c r="C235" s="6">
        <v>44088</v>
      </c>
      <c r="D235">
        <f>YEAR(Table1[[#This Row],[Join Date]])</f>
        <v>2020</v>
      </c>
      <c r="E235" s="6" t="s">
        <v>48</v>
      </c>
      <c r="F235" t="str">
        <f>IFERROR(YEAR(Table1[[#This Row],[Exit Date]]), " ")</f>
        <v xml:space="preserve"> </v>
      </c>
      <c r="G235" t="str">
        <f>IFERROR((Table1[[#This Row],[Exit Year]]-Table1[[#This Row],[Join Year]])+1," ")</f>
        <v xml:space="preserve"> </v>
      </c>
      <c r="H235" t="s">
        <v>48</v>
      </c>
      <c r="I235" t="s">
        <v>11</v>
      </c>
      <c r="J235" t="s">
        <v>12</v>
      </c>
      <c r="K235">
        <v>50</v>
      </c>
      <c r="L235" t="str">
        <f>IF(Table1[[#This Row],[Age]]&lt;30,"20-29",
IF(Table1[[#This Row],[Age]]&lt;40,"30-39",
IF(Table1[[#This Row],[Age]]&lt;50,"40-49",
IF(Table1[[#This Row],[Age]]&lt;60,"50-59","60+"))))</f>
        <v>50-59</v>
      </c>
      <c r="M235" t="s">
        <v>39</v>
      </c>
      <c r="N235" t="s">
        <v>35</v>
      </c>
    </row>
    <row r="236" spans="1:14" x14ac:dyDescent="0.35">
      <c r="A236">
        <v>335</v>
      </c>
      <c r="B236" t="s">
        <v>26</v>
      </c>
      <c r="C236" s="6">
        <v>43373</v>
      </c>
      <c r="D236">
        <f>YEAR(Table1[[#This Row],[Join Date]])</f>
        <v>2018</v>
      </c>
      <c r="E236" s="6">
        <v>44825</v>
      </c>
      <c r="F236">
        <f>IFERROR(YEAR(Table1[[#This Row],[Exit Date]]), " ")</f>
        <v>2022</v>
      </c>
      <c r="G236">
        <f>IFERROR((Table1[[#This Row],[Exit Year]]-Table1[[#This Row],[Join Year]])+1," ")</f>
        <v>5</v>
      </c>
      <c r="H236" t="s">
        <v>27</v>
      </c>
      <c r="I236" t="s">
        <v>23</v>
      </c>
      <c r="J236" t="s">
        <v>12</v>
      </c>
      <c r="K236">
        <v>64</v>
      </c>
      <c r="L236" t="str">
        <f>IF(Table1[[#This Row],[Age]]&lt;30,"20-29",
IF(Table1[[#This Row],[Age]]&lt;40,"30-39",
IF(Table1[[#This Row],[Age]]&lt;50,"40-49",
IF(Table1[[#This Row],[Age]]&lt;60,"50-59","60+"))))</f>
        <v>60+</v>
      </c>
      <c r="M236" t="s">
        <v>13</v>
      </c>
      <c r="N236" t="s">
        <v>14</v>
      </c>
    </row>
    <row r="237" spans="1:14" x14ac:dyDescent="0.35">
      <c r="A237">
        <v>336</v>
      </c>
      <c r="B237" t="s">
        <v>26</v>
      </c>
      <c r="C237" s="6">
        <v>43314</v>
      </c>
      <c r="D237">
        <f>YEAR(Table1[[#This Row],[Join Date]])</f>
        <v>2018</v>
      </c>
      <c r="E237" s="6" t="s">
        <v>48</v>
      </c>
      <c r="F237" t="str">
        <f>IFERROR(YEAR(Table1[[#This Row],[Exit Date]]), " ")</f>
        <v xml:space="preserve"> </v>
      </c>
      <c r="G237" t="str">
        <f>IFERROR((Table1[[#This Row],[Exit Year]]-Table1[[#This Row],[Join Year]])+1," ")</f>
        <v xml:space="preserve"> </v>
      </c>
      <c r="H237" t="s">
        <v>48</v>
      </c>
      <c r="I237" t="s">
        <v>11</v>
      </c>
      <c r="J237" t="s">
        <v>12</v>
      </c>
      <c r="K237">
        <v>29</v>
      </c>
      <c r="L237" t="str">
        <f>IF(Table1[[#This Row],[Age]]&lt;30,"20-29",
IF(Table1[[#This Row],[Age]]&lt;40,"30-39",
IF(Table1[[#This Row],[Age]]&lt;50,"40-49",
IF(Table1[[#This Row],[Age]]&lt;60,"50-59","60+"))))</f>
        <v>20-29</v>
      </c>
      <c r="M237" t="s">
        <v>16</v>
      </c>
      <c r="N237" t="s">
        <v>19</v>
      </c>
    </row>
    <row r="238" spans="1:14" x14ac:dyDescent="0.35">
      <c r="A238">
        <v>337</v>
      </c>
      <c r="B238" t="s">
        <v>26</v>
      </c>
      <c r="C238" s="6">
        <v>44418</v>
      </c>
      <c r="D238">
        <f>YEAR(Table1[[#This Row],[Join Date]])</f>
        <v>2021</v>
      </c>
      <c r="E238" s="6">
        <v>45628</v>
      </c>
      <c r="F238">
        <f>IFERROR(YEAR(Table1[[#This Row],[Exit Date]]), " ")</f>
        <v>2024</v>
      </c>
      <c r="G238">
        <f>IFERROR((Table1[[#This Row],[Exit Year]]-Table1[[#This Row],[Join Year]])+1," ")</f>
        <v>4</v>
      </c>
      <c r="H238" t="s">
        <v>22</v>
      </c>
      <c r="I238" t="s">
        <v>23</v>
      </c>
      <c r="J238" t="s">
        <v>12</v>
      </c>
      <c r="K238">
        <v>27</v>
      </c>
      <c r="L238" t="str">
        <f>IF(Table1[[#This Row],[Age]]&lt;30,"20-29",
IF(Table1[[#This Row],[Age]]&lt;40,"30-39",
IF(Table1[[#This Row],[Age]]&lt;50,"40-49",
IF(Table1[[#This Row],[Age]]&lt;60,"50-59","60+"))))</f>
        <v>20-29</v>
      </c>
      <c r="M238" t="s">
        <v>16</v>
      </c>
      <c r="N238" t="s">
        <v>21</v>
      </c>
    </row>
    <row r="239" spans="1:14" x14ac:dyDescent="0.35">
      <c r="A239">
        <v>338</v>
      </c>
      <c r="B239" t="s">
        <v>34</v>
      </c>
      <c r="C239" s="6">
        <v>44324</v>
      </c>
      <c r="D239">
        <f>YEAR(Table1[[#This Row],[Join Date]])</f>
        <v>2021</v>
      </c>
      <c r="E239" s="6">
        <v>45076</v>
      </c>
      <c r="F239">
        <f>IFERROR(YEAR(Table1[[#This Row],[Exit Date]]), " ")</f>
        <v>2023</v>
      </c>
      <c r="G239">
        <f>IFERROR((Table1[[#This Row],[Exit Year]]-Table1[[#This Row],[Join Year]])+1," ")</f>
        <v>3</v>
      </c>
      <c r="H239" t="s">
        <v>40</v>
      </c>
      <c r="I239" t="s">
        <v>23</v>
      </c>
      <c r="J239" t="s">
        <v>18</v>
      </c>
      <c r="K239">
        <v>31</v>
      </c>
      <c r="L239" t="str">
        <f>IF(Table1[[#This Row],[Age]]&lt;30,"20-29",
IF(Table1[[#This Row],[Age]]&lt;40,"30-39",
IF(Table1[[#This Row],[Age]]&lt;50,"40-49",
IF(Table1[[#This Row],[Age]]&lt;60,"50-59","60+"))))</f>
        <v>30-39</v>
      </c>
      <c r="M239" t="s">
        <v>20</v>
      </c>
      <c r="N239" t="s">
        <v>37</v>
      </c>
    </row>
    <row r="240" spans="1:14" x14ac:dyDescent="0.35">
      <c r="A240">
        <v>339</v>
      </c>
      <c r="B240" t="s">
        <v>10</v>
      </c>
      <c r="C240" s="6">
        <v>43513</v>
      </c>
      <c r="D240">
        <f>YEAR(Table1[[#This Row],[Join Date]])</f>
        <v>2019</v>
      </c>
      <c r="E240" s="6">
        <v>44923</v>
      </c>
      <c r="F240">
        <f>IFERROR(YEAR(Table1[[#This Row],[Exit Date]]), " ")</f>
        <v>2022</v>
      </c>
      <c r="G240">
        <f>IFERROR((Table1[[#This Row],[Exit Year]]-Table1[[#This Row],[Join Year]])+1," ")</f>
        <v>4</v>
      </c>
      <c r="H240" t="s">
        <v>46</v>
      </c>
      <c r="I240" t="s">
        <v>23</v>
      </c>
      <c r="J240" t="s">
        <v>18</v>
      </c>
      <c r="K240">
        <v>24</v>
      </c>
      <c r="L240" t="str">
        <f>IF(Table1[[#This Row],[Age]]&lt;30,"20-29",
IF(Table1[[#This Row],[Age]]&lt;40,"30-39",
IF(Table1[[#This Row],[Age]]&lt;50,"40-49",
IF(Table1[[#This Row],[Age]]&lt;60,"50-59","60+"))))</f>
        <v>20-29</v>
      </c>
      <c r="M240" t="s">
        <v>24</v>
      </c>
      <c r="N240" t="s">
        <v>25</v>
      </c>
    </row>
    <row r="241" spans="1:14" x14ac:dyDescent="0.35">
      <c r="A241">
        <v>340</v>
      </c>
      <c r="B241" t="s">
        <v>36</v>
      </c>
      <c r="C241" s="6">
        <v>44180</v>
      </c>
      <c r="D241">
        <f>YEAR(Table1[[#This Row],[Join Date]])</f>
        <v>2020</v>
      </c>
      <c r="E241" s="6" t="s">
        <v>48</v>
      </c>
      <c r="F241" t="str">
        <f>IFERROR(YEAR(Table1[[#This Row],[Exit Date]]), " ")</f>
        <v xml:space="preserve"> </v>
      </c>
      <c r="G241" t="str">
        <f>IFERROR((Table1[[#This Row],[Exit Year]]-Table1[[#This Row],[Join Year]])+1," ")</f>
        <v xml:space="preserve"> </v>
      </c>
      <c r="H241" t="s">
        <v>48</v>
      </c>
      <c r="I241" t="s">
        <v>11</v>
      </c>
      <c r="J241" t="s">
        <v>12</v>
      </c>
      <c r="K241">
        <v>37</v>
      </c>
      <c r="L241" t="str">
        <f>IF(Table1[[#This Row],[Age]]&lt;30,"20-29",
IF(Table1[[#This Row],[Age]]&lt;40,"30-39",
IF(Table1[[#This Row],[Age]]&lt;50,"40-49",
IF(Table1[[#This Row],[Age]]&lt;60,"50-59","60+"))))</f>
        <v>30-39</v>
      </c>
      <c r="M241" t="s">
        <v>13</v>
      </c>
      <c r="N241" t="s">
        <v>35</v>
      </c>
    </row>
    <row r="242" spans="1:14" x14ac:dyDescent="0.35">
      <c r="A242">
        <v>341</v>
      </c>
      <c r="B242" t="s">
        <v>34</v>
      </c>
      <c r="C242" s="6">
        <v>44099</v>
      </c>
      <c r="D242">
        <f>YEAR(Table1[[#This Row],[Join Date]])</f>
        <v>2020</v>
      </c>
      <c r="E242" s="6" t="s">
        <v>48</v>
      </c>
      <c r="F242" t="str">
        <f>IFERROR(YEAR(Table1[[#This Row],[Exit Date]]), " ")</f>
        <v xml:space="preserve"> </v>
      </c>
      <c r="G242" t="str">
        <f>IFERROR((Table1[[#This Row],[Exit Year]]-Table1[[#This Row],[Join Year]])+1," ")</f>
        <v xml:space="preserve"> </v>
      </c>
      <c r="H242" t="s">
        <v>48</v>
      </c>
      <c r="I242" t="s">
        <v>11</v>
      </c>
      <c r="J242" t="s">
        <v>12</v>
      </c>
      <c r="K242">
        <v>23</v>
      </c>
      <c r="L242" t="str">
        <f>IF(Table1[[#This Row],[Age]]&lt;30,"20-29",
IF(Table1[[#This Row],[Age]]&lt;40,"30-39",
IF(Table1[[#This Row],[Age]]&lt;50,"40-49",
IF(Table1[[#This Row],[Age]]&lt;60,"50-59","60+"))))</f>
        <v>20-29</v>
      </c>
      <c r="M242" t="s">
        <v>30</v>
      </c>
      <c r="N242" t="s">
        <v>14</v>
      </c>
    </row>
    <row r="243" spans="1:14" x14ac:dyDescent="0.35">
      <c r="A243">
        <v>342</v>
      </c>
      <c r="B243" t="s">
        <v>34</v>
      </c>
      <c r="C243" s="6">
        <v>45632</v>
      </c>
      <c r="D243">
        <f>YEAR(Table1[[#This Row],[Join Date]])</f>
        <v>2024</v>
      </c>
      <c r="E243" s="6" t="s">
        <v>48</v>
      </c>
      <c r="F243" t="str">
        <f>IFERROR(YEAR(Table1[[#This Row],[Exit Date]]), " ")</f>
        <v xml:space="preserve"> </v>
      </c>
      <c r="G243" t="str">
        <f>IFERROR((Table1[[#This Row],[Exit Year]]-Table1[[#This Row],[Join Year]])+1," ")</f>
        <v xml:space="preserve"> </v>
      </c>
      <c r="H243" t="s">
        <v>48</v>
      </c>
      <c r="I243" t="s">
        <v>11</v>
      </c>
      <c r="J243" t="s">
        <v>12</v>
      </c>
      <c r="K243">
        <v>31</v>
      </c>
      <c r="L243" t="str">
        <f>IF(Table1[[#This Row],[Age]]&lt;30,"20-29",
IF(Table1[[#This Row],[Age]]&lt;40,"30-39",
IF(Table1[[#This Row],[Age]]&lt;50,"40-49",
IF(Table1[[#This Row],[Age]]&lt;60,"50-59","60+"))))</f>
        <v>30-39</v>
      </c>
      <c r="M243" t="s">
        <v>13</v>
      </c>
      <c r="N243" t="s">
        <v>17</v>
      </c>
    </row>
    <row r="244" spans="1:14" x14ac:dyDescent="0.35">
      <c r="A244">
        <v>343</v>
      </c>
      <c r="B244" t="s">
        <v>36</v>
      </c>
      <c r="C244" s="6">
        <v>45294</v>
      </c>
      <c r="D244">
        <f>YEAR(Table1[[#This Row],[Join Date]])</f>
        <v>2024</v>
      </c>
      <c r="E244" s="6" t="s">
        <v>48</v>
      </c>
      <c r="F244" t="str">
        <f>IFERROR(YEAR(Table1[[#This Row],[Exit Date]]), " ")</f>
        <v xml:space="preserve"> </v>
      </c>
      <c r="G244" t="str">
        <f>IFERROR((Table1[[#This Row],[Exit Year]]-Table1[[#This Row],[Join Year]])+1," ")</f>
        <v xml:space="preserve"> </v>
      </c>
      <c r="H244" t="s">
        <v>48</v>
      </c>
      <c r="I244" t="s">
        <v>11</v>
      </c>
      <c r="J244" t="s">
        <v>18</v>
      </c>
      <c r="K244">
        <v>52</v>
      </c>
      <c r="L244" t="str">
        <f>IF(Table1[[#This Row],[Age]]&lt;30,"20-29",
IF(Table1[[#This Row],[Age]]&lt;40,"30-39",
IF(Table1[[#This Row],[Age]]&lt;50,"40-49",
IF(Table1[[#This Row],[Age]]&lt;60,"50-59","60+"))))</f>
        <v>50-59</v>
      </c>
      <c r="M244" t="s">
        <v>13</v>
      </c>
      <c r="N244" t="s">
        <v>19</v>
      </c>
    </row>
    <row r="245" spans="1:14" x14ac:dyDescent="0.35">
      <c r="A245">
        <v>344</v>
      </c>
      <c r="B245" t="s">
        <v>26</v>
      </c>
      <c r="C245" s="6">
        <v>44590</v>
      </c>
      <c r="D245">
        <f>YEAR(Table1[[#This Row],[Join Date]])</f>
        <v>2022</v>
      </c>
      <c r="E245" s="6" t="s">
        <v>48</v>
      </c>
      <c r="F245" t="str">
        <f>IFERROR(YEAR(Table1[[#This Row],[Exit Date]]), " ")</f>
        <v xml:space="preserve"> </v>
      </c>
      <c r="G245" t="str">
        <f>IFERROR((Table1[[#This Row],[Exit Year]]-Table1[[#This Row],[Join Year]])+1," ")</f>
        <v xml:space="preserve"> </v>
      </c>
      <c r="H245" t="s">
        <v>48</v>
      </c>
      <c r="I245" t="s">
        <v>11</v>
      </c>
      <c r="J245" t="s">
        <v>12</v>
      </c>
      <c r="K245">
        <v>25</v>
      </c>
      <c r="L245" t="str">
        <f>IF(Table1[[#This Row],[Age]]&lt;30,"20-29",
IF(Table1[[#This Row],[Age]]&lt;40,"30-39",
IF(Table1[[#This Row],[Age]]&lt;50,"40-49",
IF(Table1[[#This Row],[Age]]&lt;60,"50-59","60+"))))</f>
        <v>20-29</v>
      </c>
      <c r="M245" t="s">
        <v>16</v>
      </c>
      <c r="N245" t="s">
        <v>21</v>
      </c>
    </row>
    <row r="246" spans="1:14" x14ac:dyDescent="0.35">
      <c r="A246">
        <v>345</v>
      </c>
      <c r="B246" t="s">
        <v>15</v>
      </c>
      <c r="C246" s="6">
        <v>45215</v>
      </c>
      <c r="D246">
        <f>YEAR(Table1[[#This Row],[Join Date]])</f>
        <v>2023</v>
      </c>
      <c r="E246" s="6" t="s">
        <v>48</v>
      </c>
      <c r="F246" t="str">
        <f>IFERROR(YEAR(Table1[[#This Row],[Exit Date]]), " ")</f>
        <v xml:space="preserve"> </v>
      </c>
      <c r="G246" t="str">
        <f>IFERROR((Table1[[#This Row],[Exit Year]]-Table1[[#This Row],[Join Year]])+1," ")</f>
        <v xml:space="preserve"> </v>
      </c>
      <c r="H246" t="s">
        <v>48</v>
      </c>
      <c r="I246" t="s">
        <v>11</v>
      </c>
      <c r="J246" t="s">
        <v>12</v>
      </c>
      <c r="K246">
        <v>46</v>
      </c>
      <c r="L246" t="str">
        <f>IF(Table1[[#This Row],[Age]]&lt;30,"20-29",
IF(Table1[[#This Row],[Age]]&lt;40,"30-39",
IF(Table1[[#This Row],[Age]]&lt;50,"40-49",
IF(Table1[[#This Row],[Age]]&lt;60,"50-59","60+"))))</f>
        <v>40-49</v>
      </c>
      <c r="M246" t="s">
        <v>13</v>
      </c>
      <c r="N246" t="s">
        <v>25</v>
      </c>
    </row>
    <row r="247" spans="1:14" x14ac:dyDescent="0.35">
      <c r="A247">
        <v>346</v>
      </c>
      <c r="B247" t="s">
        <v>15</v>
      </c>
      <c r="C247" s="6">
        <v>43624</v>
      </c>
      <c r="D247">
        <f>YEAR(Table1[[#This Row],[Join Date]])</f>
        <v>2019</v>
      </c>
      <c r="E247" s="6">
        <v>44228</v>
      </c>
      <c r="F247">
        <f>IFERROR(YEAR(Table1[[#This Row],[Exit Date]]), " ")</f>
        <v>2021</v>
      </c>
      <c r="G247">
        <f>IFERROR((Table1[[#This Row],[Exit Year]]-Table1[[#This Row],[Join Year]])+1," ")</f>
        <v>3</v>
      </c>
      <c r="H247" t="s">
        <v>41</v>
      </c>
      <c r="I247" t="s">
        <v>23</v>
      </c>
      <c r="J247" t="s">
        <v>18</v>
      </c>
      <c r="K247">
        <v>24</v>
      </c>
      <c r="L247" t="str">
        <f>IF(Table1[[#This Row],[Age]]&lt;30,"20-29",
IF(Table1[[#This Row],[Age]]&lt;40,"30-39",
IF(Table1[[#This Row],[Age]]&lt;50,"40-49",
IF(Table1[[#This Row],[Age]]&lt;60,"50-59","60+"))))</f>
        <v>20-29</v>
      </c>
      <c r="M247" t="s">
        <v>20</v>
      </c>
      <c r="N247" t="s">
        <v>28</v>
      </c>
    </row>
    <row r="248" spans="1:14" x14ac:dyDescent="0.35">
      <c r="A248">
        <v>347</v>
      </c>
      <c r="B248" t="s">
        <v>15</v>
      </c>
      <c r="C248" s="6">
        <v>44514</v>
      </c>
      <c r="D248">
        <f>YEAR(Table1[[#This Row],[Join Date]])</f>
        <v>2021</v>
      </c>
      <c r="E248" s="6">
        <v>45529</v>
      </c>
      <c r="F248">
        <f>IFERROR(YEAR(Table1[[#This Row],[Exit Date]]), " ")</f>
        <v>2024</v>
      </c>
      <c r="G248">
        <f>IFERROR((Table1[[#This Row],[Exit Year]]-Table1[[#This Row],[Join Year]])+1," ")</f>
        <v>4</v>
      </c>
      <c r="H248" t="s">
        <v>41</v>
      </c>
      <c r="I248" t="s">
        <v>23</v>
      </c>
      <c r="J248" t="s">
        <v>12</v>
      </c>
      <c r="K248">
        <v>38</v>
      </c>
      <c r="L248" t="str">
        <f>IF(Table1[[#This Row],[Age]]&lt;30,"20-29",
IF(Table1[[#This Row],[Age]]&lt;40,"30-39",
IF(Table1[[#This Row],[Age]]&lt;50,"40-49",
IF(Table1[[#This Row],[Age]]&lt;60,"50-59","60+"))))</f>
        <v>30-39</v>
      </c>
      <c r="M248" t="s">
        <v>39</v>
      </c>
      <c r="N248" t="s">
        <v>31</v>
      </c>
    </row>
    <row r="249" spans="1:14" x14ac:dyDescent="0.35">
      <c r="A249">
        <v>348</v>
      </c>
      <c r="B249" t="s">
        <v>29</v>
      </c>
      <c r="C249" s="6">
        <v>43700</v>
      </c>
      <c r="D249">
        <f>YEAR(Table1[[#This Row],[Join Date]])</f>
        <v>2019</v>
      </c>
      <c r="E249" s="6" t="s">
        <v>48</v>
      </c>
      <c r="F249" t="str">
        <f>IFERROR(YEAR(Table1[[#This Row],[Exit Date]]), " ")</f>
        <v xml:space="preserve"> </v>
      </c>
      <c r="G249" t="str">
        <f>IFERROR((Table1[[#This Row],[Exit Year]]-Table1[[#This Row],[Join Year]])+1," ")</f>
        <v xml:space="preserve"> </v>
      </c>
      <c r="H249" t="s">
        <v>48</v>
      </c>
      <c r="I249" t="s">
        <v>11</v>
      </c>
      <c r="J249" t="s">
        <v>18</v>
      </c>
      <c r="K249">
        <v>49</v>
      </c>
      <c r="L249" t="str">
        <f>IF(Table1[[#This Row],[Age]]&lt;30,"20-29",
IF(Table1[[#This Row],[Age]]&lt;40,"30-39",
IF(Table1[[#This Row],[Age]]&lt;50,"40-49",
IF(Table1[[#This Row],[Age]]&lt;60,"50-59","60+"))))</f>
        <v>40-49</v>
      </c>
      <c r="M249" t="s">
        <v>13</v>
      </c>
      <c r="N249" t="s">
        <v>32</v>
      </c>
    </row>
    <row r="250" spans="1:14" x14ac:dyDescent="0.35">
      <c r="A250">
        <v>349</v>
      </c>
      <c r="B250" t="s">
        <v>34</v>
      </c>
      <c r="C250" s="6">
        <v>45540</v>
      </c>
      <c r="D250">
        <f>YEAR(Table1[[#This Row],[Join Date]])</f>
        <v>2024</v>
      </c>
      <c r="E250" s="6" t="s">
        <v>48</v>
      </c>
      <c r="F250" t="str">
        <f>IFERROR(YEAR(Table1[[#This Row],[Exit Date]]), " ")</f>
        <v xml:space="preserve"> </v>
      </c>
      <c r="G250" t="str">
        <f>IFERROR((Table1[[#This Row],[Exit Year]]-Table1[[#This Row],[Join Year]])+1," ")</f>
        <v xml:space="preserve"> </v>
      </c>
      <c r="H250" t="s">
        <v>48</v>
      </c>
      <c r="I250" t="s">
        <v>11</v>
      </c>
      <c r="J250" t="s">
        <v>18</v>
      </c>
      <c r="K250">
        <v>31</v>
      </c>
      <c r="L250" t="str">
        <f>IF(Table1[[#This Row],[Age]]&lt;30,"20-29",
IF(Table1[[#This Row],[Age]]&lt;40,"30-39",
IF(Table1[[#This Row],[Age]]&lt;50,"40-49",
IF(Table1[[#This Row],[Age]]&lt;60,"50-59","60+"))))</f>
        <v>30-39</v>
      </c>
      <c r="M250" t="s">
        <v>16</v>
      </c>
      <c r="N250" t="s">
        <v>33</v>
      </c>
    </row>
    <row r="251" spans="1:14" x14ac:dyDescent="0.35">
      <c r="A251">
        <v>350</v>
      </c>
      <c r="B251" t="s">
        <v>10</v>
      </c>
      <c r="C251" s="6">
        <v>43297</v>
      </c>
      <c r="D251">
        <f>YEAR(Table1[[#This Row],[Join Date]])</f>
        <v>2018</v>
      </c>
      <c r="E251" s="6">
        <v>44682</v>
      </c>
      <c r="F251">
        <f>IFERROR(YEAR(Table1[[#This Row],[Exit Date]]), " ")</f>
        <v>2022</v>
      </c>
      <c r="G251">
        <f>IFERROR((Table1[[#This Row],[Exit Year]]-Table1[[#This Row],[Join Year]])+1," ")</f>
        <v>5</v>
      </c>
      <c r="H251" t="s">
        <v>40</v>
      </c>
      <c r="I251" t="s">
        <v>23</v>
      </c>
      <c r="J251" t="s">
        <v>12</v>
      </c>
      <c r="K251">
        <v>51</v>
      </c>
      <c r="L251" t="str">
        <f>IF(Table1[[#This Row],[Age]]&lt;30,"20-29",
IF(Table1[[#This Row],[Age]]&lt;40,"30-39",
IF(Table1[[#This Row],[Age]]&lt;50,"40-49",
IF(Table1[[#This Row],[Age]]&lt;60,"50-59","60+"))))</f>
        <v>50-59</v>
      </c>
      <c r="M251" t="s">
        <v>16</v>
      </c>
      <c r="N251" t="s">
        <v>35</v>
      </c>
    </row>
    <row r="252" spans="1:14" x14ac:dyDescent="0.35">
      <c r="A252">
        <v>351</v>
      </c>
      <c r="B252" t="s">
        <v>10</v>
      </c>
      <c r="C252" s="6">
        <v>43407</v>
      </c>
      <c r="D252">
        <f>YEAR(Table1[[#This Row],[Join Date]])</f>
        <v>2018</v>
      </c>
      <c r="E252" s="6" t="s">
        <v>48</v>
      </c>
      <c r="F252" t="str">
        <f>IFERROR(YEAR(Table1[[#This Row],[Exit Date]]), " ")</f>
        <v xml:space="preserve"> </v>
      </c>
      <c r="G252" t="str">
        <f>IFERROR((Table1[[#This Row],[Exit Year]]-Table1[[#This Row],[Join Year]])+1," ")</f>
        <v xml:space="preserve"> </v>
      </c>
      <c r="H252" t="s">
        <v>48</v>
      </c>
      <c r="I252" t="s">
        <v>11</v>
      </c>
      <c r="J252" t="s">
        <v>12</v>
      </c>
      <c r="K252">
        <v>27</v>
      </c>
      <c r="L252" t="str">
        <f>IF(Table1[[#This Row],[Age]]&lt;30,"20-29",
IF(Table1[[#This Row],[Age]]&lt;40,"30-39",
IF(Table1[[#This Row],[Age]]&lt;50,"40-49",
IF(Table1[[#This Row],[Age]]&lt;60,"50-59","60+"))))</f>
        <v>20-29</v>
      </c>
      <c r="M252" t="s">
        <v>20</v>
      </c>
      <c r="N252" t="s">
        <v>37</v>
      </c>
    </row>
    <row r="253" spans="1:14" x14ac:dyDescent="0.35">
      <c r="A253">
        <v>352</v>
      </c>
      <c r="B253" t="s">
        <v>15</v>
      </c>
      <c r="C253" s="6">
        <v>44121</v>
      </c>
      <c r="D253">
        <f>YEAR(Table1[[#This Row],[Join Date]])</f>
        <v>2020</v>
      </c>
      <c r="E253" s="6" t="s">
        <v>48</v>
      </c>
      <c r="F253" t="str">
        <f>IFERROR(YEAR(Table1[[#This Row],[Exit Date]]), " ")</f>
        <v xml:space="preserve"> </v>
      </c>
      <c r="G253" t="str">
        <f>IFERROR((Table1[[#This Row],[Exit Year]]-Table1[[#This Row],[Join Year]])+1," ")</f>
        <v xml:space="preserve"> </v>
      </c>
      <c r="H253" t="s">
        <v>48</v>
      </c>
      <c r="I253" t="s">
        <v>11</v>
      </c>
      <c r="J253" t="s">
        <v>12</v>
      </c>
      <c r="K253">
        <v>22</v>
      </c>
      <c r="L253" t="str">
        <f>IF(Table1[[#This Row],[Age]]&lt;30,"20-29",
IF(Table1[[#This Row],[Age]]&lt;40,"30-39",
IF(Table1[[#This Row],[Age]]&lt;50,"40-49",
IF(Table1[[#This Row],[Age]]&lt;60,"50-59","60+"))))</f>
        <v>20-29</v>
      </c>
      <c r="M253" t="s">
        <v>24</v>
      </c>
      <c r="N253" t="s">
        <v>19</v>
      </c>
    </row>
    <row r="254" spans="1:14" x14ac:dyDescent="0.35">
      <c r="A254">
        <v>353</v>
      </c>
      <c r="B254" t="s">
        <v>15</v>
      </c>
      <c r="C254" s="6">
        <v>44423</v>
      </c>
      <c r="D254">
        <f>YEAR(Table1[[#This Row],[Join Date]])</f>
        <v>2021</v>
      </c>
      <c r="E254" s="6" t="s">
        <v>48</v>
      </c>
      <c r="F254" t="str">
        <f>IFERROR(YEAR(Table1[[#This Row],[Exit Date]]), " ")</f>
        <v xml:space="preserve"> </v>
      </c>
      <c r="G254" t="str">
        <f>IFERROR((Table1[[#This Row],[Exit Year]]-Table1[[#This Row],[Join Year]])+1," ")</f>
        <v xml:space="preserve"> </v>
      </c>
      <c r="H254" t="s">
        <v>48</v>
      </c>
      <c r="I254" t="s">
        <v>11</v>
      </c>
      <c r="J254" t="s">
        <v>18</v>
      </c>
      <c r="K254">
        <v>50</v>
      </c>
      <c r="L254" t="str">
        <f>IF(Table1[[#This Row],[Age]]&lt;30,"20-29",
IF(Table1[[#This Row],[Age]]&lt;40,"30-39",
IF(Table1[[#This Row],[Age]]&lt;50,"40-49",
IF(Table1[[#This Row],[Age]]&lt;60,"50-59","60+"))))</f>
        <v>50-59</v>
      </c>
      <c r="M254" t="s">
        <v>13</v>
      </c>
      <c r="N254" t="s">
        <v>25</v>
      </c>
    </row>
    <row r="255" spans="1:14" x14ac:dyDescent="0.35">
      <c r="A255">
        <v>354</v>
      </c>
      <c r="B255" t="s">
        <v>15</v>
      </c>
      <c r="C255" s="6">
        <v>45087</v>
      </c>
      <c r="D255">
        <f>YEAR(Table1[[#This Row],[Join Date]])</f>
        <v>2023</v>
      </c>
      <c r="E255" s="6" t="s">
        <v>48</v>
      </c>
      <c r="F255" t="str">
        <f>IFERROR(YEAR(Table1[[#This Row],[Exit Date]]), " ")</f>
        <v xml:space="preserve"> </v>
      </c>
      <c r="G255" t="str">
        <f>IFERROR((Table1[[#This Row],[Exit Year]]-Table1[[#This Row],[Join Year]])+1," ")</f>
        <v xml:space="preserve"> </v>
      </c>
      <c r="H255" t="s">
        <v>48</v>
      </c>
      <c r="I255" t="s">
        <v>11</v>
      </c>
      <c r="J255" t="s">
        <v>18</v>
      </c>
      <c r="K255">
        <v>24</v>
      </c>
      <c r="L255" t="str">
        <f>IF(Table1[[#This Row],[Age]]&lt;30,"20-29",
IF(Table1[[#This Row],[Age]]&lt;40,"30-39",
IF(Table1[[#This Row],[Age]]&lt;50,"40-49",
IF(Table1[[#This Row],[Age]]&lt;60,"50-59","60+"))))</f>
        <v>20-29</v>
      </c>
      <c r="M255" t="s">
        <v>30</v>
      </c>
      <c r="N255" t="s">
        <v>35</v>
      </c>
    </row>
    <row r="256" spans="1:14" x14ac:dyDescent="0.35">
      <c r="A256">
        <v>355</v>
      </c>
      <c r="B256" t="s">
        <v>15</v>
      </c>
      <c r="C256" s="6">
        <v>43479</v>
      </c>
      <c r="D256">
        <f>YEAR(Table1[[#This Row],[Join Date]])</f>
        <v>2019</v>
      </c>
      <c r="E256" s="6">
        <v>44449</v>
      </c>
      <c r="F256">
        <f>IFERROR(YEAR(Table1[[#This Row],[Exit Date]]), " ")</f>
        <v>2021</v>
      </c>
      <c r="G256">
        <f>IFERROR((Table1[[#This Row],[Exit Year]]-Table1[[#This Row],[Join Year]])+1," ")</f>
        <v>3</v>
      </c>
      <c r="H256" t="s">
        <v>46</v>
      </c>
      <c r="I256" t="s">
        <v>23</v>
      </c>
      <c r="J256" t="s">
        <v>12</v>
      </c>
      <c r="K256">
        <v>50</v>
      </c>
      <c r="L256" t="str">
        <f>IF(Table1[[#This Row],[Age]]&lt;30,"20-29",
IF(Table1[[#This Row],[Age]]&lt;40,"30-39",
IF(Table1[[#This Row],[Age]]&lt;50,"40-49",
IF(Table1[[#This Row],[Age]]&lt;60,"50-59","60+"))))</f>
        <v>50-59</v>
      </c>
      <c r="M256" t="s">
        <v>13</v>
      </c>
      <c r="N256" t="s">
        <v>17</v>
      </c>
    </row>
    <row r="257" spans="1:14" x14ac:dyDescent="0.35">
      <c r="A257">
        <v>356</v>
      </c>
      <c r="B257" t="s">
        <v>26</v>
      </c>
      <c r="C257" s="6">
        <v>44749</v>
      </c>
      <c r="D257">
        <f>YEAR(Table1[[#This Row],[Join Date]])</f>
        <v>2022</v>
      </c>
      <c r="E257" s="6">
        <v>44972</v>
      </c>
      <c r="F257">
        <f>IFERROR(YEAR(Table1[[#This Row],[Exit Date]]), " ")</f>
        <v>2023</v>
      </c>
      <c r="G257">
        <f>IFERROR((Table1[[#This Row],[Exit Year]]-Table1[[#This Row],[Join Year]])+1," ")</f>
        <v>2</v>
      </c>
      <c r="H257" t="s">
        <v>46</v>
      </c>
      <c r="I257" t="s">
        <v>23</v>
      </c>
      <c r="J257" t="s">
        <v>18</v>
      </c>
      <c r="K257">
        <v>28</v>
      </c>
      <c r="L257" t="str">
        <f>IF(Table1[[#This Row],[Age]]&lt;30,"20-29",
IF(Table1[[#This Row],[Age]]&lt;40,"30-39",
IF(Table1[[#This Row],[Age]]&lt;50,"40-49",
IF(Table1[[#This Row],[Age]]&lt;60,"50-59","60+"))))</f>
        <v>20-29</v>
      </c>
      <c r="M257" t="s">
        <v>13</v>
      </c>
      <c r="N257" t="s">
        <v>19</v>
      </c>
    </row>
    <row r="258" spans="1:14" x14ac:dyDescent="0.35">
      <c r="A258">
        <v>357</v>
      </c>
      <c r="B258" t="s">
        <v>29</v>
      </c>
      <c r="C258" s="6">
        <v>45457</v>
      </c>
      <c r="D258">
        <f>YEAR(Table1[[#This Row],[Join Date]])</f>
        <v>2024</v>
      </c>
      <c r="E258" s="6" t="s">
        <v>48</v>
      </c>
      <c r="F258" t="str">
        <f>IFERROR(YEAR(Table1[[#This Row],[Exit Date]]), " ")</f>
        <v xml:space="preserve"> </v>
      </c>
      <c r="G258" t="str">
        <f>IFERROR((Table1[[#This Row],[Exit Year]]-Table1[[#This Row],[Join Year]])+1," ")</f>
        <v xml:space="preserve"> </v>
      </c>
      <c r="H258" t="s">
        <v>48</v>
      </c>
      <c r="I258" t="s">
        <v>11</v>
      </c>
      <c r="J258" t="s">
        <v>18</v>
      </c>
      <c r="K258">
        <v>40</v>
      </c>
      <c r="L258" t="str">
        <f>IF(Table1[[#This Row],[Age]]&lt;30,"20-29",
IF(Table1[[#This Row],[Age]]&lt;40,"30-39",
IF(Table1[[#This Row],[Age]]&lt;50,"40-49",
IF(Table1[[#This Row],[Age]]&lt;60,"50-59","60+"))))</f>
        <v>40-49</v>
      </c>
      <c r="M258" t="s">
        <v>16</v>
      </c>
      <c r="N258" t="s">
        <v>21</v>
      </c>
    </row>
    <row r="259" spans="1:14" x14ac:dyDescent="0.35">
      <c r="A259">
        <v>358</v>
      </c>
      <c r="B259" t="s">
        <v>10</v>
      </c>
      <c r="C259" s="6">
        <v>43304</v>
      </c>
      <c r="D259">
        <f>YEAR(Table1[[#This Row],[Join Date]])</f>
        <v>2018</v>
      </c>
      <c r="E259" s="6" t="s">
        <v>48</v>
      </c>
      <c r="F259" t="str">
        <f>IFERROR(YEAR(Table1[[#This Row],[Exit Date]]), " ")</f>
        <v xml:space="preserve"> </v>
      </c>
      <c r="G259" t="str">
        <f>IFERROR((Table1[[#This Row],[Exit Year]]-Table1[[#This Row],[Join Year]])+1," ")</f>
        <v xml:space="preserve"> </v>
      </c>
      <c r="H259" t="s">
        <v>48</v>
      </c>
      <c r="I259" t="s">
        <v>11</v>
      </c>
      <c r="J259" t="s">
        <v>12</v>
      </c>
      <c r="K259">
        <v>32</v>
      </c>
      <c r="L259" t="str">
        <f>IF(Table1[[#This Row],[Age]]&lt;30,"20-29",
IF(Table1[[#This Row],[Age]]&lt;40,"30-39",
IF(Table1[[#This Row],[Age]]&lt;50,"40-49",
IF(Table1[[#This Row],[Age]]&lt;60,"50-59","60+"))))</f>
        <v>30-39</v>
      </c>
      <c r="M259" t="s">
        <v>13</v>
      </c>
      <c r="N259" t="s">
        <v>25</v>
      </c>
    </row>
    <row r="260" spans="1:14" x14ac:dyDescent="0.35">
      <c r="A260">
        <v>359</v>
      </c>
      <c r="B260" t="s">
        <v>15</v>
      </c>
      <c r="C260" s="6">
        <v>44987</v>
      </c>
      <c r="D260">
        <f>YEAR(Table1[[#This Row],[Join Date]])</f>
        <v>2023</v>
      </c>
      <c r="E260" s="6" t="s">
        <v>48</v>
      </c>
      <c r="F260" t="str">
        <f>IFERROR(YEAR(Table1[[#This Row],[Exit Date]]), " ")</f>
        <v xml:space="preserve"> </v>
      </c>
      <c r="G260" t="str">
        <f>IFERROR((Table1[[#This Row],[Exit Year]]-Table1[[#This Row],[Join Year]])+1," ")</f>
        <v xml:space="preserve"> </v>
      </c>
      <c r="H260" t="s">
        <v>48</v>
      </c>
      <c r="I260" t="s">
        <v>11</v>
      </c>
      <c r="J260" t="s">
        <v>12</v>
      </c>
      <c r="K260">
        <v>50</v>
      </c>
      <c r="L260" t="str">
        <f>IF(Table1[[#This Row],[Age]]&lt;30,"20-29",
IF(Table1[[#This Row],[Age]]&lt;40,"30-39",
IF(Table1[[#This Row],[Age]]&lt;50,"40-49",
IF(Table1[[#This Row],[Age]]&lt;60,"50-59","60+"))))</f>
        <v>50-59</v>
      </c>
      <c r="M260" t="s">
        <v>20</v>
      </c>
      <c r="N260" t="s">
        <v>35</v>
      </c>
    </row>
    <row r="261" spans="1:14" x14ac:dyDescent="0.35">
      <c r="A261">
        <v>360</v>
      </c>
      <c r="B261" t="s">
        <v>34</v>
      </c>
      <c r="C261" s="6">
        <v>45326</v>
      </c>
      <c r="D261">
        <f>YEAR(Table1[[#This Row],[Join Date]])</f>
        <v>2024</v>
      </c>
      <c r="E261" s="6" t="s">
        <v>48</v>
      </c>
      <c r="F261" t="str">
        <f>IFERROR(YEAR(Table1[[#This Row],[Exit Date]]), " ")</f>
        <v xml:space="preserve"> </v>
      </c>
      <c r="G261" t="str">
        <f>IFERROR((Table1[[#This Row],[Exit Year]]-Table1[[#This Row],[Join Year]])+1," ")</f>
        <v xml:space="preserve"> </v>
      </c>
      <c r="H261" t="s">
        <v>48</v>
      </c>
      <c r="I261" t="s">
        <v>11</v>
      </c>
      <c r="J261" t="s">
        <v>12</v>
      </c>
      <c r="K261">
        <v>24</v>
      </c>
      <c r="L261" t="str">
        <f>IF(Table1[[#This Row],[Age]]&lt;30,"20-29",
IF(Table1[[#This Row],[Age]]&lt;40,"30-39",
IF(Table1[[#This Row],[Age]]&lt;50,"40-49",
IF(Table1[[#This Row],[Age]]&lt;60,"50-59","60+"))))</f>
        <v>20-29</v>
      </c>
      <c r="M261" t="s">
        <v>44</v>
      </c>
      <c r="N261" t="s">
        <v>14</v>
      </c>
    </row>
    <row r="262" spans="1:14" x14ac:dyDescent="0.35">
      <c r="A262">
        <v>361</v>
      </c>
      <c r="B262" t="s">
        <v>36</v>
      </c>
      <c r="C262" s="6">
        <v>45474</v>
      </c>
      <c r="D262">
        <f>YEAR(Table1[[#This Row],[Join Date]])</f>
        <v>2024</v>
      </c>
      <c r="E262" s="6" t="s">
        <v>48</v>
      </c>
      <c r="F262" t="str">
        <f>IFERROR(YEAR(Table1[[#This Row],[Exit Date]]), " ")</f>
        <v xml:space="preserve"> </v>
      </c>
      <c r="G262" t="str">
        <f>IFERROR((Table1[[#This Row],[Exit Year]]-Table1[[#This Row],[Join Year]])+1," ")</f>
        <v xml:space="preserve"> </v>
      </c>
      <c r="H262" t="s">
        <v>48</v>
      </c>
      <c r="I262" t="s">
        <v>11</v>
      </c>
      <c r="J262" t="s">
        <v>12</v>
      </c>
      <c r="K262">
        <v>36</v>
      </c>
      <c r="L262" t="str">
        <f>IF(Table1[[#This Row],[Age]]&lt;30,"20-29",
IF(Table1[[#This Row],[Age]]&lt;40,"30-39",
IF(Table1[[#This Row],[Age]]&lt;50,"40-49",
IF(Table1[[#This Row],[Age]]&lt;60,"50-59","60+"))))</f>
        <v>30-39</v>
      </c>
      <c r="M262" t="s">
        <v>13</v>
      </c>
      <c r="N262" t="s">
        <v>19</v>
      </c>
    </row>
    <row r="263" spans="1:14" x14ac:dyDescent="0.35">
      <c r="A263">
        <v>362</v>
      </c>
      <c r="B263" t="s">
        <v>29</v>
      </c>
      <c r="C263" s="6">
        <v>44227</v>
      </c>
      <c r="D263">
        <f>YEAR(Table1[[#This Row],[Join Date]])</f>
        <v>2021</v>
      </c>
      <c r="E263" s="6">
        <v>45322</v>
      </c>
      <c r="F263">
        <f>IFERROR(YEAR(Table1[[#This Row],[Exit Date]]), " ")</f>
        <v>2024</v>
      </c>
      <c r="G263">
        <f>IFERROR((Table1[[#This Row],[Exit Year]]-Table1[[#This Row],[Join Year]])+1," ")</f>
        <v>4</v>
      </c>
      <c r="H263" t="s">
        <v>46</v>
      </c>
      <c r="I263" t="s">
        <v>23</v>
      </c>
      <c r="J263" t="s">
        <v>18</v>
      </c>
      <c r="K263">
        <v>49</v>
      </c>
      <c r="L263" t="str">
        <f>IF(Table1[[#This Row],[Age]]&lt;30,"20-29",
IF(Table1[[#This Row],[Age]]&lt;40,"30-39",
IF(Table1[[#This Row],[Age]]&lt;50,"40-49",
IF(Table1[[#This Row],[Age]]&lt;60,"50-59","60+"))))</f>
        <v>40-49</v>
      </c>
      <c r="M263" t="s">
        <v>16</v>
      </c>
      <c r="N263" t="s">
        <v>21</v>
      </c>
    </row>
    <row r="264" spans="1:14" x14ac:dyDescent="0.35">
      <c r="A264">
        <v>363</v>
      </c>
      <c r="B264" t="s">
        <v>10</v>
      </c>
      <c r="C264" s="6">
        <v>43446</v>
      </c>
      <c r="D264">
        <f>YEAR(Table1[[#This Row],[Join Date]])</f>
        <v>2018</v>
      </c>
      <c r="E264" s="6">
        <v>43936</v>
      </c>
      <c r="F264">
        <f>IFERROR(YEAR(Table1[[#This Row],[Exit Date]]), " ")</f>
        <v>2020</v>
      </c>
      <c r="G264">
        <f>IFERROR((Table1[[#This Row],[Exit Year]]-Table1[[#This Row],[Join Year]])+1," ")</f>
        <v>3</v>
      </c>
      <c r="H264" t="s">
        <v>38</v>
      </c>
      <c r="I264" t="s">
        <v>23</v>
      </c>
      <c r="J264" t="s">
        <v>18</v>
      </c>
      <c r="K264">
        <v>43</v>
      </c>
      <c r="L264" t="str">
        <f>IF(Table1[[#This Row],[Age]]&lt;30,"20-29",
IF(Table1[[#This Row],[Age]]&lt;40,"30-39",
IF(Table1[[#This Row],[Age]]&lt;50,"40-49",
IF(Table1[[#This Row],[Age]]&lt;60,"50-59","60+"))))</f>
        <v>40-49</v>
      </c>
      <c r="M264" t="s">
        <v>16</v>
      </c>
      <c r="N264" t="s">
        <v>37</v>
      </c>
    </row>
    <row r="265" spans="1:14" x14ac:dyDescent="0.35">
      <c r="A265">
        <v>364</v>
      </c>
      <c r="B265" t="s">
        <v>15</v>
      </c>
      <c r="C265" s="6">
        <v>45314</v>
      </c>
      <c r="D265">
        <f>YEAR(Table1[[#This Row],[Join Date]])</f>
        <v>2024</v>
      </c>
      <c r="E265" s="6" t="s">
        <v>48</v>
      </c>
      <c r="F265" t="str">
        <f>IFERROR(YEAR(Table1[[#This Row],[Exit Date]]), " ")</f>
        <v xml:space="preserve"> </v>
      </c>
      <c r="G265" t="str">
        <f>IFERROR((Table1[[#This Row],[Exit Year]]-Table1[[#This Row],[Join Year]])+1," ")</f>
        <v xml:space="preserve"> </v>
      </c>
      <c r="H265" t="s">
        <v>48</v>
      </c>
      <c r="I265" t="s">
        <v>11</v>
      </c>
      <c r="J265" t="s">
        <v>18</v>
      </c>
      <c r="K265">
        <v>40</v>
      </c>
      <c r="L265" t="str">
        <f>IF(Table1[[#This Row],[Age]]&lt;30,"20-29",
IF(Table1[[#This Row],[Age]]&lt;40,"30-39",
IF(Table1[[#This Row],[Age]]&lt;50,"40-49",
IF(Table1[[#This Row],[Age]]&lt;60,"50-59","60+"))))</f>
        <v>40-49</v>
      </c>
      <c r="M265" t="s">
        <v>20</v>
      </c>
      <c r="N265" t="s">
        <v>25</v>
      </c>
    </row>
    <row r="266" spans="1:14" x14ac:dyDescent="0.35">
      <c r="A266">
        <v>365</v>
      </c>
      <c r="B266" t="s">
        <v>15</v>
      </c>
      <c r="C266" s="6">
        <v>43123</v>
      </c>
      <c r="D266">
        <f>YEAR(Table1[[#This Row],[Join Date]])</f>
        <v>2018</v>
      </c>
      <c r="E266" s="6" t="s">
        <v>48</v>
      </c>
      <c r="F266" t="str">
        <f>IFERROR(YEAR(Table1[[#This Row],[Exit Date]]), " ")</f>
        <v xml:space="preserve"> </v>
      </c>
      <c r="G266" t="str">
        <f>IFERROR((Table1[[#This Row],[Exit Year]]-Table1[[#This Row],[Join Year]])+1," ")</f>
        <v xml:space="preserve"> </v>
      </c>
      <c r="H266" t="s">
        <v>48</v>
      </c>
      <c r="I266" t="s">
        <v>11</v>
      </c>
      <c r="J266" t="s">
        <v>12</v>
      </c>
      <c r="K266">
        <v>42</v>
      </c>
      <c r="L266" t="str">
        <f>IF(Table1[[#This Row],[Age]]&lt;30,"20-29",
IF(Table1[[#This Row],[Age]]&lt;40,"30-39",
IF(Table1[[#This Row],[Age]]&lt;50,"40-49",
IF(Table1[[#This Row],[Age]]&lt;60,"50-59","60+"))))</f>
        <v>40-49</v>
      </c>
      <c r="M266" t="s">
        <v>24</v>
      </c>
      <c r="N266" t="s">
        <v>35</v>
      </c>
    </row>
    <row r="267" spans="1:14" x14ac:dyDescent="0.35">
      <c r="A267">
        <v>366</v>
      </c>
      <c r="B267" t="s">
        <v>10</v>
      </c>
      <c r="C267" s="6">
        <v>43717</v>
      </c>
      <c r="D267">
        <f>YEAR(Table1[[#This Row],[Join Date]])</f>
        <v>2019</v>
      </c>
      <c r="E267" s="6">
        <v>44677</v>
      </c>
      <c r="F267">
        <f>IFERROR(YEAR(Table1[[#This Row],[Exit Date]]), " ")</f>
        <v>2022</v>
      </c>
      <c r="G267">
        <f>IFERROR((Table1[[#This Row],[Exit Year]]-Table1[[#This Row],[Join Year]])+1," ")</f>
        <v>4</v>
      </c>
      <c r="H267" t="s">
        <v>40</v>
      </c>
      <c r="I267" t="s">
        <v>23</v>
      </c>
      <c r="J267" t="s">
        <v>18</v>
      </c>
      <c r="K267">
        <v>35</v>
      </c>
      <c r="L267" t="str">
        <f>IF(Table1[[#This Row],[Age]]&lt;30,"20-29",
IF(Table1[[#This Row],[Age]]&lt;40,"30-39",
IF(Table1[[#This Row],[Age]]&lt;50,"40-49",
IF(Table1[[#This Row],[Age]]&lt;60,"50-59","60+"))))</f>
        <v>30-39</v>
      </c>
      <c r="M267" t="s">
        <v>13</v>
      </c>
      <c r="N267" t="s">
        <v>37</v>
      </c>
    </row>
    <row r="268" spans="1:14" x14ac:dyDescent="0.35">
      <c r="A268">
        <v>367</v>
      </c>
      <c r="B268" t="s">
        <v>29</v>
      </c>
      <c r="C268" s="6">
        <v>43534</v>
      </c>
      <c r="D268">
        <f>YEAR(Table1[[#This Row],[Join Date]])</f>
        <v>2019</v>
      </c>
      <c r="E268" s="6">
        <v>44117</v>
      </c>
      <c r="F268">
        <f>IFERROR(YEAR(Table1[[#This Row],[Exit Date]]), " ")</f>
        <v>2020</v>
      </c>
      <c r="G268">
        <f>IFERROR((Table1[[#This Row],[Exit Year]]-Table1[[#This Row],[Join Year]])+1," ")</f>
        <v>2</v>
      </c>
      <c r="H268" t="s">
        <v>38</v>
      </c>
      <c r="I268" t="s">
        <v>23</v>
      </c>
      <c r="J268" t="s">
        <v>18</v>
      </c>
      <c r="K268">
        <v>31</v>
      </c>
      <c r="L268" t="str">
        <f>IF(Table1[[#This Row],[Age]]&lt;30,"20-29",
IF(Table1[[#This Row],[Age]]&lt;40,"30-39",
IF(Table1[[#This Row],[Age]]&lt;50,"40-49",
IF(Table1[[#This Row],[Age]]&lt;60,"50-59","60+"))))</f>
        <v>30-39</v>
      </c>
      <c r="M268" t="s">
        <v>44</v>
      </c>
      <c r="N268" t="s">
        <v>25</v>
      </c>
    </row>
    <row r="269" spans="1:14" x14ac:dyDescent="0.35">
      <c r="A269">
        <v>368</v>
      </c>
      <c r="B269" t="s">
        <v>36</v>
      </c>
      <c r="C269" s="6">
        <v>44619</v>
      </c>
      <c r="D269">
        <f>YEAR(Table1[[#This Row],[Join Date]])</f>
        <v>2022</v>
      </c>
      <c r="E269" s="6" t="s">
        <v>48</v>
      </c>
      <c r="F269" t="str">
        <f>IFERROR(YEAR(Table1[[#This Row],[Exit Date]]), " ")</f>
        <v xml:space="preserve"> </v>
      </c>
      <c r="G269" t="str">
        <f>IFERROR((Table1[[#This Row],[Exit Year]]-Table1[[#This Row],[Join Year]])+1," ")</f>
        <v xml:space="preserve"> </v>
      </c>
      <c r="H269" t="s">
        <v>48</v>
      </c>
      <c r="I269" t="s">
        <v>11</v>
      </c>
      <c r="J269" t="s">
        <v>12</v>
      </c>
      <c r="K269">
        <v>51</v>
      </c>
      <c r="L269" t="str">
        <f>IF(Table1[[#This Row],[Age]]&lt;30,"20-29",
IF(Table1[[#This Row],[Age]]&lt;40,"30-39",
IF(Table1[[#This Row],[Age]]&lt;50,"40-49",
IF(Table1[[#This Row],[Age]]&lt;60,"50-59","60+"))))</f>
        <v>50-59</v>
      </c>
      <c r="M269" t="s">
        <v>13</v>
      </c>
      <c r="N269" t="s">
        <v>35</v>
      </c>
    </row>
    <row r="270" spans="1:14" x14ac:dyDescent="0.35">
      <c r="A270">
        <v>369</v>
      </c>
      <c r="B270" t="s">
        <v>10</v>
      </c>
      <c r="C270" s="6">
        <v>45485</v>
      </c>
      <c r="D270">
        <f>YEAR(Table1[[#This Row],[Join Date]])</f>
        <v>2024</v>
      </c>
      <c r="E270" s="6" t="s">
        <v>48</v>
      </c>
      <c r="F270" t="str">
        <f>IFERROR(YEAR(Table1[[#This Row],[Exit Date]]), " ")</f>
        <v xml:space="preserve"> </v>
      </c>
      <c r="G270" t="str">
        <f>IFERROR((Table1[[#This Row],[Exit Year]]-Table1[[#This Row],[Join Year]])+1," ")</f>
        <v xml:space="preserve"> </v>
      </c>
      <c r="H270" t="s">
        <v>48</v>
      </c>
      <c r="I270" t="s">
        <v>11</v>
      </c>
      <c r="J270" t="s">
        <v>18</v>
      </c>
      <c r="K270">
        <v>48</v>
      </c>
      <c r="L270" t="str">
        <f>IF(Table1[[#This Row],[Age]]&lt;30,"20-29",
IF(Table1[[#This Row],[Age]]&lt;40,"30-39",
IF(Table1[[#This Row],[Age]]&lt;50,"40-49",
IF(Table1[[#This Row],[Age]]&lt;60,"50-59","60+"))))</f>
        <v>40-49</v>
      </c>
      <c r="M270" t="s">
        <v>13</v>
      </c>
      <c r="N270" t="s">
        <v>14</v>
      </c>
    </row>
    <row r="271" spans="1:14" x14ac:dyDescent="0.35">
      <c r="A271">
        <v>370</v>
      </c>
      <c r="B271" t="s">
        <v>29</v>
      </c>
      <c r="C271" s="6">
        <v>43588</v>
      </c>
      <c r="D271">
        <f>YEAR(Table1[[#This Row],[Join Date]])</f>
        <v>2019</v>
      </c>
      <c r="E271" s="6">
        <v>44896</v>
      </c>
      <c r="F271">
        <f>IFERROR(YEAR(Table1[[#This Row],[Exit Date]]), " ")</f>
        <v>2022</v>
      </c>
      <c r="G271">
        <f>IFERROR((Table1[[#This Row],[Exit Year]]-Table1[[#This Row],[Join Year]])+1," ")</f>
        <v>4</v>
      </c>
      <c r="H271" t="s">
        <v>41</v>
      </c>
      <c r="I271" t="s">
        <v>23</v>
      </c>
      <c r="J271" t="s">
        <v>18</v>
      </c>
      <c r="K271">
        <v>41</v>
      </c>
      <c r="L271" t="str">
        <f>IF(Table1[[#This Row],[Age]]&lt;30,"20-29",
IF(Table1[[#This Row],[Age]]&lt;40,"30-39",
IF(Table1[[#This Row],[Age]]&lt;50,"40-49",
IF(Table1[[#This Row],[Age]]&lt;60,"50-59","60+"))))</f>
        <v>40-49</v>
      </c>
      <c r="M271" t="s">
        <v>16</v>
      </c>
      <c r="N271" t="s">
        <v>17</v>
      </c>
    </row>
    <row r="272" spans="1:14" x14ac:dyDescent="0.35">
      <c r="A272">
        <v>371</v>
      </c>
      <c r="B272" t="s">
        <v>36</v>
      </c>
      <c r="C272" s="6">
        <v>44250</v>
      </c>
      <c r="D272">
        <f>YEAR(Table1[[#This Row],[Join Date]])</f>
        <v>2021</v>
      </c>
      <c r="E272" s="6">
        <v>45392</v>
      </c>
      <c r="F272">
        <f>IFERROR(YEAR(Table1[[#This Row],[Exit Date]]), " ")</f>
        <v>2024</v>
      </c>
      <c r="G272">
        <f>IFERROR((Table1[[#This Row],[Exit Year]]-Table1[[#This Row],[Join Year]])+1," ")</f>
        <v>4</v>
      </c>
      <c r="H272" t="s">
        <v>46</v>
      </c>
      <c r="I272" t="s">
        <v>23</v>
      </c>
      <c r="J272" t="s">
        <v>18</v>
      </c>
      <c r="K272">
        <v>35</v>
      </c>
      <c r="L272" t="str">
        <f>IF(Table1[[#This Row],[Age]]&lt;30,"20-29",
IF(Table1[[#This Row],[Age]]&lt;40,"30-39",
IF(Table1[[#This Row],[Age]]&lt;50,"40-49",
IF(Table1[[#This Row],[Age]]&lt;60,"50-59","60+"))))</f>
        <v>30-39</v>
      </c>
      <c r="M272" t="s">
        <v>13</v>
      </c>
      <c r="N272" t="s">
        <v>19</v>
      </c>
    </row>
    <row r="273" spans="1:14" x14ac:dyDescent="0.35">
      <c r="A273">
        <v>372</v>
      </c>
      <c r="B273" t="s">
        <v>26</v>
      </c>
      <c r="C273" s="6">
        <v>45244</v>
      </c>
      <c r="D273">
        <f>YEAR(Table1[[#This Row],[Join Date]])</f>
        <v>2023</v>
      </c>
      <c r="E273" s="6">
        <v>45446</v>
      </c>
      <c r="F273">
        <f>IFERROR(YEAR(Table1[[#This Row],[Exit Date]]), " ")</f>
        <v>2024</v>
      </c>
      <c r="G273">
        <f>IFERROR((Table1[[#This Row],[Exit Year]]-Table1[[#This Row],[Join Year]])+1," ")</f>
        <v>2</v>
      </c>
      <c r="H273" t="s">
        <v>40</v>
      </c>
      <c r="I273" t="s">
        <v>23</v>
      </c>
      <c r="J273" t="s">
        <v>12</v>
      </c>
      <c r="K273">
        <v>24</v>
      </c>
      <c r="L273" t="str">
        <f>IF(Table1[[#This Row],[Age]]&lt;30,"20-29",
IF(Table1[[#This Row],[Age]]&lt;40,"30-39",
IF(Table1[[#This Row],[Age]]&lt;50,"40-49",
IF(Table1[[#This Row],[Age]]&lt;60,"50-59","60+"))))</f>
        <v>20-29</v>
      </c>
      <c r="M273" t="s">
        <v>20</v>
      </c>
      <c r="N273" t="s">
        <v>21</v>
      </c>
    </row>
    <row r="274" spans="1:14" x14ac:dyDescent="0.35">
      <c r="A274">
        <v>373</v>
      </c>
      <c r="B274" t="s">
        <v>15</v>
      </c>
      <c r="C274" s="6">
        <v>45256</v>
      </c>
      <c r="D274">
        <f>YEAR(Table1[[#This Row],[Join Date]])</f>
        <v>2023</v>
      </c>
      <c r="E274" s="6" t="s">
        <v>48</v>
      </c>
      <c r="F274" t="str">
        <f>IFERROR(YEAR(Table1[[#This Row],[Exit Date]]), " ")</f>
        <v xml:space="preserve"> </v>
      </c>
      <c r="G274" t="str">
        <f>IFERROR((Table1[[#This Row],[Exit Year]]-Table1[[#This Row],[Join Year]])+1," ")</f>
        <v xml:space="preserve"> </v>
      </c>
      <c r="H274" t="s">
        <v>48</v>
      </c>
      <c r="I274" t="s">
        <v>11</v>
      </c>
      <c r="J274" t="s">
        <v>12</v>
      </c>
      <c r="K274">
        <v>41</v>
      </c>
      <c r="L274" t="str">
        <f>IF(Table1[[#This Row],[Age]]&lt;30,"20-29",
IF(Table1[[#This Row],[Age]]&lt;40,"30-39",
IF(Table1[[#This Row],[Age]]&lt;50,"40-49",
IF(Table1[[#This Row],[Age]]&lt;60,"50-59","60+"))))</f>
        <v>40-49</v>
      </c>
      <c r="M274" t="s">
        <v>39</v>
      </c>
      <c r="N274" t="s">
        <v>25</v>
      </c>
    </row>
    <row r="275" spans="1:14" x14ac:dyDescent="0.35">
      <c r="A275">
        <v>374</v>
      </c>
      <c r="B275" t="s">
        <v>26</v>
      </c>
      <c r="C275" s="6">
        <v>45465</v>
      </c>
      <c r="D275">
        <f>YEAR(Table1[[#This Row],[Join Date]])</f>
        <v>2024</v>
      </c>
      <c r="E275" s="6" t="s">
        <v>48</v>
      </c>
      <c r="F275" t="str">
        <f>IFERROR(YEAR(Table1[[#This Row],[Exit Date]]), " ")</f>
        <v xml:space="preserve"> </v>
      </c>
      <c r="G275" t="str">
        <f>IFERROR((Table1[[#This Row],[Exit Year]]-Table1[[#This Row],[Join Year]])+1," ")</f>
        <v xml:space="preserve"> </v>
      </c>
      <c r="H275" t="s">
        <v>48</v>
      </c>
      <c r="I275" t="s">
        <v>11</v>
      </c>
      <c r="J275" t="s">
        <v>18</v>
      </c>
      <c r="K275">
        <v>40</v>
      </c>
      <c r="L275" t="str">
        <f>IF(Table1[[#This Row],[Age]]&lt;30,"20-29",
IF(Table1[[#This Row],[Age]]&lt;40,"30-39",
IF(Table1[[#This Row],[Age]]&lt;50,"40-49",
IF(Table1[[#This Row],[Age]]&lt;60,"50-59","60+"))))</f>
        <v>40-49</v>
      </c>
      <c r="M275" t="s">
        <v>13</v>
      </c>
      <c r="N275" t="s">
        <v>28</v>
      </c>
    </row>
    <row r="276" spans="1:14" x14ac:dyDescent="0.35">
      <c r="A276">
        <v>375</v>
      </c>
      <c r="B276" t="s">
        <v>10</v>
      </c>
      <c r="C276" s="6">
        <v>43597</v>
      </c>
      <c r="D276">
        <f>YEAR(Table1[[#This Row],[Join Date]])</f>
        <v>2019</v>
      </c>
      <c r="E276" s="6" t="s">
        <v>48</v>
      </c>
      <c r="F276" t="str">
        <f>IFERROR(YEAR(Table1[[#This Row],[Exit Date]]), " ")</f>
        <v xml:space="preserve"> </v>
      </c>
      <c r="G276" t="str">
        <f>IFERROR((Table1[[#This Row],[Exit Year]]-Table1[[#This Row],[Join Year]])+1," ")</f>
        <v xml:space="preserve"> </v>
      </c>
      <c r="H276" t="s">
        <v>48</v>
      </c>
      <c r="I276" t="s">
        <v>11</v>
      </c>
      <c r="J276" t="s">
        <v>18</v>
      </c>
      <c r="K276">
        <v>48</v>
      </c>
      <c r="L276" t="str">
        <f>IF(Table1[[#This Row],[Age]]&lt;30,"20-29",
IF(Table1[[#This Row],[Age]]&lt;40,"30-39",
IF(Table1[[#This Row],[Age]]&lt;50,"40-49",
IF(Table1[[#This Row],[Age]]&lt;60,"50-59","60+"))))</f>
        <v>40-49</v>
      </c>
      <c r="M276" t="s">
        <v>16</v>
      </c>
      <c r="N276" t="s">
        <v>31</v>
      </c>
    </row>
    <row r="277" spans="1:14" x14ac:dyDescent="0.35">
      <c r="A277">
        <v>376</v>
      </c>
      <c r="B277" t="s">
        <v>15</v>
      </c>
      <c r="C277" s="6">
        <v>44866</v>
      </c>
      <c r="D277">
        <f>YEAR(Table1[[#This Row],[Join Date]])</f>
        <v>2022</v>
      </c>
      <c r="E277" s="6" t="s">
        <v>48</v>
      </c>
      <c r="F277" t="str">
        <f>IFERROR(YEAR(Table1[[#This Row],[Exit Date]]), " ")</f>
        <v xml:space="preserve"> </v>
      </c>
      <c r="G277" t="str">
        <f>IFERROR((Table1[[#This Row],[Exit Year]]-Table1[[#This Row],[Join Year]])+1," ")</f>
        <v xml:space="preserve"> </v>
      </c>
      <c r="H277" t="s">
        <v>48</v>
      </c>
      <c r="I277" t="s">
        <v>11</v>
      </c>
      <c r="J277" t="s">
        <v>12</v>
      </c>
      <c r="K277">
        <v>52</v>
      </c>
      <c r="L277" t="str">
        <f>IF(Table1[[#This Row],[Age]]&lt;30,"20-29",
IF(Table1[[#This Row],[Age]]&lt;40,"30-39",
IF(Table1[[#This Row],[Age]]&lt;50,"40-49",
IF(Table1[[#This Row],[Age]]&lt;60,"50-59","60+"))))</f>
        <v>50-59</v>
      </c>
      <c r="M277" t="s">
        <v>16</v>
      </c>
      <c r="N277" t="s">
        <v>32</v>
      </c>
    </row>
    <row r="278" spans="1:14" x14ac:dyDescent="0.35">
      <c r="A278">
        <v>377</v>
      </c>
      <c r="B278" t="s">
        <v>34</v>
      </c>
      <c r="C278" s="6">
        <v>44006</v>
      </c>
      <c r="D278">
        <f>YEAR(Table1[[#This Row],[Join Date]])</f>
        <v>2020</v>
      </c>
      <c r="E278" s="6">
        <v>44463</v>
      </c>
      <c r="F278">
        <f>IFERROR(YEAR(Table1[[#This Row],[Exit Date]]), " ")</f>
        <v>2021</v>
      </c>
      <c r="G278">
        <f>IFERROR((Table1[[#This Row],[Exit Year]]-Table1[[#This Row],[Join Year]])+1," ")</f>
        <v>2</v>
      </c>
      <c r="H278" t="s">
        <v>43</v>
      </c>
      <c r="I278" t="s">
        <v>23</v>
      </c>
      <c r="J278" t="s">
        <v>18</v>
      </c>
      <c r="K278">
        <v>33</v>
      </c>
      <c r="L278" t="str">
        <f>IF(Table1[[#This Row],[Age]]&lt;30,"20-29",
IF(Table1[[#This Row],[Age]]&lt;40,"30-39",
IF(Table1[[#This Row],[Age]]&lt;50,"40-49",
IF(Table1[[#This Row],[Age]]&lt;60,"50-59","60+"))))</f>
        <v>30-39</v>
      </c>
      <c r="M278" t="s">
        <v>20</v>
      </c>
      <c r="N278" t="s">
        <v>33</v>
      </c>
    </row>
    <row r="279" spans="1:14" x14ac:dyDescent="0.35">
      <c r="A279">
        <v>378</v>
      </c>
      <c r="B279" t="s">
        <v>26</v>
      </c>
      <c r="C279" s="6">
        <v>45095</v>
      </c>
      <c r="D279">
        <f>YEAR(Table1[[#This Row],[Join Date]])</f>
        <v>2023</v>
      </c>
      <c r="E279" s="6" t="s">
        <v>48</v>
      </c>
      <c r="F279" t="str">
        <f>IFERROR(YEAR(Table1[[#This Row],[Exit Date]]), " ")</f>
        <v xml:space="preserve"> </v>
      </c>
      <c r="G279" t="str">
        <f>IFERROR((Table1[[#This Row],[Exit Year]]-Table1[[#This Row],[Join Year]])+1," ")</f>
        <v xml:space="preserve"> </v>
      </c>
      <c r="H279" t="s">
        <v>48</v>
      </c>
      <c r="I279" t="s">
        <v>11</v>
      </c>
      <c r="J279" t="s">
        <v>18</v>
      </c>
      <c r="K279">
        <v>51</v>
      </c>
      <c r="L279" t="str">
        <f>IF(Table1[[#This Row],[Age]]&lt;30,"20-29",
IF(Table1[[#This Row],[Age]]&lt;40,"30-39",
IF(Table1[[#This Row],[Age]]&lt;50,"40-49",
IF(Table1[[#This Row],[Age]]&lt;60,"50-59","60+"))))</f>
        <v>50-59</v>
      </c>
      <c r="M279" t="s">
        <v>24</v>
      </c>
      <c r="N279" t="s">
        <v>35</v>
      </c>
    </row>
    <row r="280" spans="1:14" x14ac:dyDescent="0.35">
      <c r="A280">
        <v>379</v>
      </c>
      <c r="B280" t="s">
        <v>10</v>
      </c>
      <c r="C280" s="6">
        <v>44360</v>
      </c>
      <c r="D280">
        <f>YEAR(Table1[[#This Row],[Join Date]])</f>
        <v>2021</v>
      </c>
      <c r="E280" s="6">
        <v>44755</v>
      </c>
      <c r="F280">
        <f>IFERROR(YEAR(Table1[[#This Row],[Exit Date]]), " ")</f>
        <v>2022</v>
      </c>
      <c r="G280">
        <f>IFERROR((Table1[[#This Row],[Exit Year]]-Table1[[#This Row],[Join Year]])+1," ")</f>
        <v>2</v>
      </c>
      <c r="H280" t="s">
        <v>38</v>
      </c>
      <c r="I280" t="s">
        <v>23</v>
      </c>
      <c r="J280" t="s">
        <v>18</v>
      </c>
      <c r="K280">
        <v>46</v>
      </c>
      <c r="L280" t="str">
        <f>IF(Table1[[#This Row],[Age]]&lt;30,"20-29",
IF(Table1[[#This Row],[Age]]&lt;40,"30-39",
IF(Table1[[#This Row],[Age]]&lt;50,"40-49",
IF(Table1[[#This Row],[Age]]&lt;60,"50-59","60+"))))</f>
        <v>40-49</v>
      </c>
      <c r="M280" t="s">
        <v>13</v>
      </c>
      <c r="N280" t="s">
        <v>37</v>
      </c>
    </row>
    <row r="281" spans="1:14" x14ac:dyDescent="0.35">
      <c r="A281">
        <v>380</v>
      </c>
      <c r="B281" t="s">
        <v>26</v>
      </c>
      <c r="C281" s="6">
        <v>43419</v>
      </c>
      <c r="D281">
        <f>YEAR(Table1[[#This Row],[Join Date]])</f>
        <v>2018</v>
      </c>
      <c r="E281" s="6">
        <v>44303</v>
      </c>
      <c r="F281">
        <f>IFERROR(YEAR(Table1[[#This Row],[Exit Date]]), " ")</f>
        <v>2021</v>
      </c>
      <c r="G281">
        <f>IFERROR((Table1[[#This Row],[Exit Year]]-Table1[[#This Row],[Join Year]])+1," ")</f>
        <v>4</v>
      </c>
      <c r="H281" t="s">
        <v>22</v>
      </c>
      <c r="I281" t="s">
        <v>23</v>
      </c>
      <c r="J281" t="s">
        <v>12</v>
      </c>
      <c r="K281">
        <v>53</v>
      </c>
      <c r="L281" t="str">
        <f>IF(Table1[[#This Row],[Age]]&lt;30,"20-29",
IF(Table1[[#This Row],[Age]]&lt;40,"30-39",
IF(Table1[[#This Row],[Age]]&lt;50,"40-49",
IF(Table1[[#This Row],[Age]]&lt;60,"50-59","60+"))))</f>
        <v>50-59</v>
      </c>
      <c r="M281" t="s">
        <v>42</v>
      </c>
      <c r="N281" t="s">
        <v>19</v>
      </c>
    </row>
    <row r="282" spans="1:14" x14ac:dyDescent="0.35">
      <c r="A282">
        <v>381</v>
      </c>
      <c r="B282" t="s">
        <v>36</v>
      </c>
      <c r="C282" s="6">
        <v>44249</v>
      </c>
      <c r="D282">
        <f>YEAR(Table1[[#This Row],[Join Date]])</f>
        <v>2021</v>
      </c>
      <c r="E282" s="6" t="s">
        <v>48</v>
      </c>
      <c r="F282" t="str">
        <f>IFERROR(YEAR(Table1[[#This Row],[Exit Date]]), " ")</f>
        <v xml:space="preserve"> </v>
      </c>
      <c r="G282" t="str">
        <f>IFERROR((Table1[[#This Row],[Exit Year]]-Table1[[#This Row],[Join Year]])+1," ")</f>
        <v xml:space="preserve"> </v>
      </c>
      <c r="H282" t="s">
        <v>48</v>
      </c>
      <c r="I282" t="s">
        <v>11</v>
      </c>
      <c r="J282" t="s">
        <v>12</v>
      </c>
      <c r="K282">
        <v>35</v>
      </c>
      <c r="L282" t="str">
        <f>IF(Table1[[#This Row],[Age]]&lt;30,"20-29",
IF(Table1[[#This Row],[Age]]&lt;40,"30-39",
IF(Table1[[#This Row],[Age]]&lt;50,"40-49",
IF(Table1[[#This Row],[Age]]&lt;60,"50-59","60+"))))</f>
        <v>30-39</v>
      </c>
      <c r="M282" t="s">
        <v>13</v>
      </c>
      <c r="N282" t="s">
        <v>25</v>
      </c>
    </row>
    <row r="283" spans="1:14" x14ac:dyDescent="0.35">
      <c r="A283">
        <v>382</v>
      </c>
      <c r="B283" t="s">
        <v>10</v>
      </c>
      <c r="C283" s="6">
        <v>45533</v>
      </c>
      <c r="D283">
        <f>YEAR(Table1[[#This Row],[Join Date]])</f>
        <v>2024</v>
      </c>
      <c r="E283" s="6" t="s">
        <v>48</v>
      </c>
      <c r="F283" t="str">
        <f>IFERROR(YEAR(Table1[[#This Row],[Exit Date]]), " ")</f>
        <v xml:space="preserve"> </v>
      </c>
      <c r="G283" t="str">
        <f>IFERROR((Table1[[#This Row],[Exit Year]]-Table1[[#This Row],[Join Year]])+1," ")</f>
        <v xml:space="preserve"> </v>
      </c>
      <c r="H283" t="s">
        <v>48</v>
      </c>
      <c r="I283" t="s">
        <v>11</v>
      </c>
      <c r="J283" t="s">
        <v>18</v>
      </c>
      <c r="K283">
        <v>32</v>
      </c>
      <c r="L283" t="str">
        <f>IF(Table1[[#This Row],[Age]]&lt;30,"20-29",
IF(Table1[[#This Row],[Age]]&lt;40,"30-39",
IF(Table1[[#This Row],[Age]]&lt;50,"40-49",
IF(Table1[[#This Row],[Age]]&lt;60,"50-59","60+"))))</f>
        <v>30-39</v>
      </c>
      <c r="M283" t="s">
        <v>13</v>
      </c>
      <c r="N283" t="s">
        <v>35</v>
      </c>
    </row>
    <row r="284" spans="1:14" x14ac:dyDescent="0.35">
      <c r="A284">
        <v>383</v>
      </c>
      <c r="B284" t="s">
        <v>36</v>
      </c>
      <c r="C284" s="6">
        <v>44377</v>
      </c>
      <c r="D284">
        <f>YEAR(Table1[[#This Row],[Join Date]])</f>
        <v>2021</v>
      </c>
      <c r="E284" s="6" t="s">
        <v>48</v>
      </c>
      <c r="F284" t="str">
        <f>IFERROR(YEAR(Table1[[#This Row],[Exit Date]]), " ")</f>
        <v xml:space="preserve"> </v>
      </c>
      <c r="G284" t="str">
        <f>IFERROR((Table1[[#This Row],[Exit Year]]-Table1[[#This Row],[Join Year]])+1," ")</f>
        <v xml:space="preserve"> </v>
      </c>
      <c r="H284" t="s">
        <v>48</v>
      </c>
      <c r="I284" t="s">
        <v>11</v>
      </c>
      <c r="J284" t="s">
        <v>18</v>
      </c>
      <c r="K284">
        <v>46</v>
      </c>
      <c r="L284" t="str">
        <f>IF(Table1[[#This Row],[Age]]&lt;30,"20-29",
IF(Table1[[#This Row],[Age]]&lt;40,"30-39",
IF(Table1[[#This Row],[Age]]&lt;50,"40-49",
IF(Table1[[#This Row],[Age]]&lt;60,"50-59","60+"))))</f>
        <v>40-49</v>
      </c>
      <c r="M284" t="s">
        <v>16</v>
      </c>
      <c r="N284" t="s">
        <v>17</v>
      </c>
    </row>
    <row r="285" spans="1:14" x14ac:dyDescent="0.35">
      <c r="A285">
        <v>384</v>
      </c>
      <c r="B285" t="s">
        <v>10</v>
      </c>
      <c r="C285" s="6">
        <v>44088</v>
      </c>
      <c r="D285">
        <f>YEAR(Table1[[#This Row],[Join Date]])</f>
        <v>2020</v>
      </c>
      <c r="E285" s="6" t="s">
        <v>48</v>
      </c>
      <c r="F285" t="str">
        <f>IFERROR(YEAR(Table1[[#This Row],[Exit Date]]), " ")</f>
        <v xml:space="preserve"> </v>
      </c>
      <c r="G285" t="str">
        <f>IFERROR((Table1[[#This Row],[Exit Year]]-Table1[[#This Row],[Join Year]])+1," ")</f>
        <v xml:space="preserve"> </v>
      </c>
      <c r="H285" t="s">
        <v>48</v>
      </c>
      <c r="I285" t="s">
        <v>11</v>
      </c>
      <c r="J285" t="s">
        <v>18</v>
      </c>
      <c r="K285">
        <v>50</v>
      </c>
      <c r="L285" t="str">
        <f>IF(Table1[[#This Row],[Age]]&lt;30,"20-29",
IF(Table1[[#This Row],[Age]]&lt;40,"30-39",
IF(Table1[[#This Row],[Age]]&lt;50,"40-49",
IF(Table1[[#This Row],[Age]]&lt;60,"50-59","60+"))))</f>
        <v>50-59</v>
      </c>
      <c r="M285" t="s">
        <v>13</v>
      </c>
      <c r="N285" t="s">
        <v>19</v>
      </c>
    </row>
    <row r="286" spans="1:14" x14ac:dyDescent="0.35">
      <c r="A286">
        <v>385</v>
      </c>
      <c r="B286" t="s">
        <v>26</v>
      </c>
      <c r="C286" s="6">
        <v>43373</v>
      </c>
      <c r="D286">
        <f>YEAR(Table1[[#This Row],[Join Date]])</f>
        <v>2018</v>
      </c>
      <c r="E286" s="6">
        <v>44825</v>
      </c>
      <c r="F286">
        <f>IFERROR(YEAR(Table1[[#This Row],[Exit Date]]), " ")</f>
        <v>2022</v>
      </c>
      <c r="G286">
        <f>IFERROR((Table1[[#This Row],[Exit Year]]-Table1[[#This Row],[Join Year]])+1," ")</f>
        <v>5</v>
      </c>
      <c r="H286" t="s">
        <v>27</v>
      </c>
      <c r="I286" t="s">
        <v>23</v>
      </c>
      <c r="J286" t="s">
        <v>12</v>
      </c>
      <c r="K286">
        <v>60</v>
      </c>
      <c r="L286" t="str">
        <f>IF(Table1[[#This Row],[Age]]&lt;30,"20-29",
IF(Table1[[#This Row],[Age]]&lt;40,"30-39",
IF(Table1[[#This Row],[Age]]&lt;50,"40-49",
IF(Table1[[#This Row],[Age]]&lt;60,"50-59","60+"))))</f>
        <v>60+</v>
      </c>
      <c r="M286" t="s">
        <v>20</v>
      </c>
      <c r="N286" t="s">
        <v>21</v>
      </c>
    </row>
    <row r="287" spans="1:14" x14ac:dyDescent="0.35">
      <c r="A287">
        <v>386</v>
      </c>
      <c r="B287" t="s">
        <v>26</v>
      </c>
      <c r="C287" s="6">
        <v>43314</v>
      </c>
      <c r="D287">
        <f>YEAR(Table1[[#This Row],[Join Date]])</f>
        <v>2018</v>
      </c>
      <c r="E287" s="6" t="s">
        <v>48</v>
      </c>
      <c r="F287" t="str">
        <f>IFERROR(YEAR(Table1[[#This Row],[Exit Date]]), " ")</f>
        <v xml:space="preserve"> </v>
      </c>
      <c r="G287" t="str">
        <f>IFERROR((Table1[[#This Row],[Exit Year]]-Table1[[#This Row],[Join Year]])+1," ")</f>
        <v xml:space="preserve"> </v>
      </c>
      <c r="H287" t="s">
        <v>48</v>
      </c>
      <c r="I287" t="s">
        <v>11</v>
      </c>
      <c r="J287" t="s">
        <v>12</v>
      </c>
      <c r="K287">
        <v>29</v>
      </c>
      <c r="L287" t="str">
        <f>IF(Table1[[#This Row],[Age]]&lt;30,"20-29",
IF(Table1[[#This Row],[Age]]&lt;40,"30-39",
IF(Table1[[#This Row],[Age]]&lt;50,"40-49",
IF(Table1[[#This Row],[Age]]&lt;60,"50-59","60+"))))</f>
        <v>20-29</v>
      </c>
      <c r="M287" t="s">
        <v>44</v>
      </c>
      <c r="N287" t="s">
        <v>25</v>
      </c>
    </row>
    <row r="288" spans="1:14" x14ac:dyDescent="0.35">
      <c r="A288">
        <v>387</v>
      </c>
      <c r="B288" t="s">
        <v>26</v>
      </c>
      <c r="C288" s="6">
        <v>44418</v>
      </c>
      <c r="D288">
        <f>YEAR(Table1[[#This Row],[Join Date]])</f>
        <v>2021</v>
      </c>
      <c r="E288" s="6">
        <v>45628</v>
      </c>
      <c r="F288">
        <f>IFERROR(YEAR(Table1[[#This Row],[Exit Date]]), " ")</f>
        <v>2024</v>
      </c>
      <c r="G288">
        <f>IFERROR((Table1[[#This Row],[Exit Year]]-Table1[[#This Row],[Join Year]])+1," ")</f>
        <v>4</v>
      </c>
      <c r="H288" t="s">
        <v>46</v>
      </c>
      <c r="I288" t="s">
        <v>23</v>
      </c>
      <c r="J288" t="s">
        <v>12</v>
      </c>
      <c r="K288">
        <v>27</v>
      </c>
      <c r="L288" t="str">
        <f>IF(Table1[[#This Row],[Age]]&lt;30,"20-29",
IF(Table1[[#This Row],[Age]]&lt;40,"30-39",
IF(Table1[[#This Row],[Age]]&lt;50,"40-49",
IF(Table1[[#This Row],[Age]]&lt;60,"50-59","60+"))))</f>
        <v>20-29</v>
      </c>
      <c r="M288" t="s">
        <v>13</v>
      </c>
      <c r="N288" t="s">
        <v>35</v>
      </c>
    </row>
    <row r="289" spans="1:14" x14ac:dyDescent="0.35">
      <c r="A289">
        <v>388</v>
      </c>
      <c r="B289" t="s">
        <v>34</v>
      </c>
      <c r="C289" s="6">
        <v>44324</v>
      </c>
      <c r="D289">
        <f>YEAR(Table1[[#This Row],[Join Date]])</f>
        <v>2021</v>
      </c>
      <c r="E289" s="6">
        <v>45076</v>
      </c>
      <c r="F289">
        <f>IFERROR(YEAR(Table1[[#This Row],[Exit Date]]), " ")</f>
        <v>2023</v>
      </c>
      <c r="G289">
        <f>IFERROR((Table1[[#This Row],[Exit Year]]-Table1[[#This Row],[Join Year]])+1," ")</f>
        <v>3</v>
      </c>
      <c r="H289" t="s">
        <v>40</v>
      </c>
      <c r="I289" t="s">
        <v>23</v>
      </c>
      <c r="J289" t="s">
        <v>18</v>
      </c>
      <c r="K289">
        <v>31</v>
      </c>
      <c r="L289" t="str">
        <f>IF(Table1[[#This Row],[Age]]&lt;30,"20-29",
IF(Table1[[#This Row],[Age]]&lt;40,"30-39",
IF(Table1[[#This Row],[Age]]&lt;50,"40-49",
IF(Table1[[#This Row],[Age]]&lt;60,"50-59","60+"))))</f>
        <v>30-39</v>
      </c>
      <c r="M289" t="s">
        <v>16</v>
      </c>
      <c r="N289" t="s">
        <v>14</v>
      </c>
    </row>
    <row r="290" spans="1:14" x14ac:dyDescent="0.35">
      <c r="A290">
        <v>389</v>
      </c>
      <c r="B290" t="s">
        <v>10</v>
      </c>
      <c r="C290" s="6">
        <v>43513</v>
      </c>
      <c r="D290">
        <f>YEAR(Table1[[#This Row],[Join Date]])</f>
        <v>2019</v>
      </c>
      <c r="E290" s="6">
        <v>44923</v>
      </c>
      <c r="F290">
        <f>IFERROR(YEAR(Table1[[#This Row],[Exit Date]]), " ")</f>
        <v>2022</v>
      </c>
      <c r="G290">
        <f>IFERROR((Table1[[#This Row],[Exit Year]]-Table1[[#This Row],[Join Year]])+1," ")</f>
        <v>4</v>
      </c>
      <c r="H290" t="s">
        <v>38</v>
      </c>
      <c r="I290" t="s">
        <v>23</v>
      </c>
      <c r="J290" t="s">
        <v>18</v>
      </c>
      <c r="K290">
        <v>24</v>
      </c>
      <c r="L290" t="str">
        <f>IF(Table1[[#This Row],[Age]]&lt;30,"20-29",
IF(Table1[[#This Row],[Age]]&lt;40,"30-39",
IF(Table1[[#This Row],[Age]]&lt;50,"40-49",
IF(Table1[[#This Row],[Age]]&lt;60,"50-59","60+"))))</f>
        <v>20-29</v>
      </c>
      <c r="M290" t="s">
        <v>16</v>
      </c>
      <c r="N290" t="s">
        <v>19</v>
      </c>
    </row>
    <row r="291" spans="1:14" x14ac:dyDescent="0.35">
      <c r="A291">
        <v>390</v>
      </c>
      <c r="B291" t="s">
        <v>36</v>
      </c>
      <c r="C291" s="6">
        <v>44180</v>
      </c>
      <c r="D291">
        <f>YEAR(Table1[[#This Row],[Join Date]])</f>
        <v>2020</v>
      </c>
      <c r="E291" s="6" t="s">
        <v>48</v>
      </c>
      <c r="F291" t="str">
        <f>IFERROR(YEAR(Table1[[#This Row],[Exit Date]]), " ")</f>
        <v xml:space="preserve"> </v>
      </c>
      <c r="G291" t="str">
        <f>IFERROR((Table1[[#This Row],[Exit Year]]-Table1[[#This Row],[Join Year]])+1," ")</f>
        <v xml:space="preserve"> </v>
      </c>
      <c r="H291" t="s">
        <v>48</v>
      </c>
      <c r="I291" t="s">
        <v>11</v>
      </c>
      <c r="J291" t="s">
        <v>12</v>
      </c>
      <c r="K291">
        <v>37</v>
      </c>
      <c r="L291" t="str">
        <f>IF(Table1[[#This Row],[Age]]&lt;30,"20-29",
IF(Table1[[#This Row],[Age]]&lt;40,"30-39",
IF(Table1[[#This Row],[Age]]&lt;50,"40-49",
IF(Table1[[#This Row],[Age]]&lt;60,"50-59","60+"))))</f>
        <v>30-39</v>
      </c>
      <c r="M291" t="s">
        <v>20</v>
      </c>
      <c r="N291" t="s">
        <v>21</v>
      </c>
    </row>
    <row r="292" spans="1:14" x14ac:dyDescent="0.35">
      <c r="A292">
        <v>391</v>
      </c>
      <c r="B292" t="s">
        <v>34</v>
      </c>
      <c r="C292" s="6">
        <v>44099</v>
      </c>
      <c r="D292">
        <f>YEAR(Table1[[#This Row],[Join Date]])</f>
        <v>2020</v>
      </c>
      <c r="E292" s="6" t="s">
        <v>48</v>
      </c>
      <c r="F292" t="str">
        <f>IFERROR(YEAR(Table1[[#This Row],[Exit Date]]), " ")</f>
        <v xml:space="preserve"> </v>
      </c>
      <c r="G292" t="str">
        <f>IFERROR((Table1[[#This Row],[Exit Year]]-Table1[[#This Row],[Join Year]])+1," ")</f>
        <v xml:space="preserve"> </v>
      </c>
      <c r="H292" t="s">
        <v>48</v>
      </c>
      <c r="I292" t="s">
        <v>11</v>
      </c>
      <c r="J292" t="s">
        <v>12</v>
      </c>
      <c r="K292">
        <v>23</v>
      </c>
      <c r="L292" t="str">
        <f>IF(Table1[[#This Row],[Age]]&lt;30,"20-29",
IF(Table1[[#This Row],[Age]]&lt;40,"30-39",
IF(Table1[[#This Row],[Age]]&lt;50,"40-49",
IF(Table1[[#This Row],[Age]]&lt;60,"50-59","60+"))))</f>
        <v>20-29</v>
      </c>
      <c r="M292" t="s">
        <v>24</v>
      </c>
      <c r="N292" t="s">
        <v>37</v>
      </c>
    </row>
    <row r="293" spans="1:14" x14ac:dyDescent="0.35">
      <c r="A293">
        <v>392</v>
      </c>
      <c r="B293" t="s">
        <v>34</v>
      </c>
      <c r="C293" s="6">
        <v>45632</v>
      </c>
      <c r="D293">
        <f>YEAR(Table1[[#This Row],[Join Date]])</f>
        <v>2024</v>
      </c>
      <c r="E293" s="6" t="s">
        <v>48</v>
      </c>
      <c r="F293" t="str">
        <f>IFERROR(YEAR(Table1[[#This Row],[Exit Date]]), " ")</f>
        <v xml:space="preserve"> </v>
      </c>
      <c r="G293" t="str">
        <f>IFERROR((Table1[[#This Row],[Exit Year]]-Table1[[#This Row],[Join Year]])+1," ")</f>
        <v xml:space="preserve"> </v>
      </c>
      <c r="H293" t="s">
        <v>48</v>
      </c>
      <c r="I293" t="s">
        <v>11</v>
      </c>
      <c r="J293" t="s">
        <v>12</v>
      </c>
      <c r="K293">
        <v>31</v>
      </c>
      <c r="L293" t="str">
        <f>IF(Table1[[#This Row],[Age]]&lt;30,"20-29",
IF(Table1[[#This Row],[Age]]&lt;40,"30-39",
IF(Table1[[#This Row],[Age]]&lt;50,"40-49",
IF(Table1[[#This Row],[Age]]&lt;60,"50-59","60+"))))</f>
        <v>30-39</v>
      </c>
      <c r="M293" t="s">
        <v>13</v>
      </c>
      <c r="N293" t="s">
        <v>25</v>
      </c>
    </row>
    <row r="294" spans="1:14" x14ac:dyDescent="0.35">
      <c r="A294">
        <v>393</v>
      </c>
      <c r="B294" t="s">
        <v>36</v>
      </c>
      <c r="C294" s="6">
        <v>45294</v>
      </c>
      <c r="D294">
        <f>YEAR(Table1[[#This Row],[Join Date]])</f>
        <v>2024</v>
      </c>
      <c r="E294" s="6" t="s">
        <v>48</v>
      </c>
      <c r="F294" t="str">
        <f>IFERROR(YEAR(Table1[[#This Row],[Exit Date]]), " ")</f>
        <v xml:space="preserve"> </v>
      </c>
      <c r="G294" t="str">
        <f>IFERROR((Table1[[#This Row],[Exit Year]]-Table1[[#This Row],[Join Year]])+1," ")</f>
        <v xml:space="preserve"> </v>
      </c>
      <c r="H294" t="s">
        <v>48</v>
      </c>
      <c r="I294" t="s">
        <v>11</v>
      </c>
      <c r="J294" t="s">
        <v>12</v>
      </c>
      <c r="K294">
        <v>52</v>
      </c>
      <c r="L294" t="str">
        <f>IF(Table1[[#This Row],[Age]]&lt;30,"20-29",
IF(Table1[[#This Row],[Age]]&lt;40,"30-39",
IF(Table1[[#This Row],[Age]]&lt;50,"40-49",
IF(Table1[[#This Row],[Age]]&lt;60,"50-59","60+"))))</f>
        <v>50-59</v>
      </c>
      <c r="M294" t="s">
        <v>42</v>
      </c>
      <c r="N294" t="s">
        <v>35</v>
      </c>
    </row>
    <row r="295" spans="1:14" x14ac:dyDescent="0.35">
      <c r="A295">
        <v>394</v>
      </c>
      <c r="B295" t="s">
        <v>26</v>
      </c>
      <c r="C295" s="6">
        <v>44590</v>
      </c>
      <c r="D295">
        <f>YEAR(Table1[[#This Row],[Join Date]])</f>
        <v>2022</v>
      </c>
      <c r="E295" s="6" t="s">
        <v>48</v>
      </c>
      <c r="F295" t="str">
        <f>IFERROR(YEAR(Table1[[#This Row],[Exit Date]]), " ")</f>
        <v xml:space="preserve"> </v>
      </c>
      <c r="G295" t="str">
        <f>IFERROR((Table1[[#This Row],[Exit Year]]-Table1[[#This Row],[Join Year]])+1," ")</f>
        <v xml:space="preserve"> </v>
      </c>
      <c r="H295" t="s">
        <v>48</v>
      </c>
      <c r="I295" t="s">
        <v>11</v>
      </c>
      <c r="J295" t="s">
        <v>12</v>
      </c>
      <c r="K295">
        <v>25</v>
      </c>
      <c r="L295" t="str">
        <f>IF(Table1[[#This Row],[Age]]&lt;30,"20-29",
IF(Table1[[#This Row],[Age]]&lt;40,"30-39",
IF(Table1[[#This Row],[Age]]&lt;50,"40-49",
IF(Table1[[#This Row],[Age]]&lt;60,"50-59","60+"))))</f>
        <v>20-29</v>
      </c>
      <c r="M295" t="s">
        <v>13</v>
      </c>
      <c r="N295" t="s">
        <v>19</v>
      </c>
    </row>
    <row r="296" spans="1:14" x14ac:dyDescent="0.35">
      <c r="A296">
        <v>395</v>
      </c>
      <c r="B296" t="s">
        <v>15</v>
      </c>
      <c r="C296" s="6">
        <v>45215</v>
      </c>
      <c r="D296">
        <f>YEAR(Table1[[#This Row],[Join Date]])</f>
        <v>2023</v>
      </c>
      <c r="E296" s="6" t="s">
        <v>48</v>
      </c>
      <c r="F296" t="str">
        <f>IFERROR(YEAR(Table1[[#This Row],[Exit Date]]), " ")</f>
        <v xml:space="preserve"> </v>
      </c>
      <c r="G296" t="str">
        <f>IFERROR((Table1[[#This Row],[Exit Year]]-Table1[[#This Row],[Join Year]])+1," ")</f>
        <v xml:space="preserve"> </v>
      </c>
      <c r="H296" t="s">
        <v>48</v>
      </c>
      <c r="I296" t="s">
        <v>11</v>
      </c>
      <c r="J296" t="s">
        <v>12</v>
      </c>
      <c r="K296">
        <v>46</v>
      </c>
      <c r="L296" t="str">
        <f>IF(Table1[[#This Row],[Age]]&lt;30,"20-29",
IF(Table1[[#This Row],[Age]]&lt;40,"30-39",
IF(Table1[[#This Row],[Age]]&lt;50,"40-49",
IF(Table1[[#This Row],[Age]]&lt;60,"50-59","60+"))))</f>
        <v>40-49</v>
      </c>
      <c r="M296" t="s">
        <v>13</v>
      </c>
      <c r="N296" t="s">
        <v>21</v>
      </c>
    </row>
    <row r="297" spans="1:14" x14ac:dyDescent="0.35">
      <c r="A297">
        <v>396</v>
      </c>
      <c r="B297" t="s">
        <v>15</v>
      </c>
      <c r="C297" s="6">
        <v>43624</v>
      </c>
      <c r="D297">
        <f>YEAR(Table1[[#This Row],[Join Date]])</f>
        <v>2019</v>
      </c>
      <c r="E297" s="6">
        <v>44228</v>
      </c>
      <c r="F297">
        <f>IFERROR(YEAR(Table1[[#This Row],[Exit Date]]), " ")</f>
        <v>2021</v>
      </c>
      <c r="G297">
        <f>IFERROR((Table1[[#This Row],[Exit Year]]-Table1[[#This Row],[Join Year]])+1," ")</f>
        <v>3</v>
      </c>
      <c r="H297" t="s">
        <v>41</v>
      </c>
      <c r="I297" t="s">
        <v>23</v>
      </c>
      <c r="J297" t="s">
        <v>18</v>
      </c>
      <c r="K297">
        <v>24</v>
      </c>
      <c r="L297" t="str">
        <f>IF(Table1[[#This Row],[Age]]&lt;30,"20-29",
IF(Table1[[#This Row],[Age]]&lt;40,"30-39",
IF(Table1[[#This Row],[Age]]&lt;50,"40-49",
IF(Table1[[#This Row],[Age]]&lt;60,"50-59","60+"))))</f>
        <v>20-29</v>
      </c>
      <c r="M297" t="s">
        <v>16</v>
      </c>
      <c r="N297" t="s">
        <v>37</v>
      </c>
    </row>
    <row r="298" spans="1:14" x14ac:dyDescent="0.35">
      <c r="A298">
        <v>397</v>
      </c>
      <c r="B298" t="s">
        <v>15</v>
      </c>
      <c r="C298" s="6">
        <v>44514</v>
      </c>
      <c r="D298">
        <f>YEAR(Table1[[#This Row],[Join Date]])</f>
        <v>2021</v>
      </c>
      <c r="E298" s="6">
        <v>45529</v>
      </c>
      <c r="F298">
        <f>IFERROR(YEAR(Table1[[#This Row],[Exit Date]]), " ")</f>
        <v>2024</v>
      </c>
      <c r="G298">
        <f>IFERROR((Table1[[#This Row],[Exit Year]]-Table1[[#This Row],[Join Year]])+1," ")</f>
        <v>4</v>
      </c>
      <c r="H298" t="s">
        <v>46</v>
      </c>
      <c r="I298" t="s">
        <v>23</v>
      </c>
      <c r="J298" t="s">
        <v>12</v>
      </c>
      <c r="K298">
        <v>38</v>
      </c>
      <c r="L298" t="str">
        <f>IF(Table1[[#This Row],[Age]]&lt;30,"20-29",
IF(Table1[[#This Row],[Age]]&lt;40,"30-39",
IF(Table1[[#This Row],[Age]]&lt;50,"40-49",
IF(Table1[[#This Row],[Age]]&lt;60,"50-59","60+"))))</f>
        <v>30-39</v>
      </c>
      <c r="M298" t="s">
        <v>13</v>
      </c>
      <c r="N298" t="s">
        <v>25</v>
      </c>
    </row>
    <row r="299" spans="1:14" x14ac:dyDescent="0.35">
      <c r="A299">
        <v>398</v>
      </c>
      <c r="B299" t="s">
        <v>29</v>
      </c>
      <c r="C299" s="6">
        <v>43700</v>
      </c>
      <c r="D299">
        <f>YEAR(Table1[[#This Row],[Join Date]])</f>
        <v>2019</v>
      </c>
      <c r="E299" s="6" t="s">
        <v>48</v>
      </c>
      <c r="F299" t="str">
        <f>IFERROR(YEAR(Table1[[#This Row],[Exit Date]]), " ")</f>
        <v xml:space="preserve"> </v>
      </c>
      <c r="G299" t="str">
        <f>IFERROR((Table1[[#This Row],[Exit Year]]-Table1[[#This Row],[Join Year]])+1," ")</f>
        <v xml:space="preserve"> </v>
      </c>
      <c r="H299" t="s">
        <v>48</v>
      </c>
      <c r="I299" t="s">
        <v>11</v>
      </c>
      <c r="J299" t="s">
        <v>18</v>
      </c>
      <c r="K299">
        <v>49</v>
      </c>
      <c r="L299" t="str">
        <f>IF(Table1[[#This Row],[Age]]&lt;30,"20-29",
IF(Table1[[#This Row],[Age]]&lt;40,"30-39",
IF(Table1[[#This Row],[Age]]&lt;50,"40-49",
IF(Table1[[#This Row],[Age]]&lt;60,"50-59","60+"))))</f>
        <v>40-49</v>
      </c>
      <c r="M299" t="s">
        <v>20</v>
      </c>
      <c r="N299" t="s">
        <v>35</v>
      </c>
    </row>
    <row r="300" spans="1:14" x14ac:dyDescent="0.35">
      <c r="A300">
        <v>399</v>
      </c>
      <c r="B300" t="s">
        <v>34</v>
      </c>
      <c r="C300" s="6">
        <v>45540</v>
      </c>
      <c r="D300">
        <f>YEAR(Table1[[#This Row],[Join Date]])</f>
        <v>2024</v>
      </c>
      <c r="E300" s="6" t="s">
        <v>48</v>
      </c>
      <c r="F300" t="str">
        <f>IFERROR(YEAR(Table1[[#This Row],[Exit Date]]), " ")</f>
        <v xml:space="preserve"> </v>
      </c>
      <c r="G300" t="str">
        <f>IFERROR((Table1[[#This Row],[Exit Year]]-Table1[[#This Row],[Join Year]])+1," ")</f>
        <v xml:space="preserve"> </v>
      </c>
      <c r="H300" t="s">
        <v>48</v>
      </c>
      <c r="I300" t="s">
        <v>11</v>
      </c>
      <c r="J300" t="s">
        <v>18</v>
      </c>
      <c r="K300">
        <v>31</v>
      </c>
      <c r="L300" t="str">
        <f>IF(Table1[[#This Row],[Age]]&lt;30,"20-29",
IF(Table1[[#This Row],[Age]]&lt;40,"30-39",
IF(Table1[[#This Row],[Age]]&lt;50,"40-49",
IF(Table1[[#This Row],[Age]]&lt;60,"50-59","60+"))))</f>
        <v>30-39</v>
      </c>
      <c r="M300" t="s">
        <v>44</v>
      </c>
      <c r="N300" t="s">
        <v>14</v>
      </c>
    </row>
    <row r="301" spans="1:14" x14ac:dyDescent="0.35">
      <c r="A301">
        <v>400</v>
      </c>
      <c r="B301" t="s">
        <v>10</v>
      </c>
      <c r="C301" s="6">
        <v>43297</v>
      </c>
      <c r="D301">
        <f>YEAR(Table1[[#This Row],[Join Date]])</f>
        <v>2018</v>
      </c>
      <c r="E301" s="6">
        <v>44682</v>
      </c>
      <c r="F301">
        <f>IFERROR(YEAR(Table1[[#This Row],[Exit Date]]), " ")</f>
        <v>2022</v>
      </c>
      <c r="G301">
        <f>IFERROR((Table1[[#This Row],[Exit Year]]-Table1[[#This Row],[Join Year]])+1," ")</f>
        <v>5</v>
      </c>
      <c r="H301" t="s">
        <v>40</v>
      </c>
      <c r="I301" t="s">
        <v>23</v>
      </c>
      <c r="J301" t="s">
        <v>12</v>
      </c>
      <c r="K301">
        <v>51</v>
      </c>
      <c r="L301" t="str">
        <f>IF(Table1[[#This Row],[Age]]&lt;30,"20-29",
IF(Table1[[#This Row],[Age]]&lt;40,"30-39",
IF(Table1[[#This Row],[Age]]&lt;50,"40-49",
IF(Table1[[#This Row],[Age]]&lt;60,"50-59","60+"))))</f>
        <v>50-59</v>
      </c>
      <c r="M301" t="s">
        <v>13</v>
      </c>
      <c r="N301" t="s">
        <v>17</v>
      </c>
    </row>
    <row r="302" spans="1:14" x14ac:dyDescent="0.35">
      <c r="A302">
        <v>401</v>
      </c>
      <c r="B302" t="s">
        <v>10</v>
      </c>
      <c r="C302" s="6">
        <v>43407</v>
      </c>
      <c r="D302">
        <f>YEAR(Table1[[#This Row],[Join Date]])</f>
        <v>2018</v>
      </c>
      <c r="E302" s="6" t="s">
        <v>48</v>
      </c>
      <c r="F302" t="str">
        <f>IFERROR(YEAR(Table1[[#This Row],[Exit Date]]), " ")</f>
        <v xml:space="preserve"> </v>
      </c>
      <c r="G302" t="str">
        <f>IFERROR((Table1[[#This Row],[Exit Year]]-Table1[[#This Row],[Join Year]])+1," ")</f>
        <v xml:space="preserve"> </v>
      </c>
      <c r="H302" t="s">
        <v>48</v>
      </c>
      <c r="I302" t="s">
        <v>11</v>
      </c>
      <c r="J302" t="s">
        <v>18</v>
      </c>
      <c r="K302">
        <v>27</v>
      </c>
      <c r="L302" t="str">
        <f>IF(Table1[[#This Row],[Age]]&lt;30,"20-29",
IF(Table1[[#This Row],[Age]]&lt;40,"30-39",
IF(Table1[[#This Row],[Age]]&lt;50,"40-49",
IF(Table1[[#This Row],[Age]]&lt;60,"50-59","60+"))))</f>
        <v>20-29</v>
      </c>
      <c r="M302" t="s">
        <v>16</v>
      </c>
      <c r="N302" t="s">
        <v>19</v>
      </c>
    </row>
    <row r="303" spans="1:14" x14ac:dyDescent="0.35">
      <c r="A303">
        <v>402</v>
      </c>
      <c r="B303" t="s">
        <v>15</v>
      </c>
      <c r="C303" s="6">
        <v>44121</v>
      </c>
      <c r="D303">
        <f>YEAR(Table1[[#This Row],[Join Date]])</f>
        <v>2020</v>
      </c>
      <c r="E303" s="6" t="s">
        <v>48</v>
      </c>
      <c r="F303" t="str">
        <f>IFERROR(YEAR(Table1[[#This Row],[Exit Date]]), " ")</f>
        <v xml:space="preserve"> </v>
      </c>
      <c r="G303" t="str">
        <f>IFERROR((Table1[[#This Row],[Exit Year]]-Table1[[#This Row],[Join Year]])+1," ")</f>
        <v xml:space="preserve"> </v>
      </c>
      <c r="H303" t="s">
        <v>48</v>
      </c>
      <c r="I303" t="s">
        <v>11</v>
      </c>
      <c r="J303" t="s">
        <v>12</v>
      </c>
      <c r="K303">
        <v>22</v>
      </c>
      <c r="L303" t="str">
        <f>IF(Table1[[#This Row],[Age]]&lt;30,"20-29",
IF(Table1[[#This Row],[Age]]&lt;40,"30-39",
IF(Table1[[#This Row],[Age]]&lt;50,"40-49",
IF(Table1[[#This Row],[Age]]&lt;60,"50-59","60+"))))</f>
        <v>20-29</v>
      </c>
      <c r="M303" t="s">
        <v>16</v>
      </c>
      <c r="N303" t="s">
        <v>21</v>
      </c>
    </row>
    <row r="304" spans="1:14" x14ac:dyDescent="0.35">
      <c r="A304">
        <v>403</v>
      </c>
      <c r="B304" t="s">
        <v>15</v>
      </c>
      <c r="C304" s="6">
        <v>44423</v>
      </c>
      <c r="D304">
        <f>YEAR(Table1[[#This Row],[Join Date]])</f>
        <v>2021</v>
      </c>
      <c r="E304" s="6" t="s">
        <v>48</v>
      </c>
      <c r="F304" t="str">
        <f>IFERROR(YEAR(Table1[[#This Row],[Exit Date]]), " ")</f>
        <v xml:space="preserve"> </v>
      </c>
      <c r="G304" t="str">
        <f>IFERROR((Table1[[#This Row],[Exit Year]]-Table1[[#This Row],[Join Year]])+1," ")</f>
        <v xml:space="preserve"> </v>
      </c>
      <c r="H304" t="s">
        <v>48</v>
      </c>
      <c r="I304" t="s">
        <v>11</v>
      </c>
      <c r="J304" t="s">
        <v>12</v>
      </c>
      <c r="K304">
        <v>50</v>
      </c>
      <c r="L304" t="str">
        <f>IF(Table1[[#This Row],[Age]]&lt;30,"20-29",
IF(Table1[[#This Row],[Age]]&lt;40,"30-39",
IF(Table1[[#This Row],[Age]]&lt;50,"40-49",
IF(Table1[[#This Row],[Age]]&lt;60,"50-59","60+"))))</f>
        <v>50-59</v>
      </c>
      <c r="M304" t="s">
        <v>20</v>
      </c>
      <c r="N304" t="s">
        <v>25</v>
      </c>
    </row>
    <row r="305" spans="1:14" x14ac:dyDescent="0.35">
      <c r="A305">
        <v>404</v>
      </c>
      <c r="B305" t="s">
        <v>15</v>
      </c>
      <c r="C305" s="6">
        <v>45087</v>
      </c>
      <c r="D305">
        <f>YEAR(Table1[[#This Row],[Join Date]])</f>
        <v>2023</v>
      </c>
      <c r="E305" s="6" t="s">
        <v>48</v>
      </c>
      <c r="F305" t="str">
        <f>IFERROR(YEAR(Table1[[#This Row],[Exit Date]]), " ")</f>
        <v xml:space="preserve"> </v>
      </c>
      <c r="G305" t="str">
        <f>IFERROR((Table1[[#This Row],[Exit Year]]-Table1[[#This Row],[Join Year]])+1," ")</f>
        <v xml:space="preserve"> </v>
      </c>
      <c r="H305" t="s">
        <v>48</v>
      </c>
      <c r="I305" t="s">
        <v>11</v>
      </c>
      <c r="J305" t="s">
        <v>18</v>
      </c>
      <c r="K305">
        <v>24</v>
      </c>
      <c r="L305" t="str">
        <f>IF(Table1[[#This Row],[Age]]&lt;30,"20-29",
IF(Table1[[#This Row],[Age]]&lt;40,"30-39",
IF(Table1[[#This Row],[Age]]&lt;50,"40-49",
IF(Table1[[#This Row],[Age]]&lt;60,"50-59","60+"))))</f>
        <v>20-29</v>
      </c>
      <c r="M305" t="s">
        <v>24</v>
      </c>
      <c r="N305" t="s">
        <v>28</v>
      </c>
    </row>
    <row r="306" spans="1:14" x14ac:dyDescent="0.35">
      <c r="A306">
        <v>405</v>
      </c>
      <c r="B306" t="s">
        <v>15</v>
      </c>
      <c r="C306" s="6">
        <v>43479</v>
      </c>
      <c r="D306">
        <f>YEAR(Table1[[#This Row],[Join Date]])</f>
        <v>2019</v>
      </c>
      <c r="E306" s="6">
        <v>44449</v>
      </c>
      <c r="F306">
        <f>IFERROR(YEAR(Table1[[#This Row],[Exit Date]]), " ")</f>
        <v>2021</v>
      </c>
      <c r="G306">
        <f>IFERROR((Table1[[#This Row],[Exit Year]]-Table1[[#This Row],[Join Year]])+1," ")</f>
        <v>3</v>
      </c>
      <c r="H306" t="s">
        <v>22</v>
      </c>
      <c r="I306" t="s">
        <v>23</v>
      </c>
      <c r="J306" t="s">
        <v>12</v>
      </c>
      <c r="K306">
        <v>50</v>
      </c>
      <c r="L306" t="str">
        <f>IF(Table1[[#This Row],[Age]]&lt;30,"20-29",
IF(Table1[[#This Row],[Age]]&lt;40,"30-39",
IF(Table1[[#This Row],[Age]]&lt;50,"40-49",
IF(Table1[[#This Row],[Age]]&lt;60,"50-59","60+"))))</f>
        <v>50-59</v>
      </c>
      <c r="M306" t="s">
        <v>13</v>
      </c>
      <c r="N306" t="s">
        <v>31</v>
      </c>
    </row>
    <row r="307" spans="1:14" x14ac:dyDescent="0.35">
      <c r="A307">
        <v>406</v>
      </c>
      <c r="B307" t="s">
        <v>26</v>
      </c>
      <c r="C307" s="6">
        <v>44749</v>
      </c>
      <c r="D307">
        <f>YEAR(Table1[[#This Row],[Join Date]])</f>
        <v>2022</v>
      </c>
      <c r="E307" s="6">
        <v>44972</v>
      </c>
      <c r="F307">
        <f>IFERROR(YEAR(Table1[[#This Row],[Exit Date]]), " ")</f>
        <v>2023</v>
      </c>
      <c r="G307">
        <f>IFERROR((Table1[[#This Row],[Exit Year]]-Table1[[#This Row],[Join Year]])+1," ")</f>
        <v>2</v>
      </c>
      <c r="H307" t="s">
        <v>46</v>
      </c>
      <c r="I307" t="s">
        <v>23</v>
      </c>
      <c r="J307" t="s">
        <v>18</v>
      </c>
      <c r="K307">
        <v>28</v>
      </c>
      <c r="L307" t="str">
        <f>IF(Table1[[#This Row],[Age]]&lt;30,"20-29",
IF(Table1[[#This Row],[Age]]&lt;40,"30-39",
IF(Table1[[#This Row],[Age]]&lt;50,"40-49",
IF(Table1[[#This Row],[Age]]&lt;60,"50-59","60+"))))</f>
        <v>20-29</v>
      </c>
      <c r="M307" t="s">
        <v>42</v>
      </c>
      <c r="N307" t="s">
        <v>32</v>
      </c>
    </row>
    <row r="308" spans="1:14" x14ac:dyDescent="0.35">
      <c r="A308">
        <v>407</v>
      </c>
      <c r="B308" t="s">
        <v>29</v>
      </c>
      <c r="C308" s="6">
        <v>45457</v>
      </c>
      <c r="D308">
        <f>YEAR(Table1[[#This Row],[Join Date]])</f>
        <v>2024</v>
      </c>
      <c r="E308" s="6" t="s">
        <v>48</v>
      </c>
      <c r="F308" t="str">
        <f>IFERROR(YEAR(Table1[[#This Row],[Exit Date]]), " ")</f>
        <v xml:space="preserve"> </v>
      </c>
      <c r="G308" t="str">
        <f>IFERROR((Table1[[#This Row],[Exit Year]]-Table1[[#This Row],[Join Year]])+1," ")</f>
        <v xml:space="preserve"> </v>
      </c>
      <c r="H308" t="s">
        <v>48</v>
      </c>
      <c r="I308" t="s">
        <v>11</v>
      </c>
      <c r="J308" t="s">
        <v>18</v>
      </c>
      <c r="K308">
        <v>40</v>
      </c>
      <c r="L308" t="str">
        <f>IF(Table1[[#This Row],[Age]]&lt;30,"20-29",
IF(Table1[[#This Row],[Age]]&lt;40,"30-39",
IF(Table1[[#This Row],[Age]]&lt;50,"40-49",
IF(Table1[[#This Row],[Age]]&lt;60,"50-59","60+"))))</f>
        <v>40-49</v>
      </c>
      <c r="M308" t="s">
        <v>13</v>
      </c>
      <c r="N308" t="s">
        <v>33</v>
      </c>
    </row>
    <row r="309" spans="1:14" x14ac:dyDescent="0.35">
      <c r="A309">
        <v>408</v>
      </c>
      <c r="B309" t="s">
        <v>10</v>
      </c>
      <c r="C309" s="6">
        <v>43304</v>
      </c>
      <c r="D309">
        <f>YEAR(Table1[[#This Row],[Join Date]])</f>
        <v>2018</v>
      </c>
      <c r="E309" s="6" t="s">
        <v>48</v>
      </c>
      <c r="F309" t="str">
        <f>IFERROR(YEAR(Table1[[#This Row],[Exit Date]]), " ")</f>
        <v xml:space="preserve"> </v>
      </c>
      <c r="G309" t="str">
        <f>IFERROR((Table1[[#This Row],[Exit Year]]-Table1[[#This Row],[Join Year]])+1," ")</f>
        <v xml:space="preserve"> </v>
      </c>
      <c r="H309" t="s">
        <v>48</v>
      </c>
      <c r="I309" t="s">
        <v>11</v>
      </c>
      <c r="J309" t="s">
        <v>12</v>
      </c>
      <c r="K309">
        <v>32</v>
      </c>
      <c r="L309" t="str">
        <f>IF(Table1[[#This Row],[Age]]&lt;30,"20-29",
IF(Table1[[#This Row],[Age]]&lt;40,"30-39",
IF(Table1[[#This Row],[Age]]&lt;50,"40-49",
IF(Table1[[#This Row],[Age]]&lt;60,"50-59","60+"))))</f>
        <v>30-39</v>
      </c>
      <c r="M309" t="s">
        <v>13</v>
      </c>
      <c r="N309" t="s">
        <v>35</v>
      </c>
    </row>
    <row r="310" spans="1:14" x14ac:dyDescent="0.35">
      <c r="A310">
        <v>409</v>
      </c>
      <c r="B310" t="s">
        <v>15</v>
      </c>
      <c r="C310" s="6">
        <v>44987</v>
      </c>
      <c r="D310">
        <f>YEAR(Table1[[#This Row],[Join Date]])</f>
        <v>2023</v>
      </c>
      <c r="E310" s="6" t="s">
        <v>48</v>
      </c>
      <c r="F310" t="str">
        <f>IFERROR(YEAR(Table1[[#This Row],[Exit Date]]), " ")</f>
        <v xml:space="preserve"> </v>
      </c>
      <c r="G310" t="str">
        <f>IFERROR((Table1[[#This Row],[Exit Year]]-Table1[[#This Row],[Join Year]])+1," ")</f>
        <v xml:space="preserve"> </v>
      </c>
      <c r="H310" t="s">
        <v>48</v>
      </c>
      <c r="I310" t="s">
        <v>11</v>
      </c>
      <c r="J310" t="s">
        <v>12</v>
      </c>
      <c r="K310">
        <v>50</v>
      </c>
      <c r="L310" t="str">
        <f>IF(Table1[[#This Row],[Age]]&lt;30,"20-29",
IF(Table1[[#This Row],[Age]]&lt;40,"30-39",
IF(Table1[[#This Row],[Age]]&lt;50,"40-49",
IF(Table1[[#This Row],[Age]]&lt;60,"50-59","60+"))))</f>
        <v>50-59</v>
      </c>
      <c r="M310" t="s">
        <v>16</v>
      </c>
      <c r="N310" t="s">
        <v>37</v>
      </c>
    </row>
    <row r="311" spans="1:14" x14ac:dyDescent="0.35">
      <c r="A311">
        <v>410</v>
      </c>
      <c r="B311" t="s">
        <v>34</v>
      </c>
      <c r="C311" s="6">
        <v>45326</v>
      </c>
      <c r="D311">
        <f>YEAR(Table1[[#This Row],[Join Date]])</f>
        <v>2024</v>
      </c>
      <c r="E311" s="6" t="s">
        <v>48</v>
      </c>
      <c r="F311" t="str">
        <f>IFERROR(YEAR(Table1[[#This Row],[Exit Date]]), " ")</f>
        <v xml:space="preserve"> </v>
      </c>
      <c r="G311" t="str">
        <f>IFERROR((Table1[[#This Row],[Exit Year]]-Table1[[#This Row],[Join Year]])+1," ")</f>
        <v xml:space="preserve"> </v>
      </c>
      <c r="H311" t="s">
        <v>48</v>
      </c>
      <c r="I311" t="s">
        <v>11</v>
      </c>
      <c r="J311" t="s">
        <v>12</v>
      </c>
      <c r="K311">
        <v>24</v>
      </c>
      <c r="L311" t="str">
        <f>IF(Table1[[#This Row],[Age]]&lt;30,"20-29",
IF(Table1[[#This Row],[Age]]&lt;40,"30-39",
IF(Table1[[#This Row],[Age]]&lt;50,"40-49",
IF(Table1[[#This Row],[Age]]&lt;60,"50-59","60+"))))</f>
        <v>20-29</v>
      </c>
      <c r="M311" t="s">
        <v>13</v>
      </c>
      <c r="N311" t="s">
        <v>19</v>
      </c>
    </row>
    <row r="312" spans="1:14" x14ac:dyDescent="0.35">
      <c r="A312">
        <v>411</v>
      </c>
      <c r="B312" t="s">
        <v>36</v>
      </c>
      <c r="C312" s="6">
        <v>45474</v>
      </c>
      <c r="D312">
        <f>YEAR(Table1[[#This Row],[Join Date]])</f>
        <v>2024</v>
      </c>
      <c r="E312" s="6" t="s">
        <v>48</v>
      </c>
      <c r="F312" t="str">
        <f>IFERROR(YEAR(Table1[[#This Row],[Exit Date]]), " ")</f>
        <v xml:space="preserve"> </v>
      </c>
      <c r="G312" t="str">
        <f>IFERROR((Table1[[#This Row],[Exit Year]]-Table1[[#This Row],[Join Year]])+1," ")</f>
        <v xml:space="preserve"> </v>
      </c>
      <c r="H312" t="s">
        <v>48</v>
      </c>
      <c r="I312" t="s">
        <v>11</v>
      </c>
      <c r="J312" t="s">
        <v>12</v>
      </c>
      <c r="K312">
        <v>36</v>
      </c>
      <c r="L312" t="str">
        <f>IF(Table1[[#This Row],[Age]]&lt;30,"20-29",
IF(Table1[[#This Row],[Age]]&lt;40,"30-39",
IF(Table1[[#This Row],[Age]]&lt;50,"40-49",
IF(Table1[[#This Row],[Age]]&lt;60,"50-59","60+"))))</f>
        <v>30-39</v>
      </c>
      <c r="M312" t="s">
        <v>20</v>
      </c>
      <c r="N312" t="s">
        <v>25</v>
      </c>
    </row>
    <row r="313" spans="1:14" x14ac:dyDescent="0.35">
      <c r="A313">
        <v>412</v>
      </c>
      <c r="B313" t="s">
        <v>29</v>
      </c>
      <c r="C313" s="6">
        <v>44227</v>
      </c>
      <c r="D313">
        <f>YEAR(Table1[[#This Row],[Join Date]])</f>
        <v>2021</v>
      </c>
      <c r="E313" s="6">
        <v>45322</v>
      </c>
      <c r="F313">
        <f>IFERROR(YEAR(Table1[[#This Row],[Exit Date]]), " ")</f>
        <v>2024</v>
      </c>
      <c r="G313">
        <f>IFERROR((Table1[[#This Row],[Exit Year]]-Table1[[#This Row],[Join Year]])+1," ")</f>
        <v>4</v>
      </c>
      <c r="H313" t="s">
        <v>46</v>
      </c>
      <c r="I313" t="s">
        <v>23</v>
      </c>
      <c r="J313" t="s">
        <v>12</v>
      </c>
      <c r="K313">
        <v>49</v>
      </c>
      <c r="L313" t="str">
        <f>IF(Table1[[#This Row],[Age]]&lt;30,"20-29",
IF(Table1[[#This Row],[Age]]&lt;40,"30-39",
IF(Table1[[#This Row],[Age]]&lt;50,"40-49",
IF(Table1[[#This Row],[Age]]&lt;60,"50-59","60+"))))</f>
        <v>40-49</v>
      </c>
      <c r="M313" t="s">
        <v>39</v>
      </c>
      <c r="N313" t="s">
        <v>35</v>
      </c>
    </row>
    <row r="314" spans="1:14" x14ac:dyDescent="0.35">
      <c r="A314">
        <v>413</v>
      </c>
      <c r="B314" t="s">
        <v>10</v>
      </c>
      <c r="C314" s="6">
        <v>43446</v>
      </c>
      <c r="D314">
        <f>YEAR(Table1[[#This Row],[Join Date]])</f>
        <v>2018</v>
      </c>
      <c r="E314" s="6">
        <v>43936</v>
      </c>
      <c r="F314">
        <f>IFERROR(YEAR(Table1[[#This Row],[Exit Date]]), " ")</f>
        <v>2020</v>
      </c>
      <c r="G314">
        <f>IFERROR((Table1[[#This Row],[Exit Year]]-Table1[[#This Row],[Join Year]])+1," ")</f>
        <v>3</v>
      </c>
      <c r="H314" t="s">
        <v>46</v>
      </c>
      <c r="I314" t="s">
        <v>23</v>
      </c>
      <c r="J314" t="s">
        <v>18</v>
      </c>
      <c r="K314">
        <v>43</v>
      </c>
      <c r="L314" t="str">
        <f>IF(Table1[[#This Row],[Age]]&lt;30,"20-29",
IF(Table1[[#This Row],[Age]]&lt;40,"30-39",
IF(Table1[[#This Row],[Age]]&lt;50,"40-49",
IF(Table1[[#This Row],[Age]]&lt;60,"50-59","60+"))))</f>
        <v>40-49</v>
      </c>
      <c r="M314" t="s">
        <v>13</v>
      </c>
      <c r="N314" t="s">
        <v>17</v>
      </c>
    </row>
    <row r="315" spans="1:14" x14ac:dyDescent="0.35">
      <c r="A315">
        <v>414</v>
      </c>
      <c r="B315" t="s">
        <v>15</v>
      </c>
      <c r="C315" s="6">
        <v>45314</v>
      </c>
      <c r="D315">
        <f>YEAR(Table1[[#This Row],[Join Date]])</f>
        <v>2024</v>
      </c>
      <c r="E315" s="6" t="s">
        <v>48</v>
      </c>
      <c r="F315" t="str">
        <f>IFERROR(YEAR(Table1[[#This Row],[Exit Date]]), " ")</f>
        <v xml:space="preserve"> </v>
      </c>
      <c r="G315" t="str">
        <f>IFERROR((Table1[[#This Row],[Exit Year]]-Table1[[#This Row],[Join Year]])+1," ")</f>
        <v xml:space="preserve"> </v>
      </c>
      <c r="H315" t="s">
        <v>48</v>
      </c>
      <c r="I315" t="s">
        <v>11</v>
      </c>
      <c r="J315" t="s">
        <v>18</v>
      </c>
      <c r="K315">
        <v>40</v>
      </c>
      <c r="L315" t="str">
        <f>IF(Table1[[#This Row],[Age]]&lt;30,"20-29",
IF(Table1[[#This Row],[Age]]&lt;40,"30-39",
IF(Table1[[#This Row],[Age]]&lt;50,"40-49",
IF(Table1[[#This Row],[Age]]&lt;60,"50-59","60+"))))</f>
        <v>40-49</v>
      </c>
      <c r="M315" t="s">
        <v>16</v>
      </c>
      <c r="N315" t="s">
        <v>19</v>
      </c>
    </row>
    <row r="316" spans="1:14" x14ac:dyDescent="0.35">
      <c r="A316">
        <v>415</v>
      </c>
      <c r="B316" t="s">
        <v>15</v>
      </c>
      <c r="C316" s="6">
        <v>43123</v>
      </c>
      <c r="D316">
        <f>YEAR(Table1[[#This Row],[Join Date]])</f>
        <v>2018</v>
      </c>
      <c r="E316" s="6" t="s">
        <v>48</v>
      </c>
      <c r="F316" t="str">
        <f>IFERROR(YEAR(Table1[[#This Row],[Exit Date]]), " ")</f>
        <v xml:space="preserve"> </v>
      </c>
      <c r="G316" t="str">
        <f>IFERROR((Table1[[#This Row],[Exit Year]]-Table1[[#This Row],[Join Year]])+1," ")</f>
        <v xml:space="preserve"> </v>
      </c>
      <c r="H316" t="s">
        <v>48</v>
      </c>
      <c r="I316" t="s">
        <v>11</v>
      </c>
      <c r="J316" t="s">
        <v>18</v>
      </c>
      <c r="K316">
        <v>42</v>
      </c>
      <c r="L316" t="str">
        <f>IF(Table1[[#This Row],[Age]]&lt;30,"20-29",
IF(Table1[[#This Row],[Age]]&lt;40,"30-39",
IF(Table1[[#This Row],[Age]]&lt;50,"40-49",
IF(Table1[[#This Row],[Age]]&lt;60,"50-59","60+"))))</f>
        <v>40-49</v>
      </c>
      <c r="M316" t="s">
        <v>16</v>
      </c>
      <c r="N316" t="s">
        <v>21</v>
      </c>
    </row>
    <row r="317" spans="1:14" x14ac:dyDescent="0.35">
      <c r="A317">
        <v>416</v>
      </c>
      <c r="B317" t="s">
        <v>10</v>
      </c>
      <c r="C317" s="6">
        <v>43717</v>
      </c>
      <c r="D317">
        <f>YEAR(Table1[[#This Row],[Join Date]])</f>
        <v>2019</v>
      </c>
      <c r="E317" s="6">
        <v>44677</v>
      </c>
      <c r="F317">
        <f>IFERROR(YEAR(Table1[[#This Row],[Exit Date]]), " ")</f>
        <v>2022</v>
      </c>
      <c r="G317">
        <f>IFERROR((Table1[[#This Row],[Exit Year]]-Table1[[#This Row],[Join Year]])+1," ")</f>
        <v>4</v>
      </c>
      <c r="H317" t="s">
        <v>40</v>
      </c>
      <c r="I317" t="s">
        <v>23</v>
      </c>
      <c r="J317" t="s">
        <v>18</v>
      </c>
      <c r="K317">
        <v>35</v>
      </c>
      <c r="L317" t="str">
        <f>IF(Table1[[#This Row],[Age]]&lt;30,"20-29",
IF(Table1[[#This Row],[Age]]&lt;40,"30-39",
IF(Table1[[#This Row],[Age]]&lt;50,"40-49",
IF(Table1[[#This Row],[Age]]&lt;60,"50-59","60+"))))</f>
        <v>30-39</v>
      </c>
      <c r="M317" t="s">
        <v>20</v>
      </c>
      <c r="N317" t="s">
        <v>25</v>
      </c>
    </row>
    <row r="318" spans="1:14" x14ac:dyDescent="0.35">
      <c r="A318">
        <v>417</v>
      </c>
      <c r="B318" t="s">
        <v>29</v>
      </c>
      <c r="C318" s="6">
        <v>43534</v>
      </c>
      <c r="D318">
        <f>YEAR(Table1[[#This Row],[Join Date]])</f>
        <v>2019</v>
      </c>
      <c r="E318" s="6">
        <v>44117</v>
      </c>
      <c r="F318">
        <f>IFERROR(YEAR(Table1[[#This Row],[Exit Date]]), " ")</f>
        <v>2020</v>
      </c>
      <c r="G318">
        <f>IFERROR((Table1[[#This Row],[Exit Year]]-Table1[[#This Row],[Join Year]])+1," ")</f>
        <v>2</v>
      </c>
      <c r="H318" t="s">
        <v>38</v>
      </c>
      <c r="I318" t="s">
        <v>23</v>
      </c>
      <c r="J318" t="s">
        <v>18</v>
      </c>
      <c r="K318">
        <v>31</v>
      </c>
      <c r="L318" t="str">
        <f>IF(Table1[[#This Row],[Age]]&lt;30,"20-29",
IF(Table1[[#This Row],[Age]]&lt;40,"30-39",
IF(Table1[[#This Row],[Age]]&lt;50,"40-49",
IF(Table1[[#This Row],[Age]]&lt;60,"50-59","60+"))))</f>
        <v>30-39</v>
      </c>
      <c r="M318" t="s">
        <v>24</v>
      </c>
      <c r="N318" t="s">
        <v>35</v>
      </c>
    </row>
    <row r="319" spans="1:14" x14ac:dyDescent="0.35">
      <c r="A319">
        <v>418</v>
      </c>
      <c r="B319" t="s">
        <v>36</v>
      </c>
      <c r="C319" s="6">
        <v>44619</v>
      </c>
      <c r="D319">
        <f>YEAR(Table1[[#This Row],[Join Date]])</f>
        <v>2022</v>
      </c>
      <c r="E319" s="6" t="s">
        <v>48</v>
      </c>
      <c r="F319" t="str">
        <f>IFERROR(YEAR(Table1[[#This Row],[Exit Date]]), " ")</f>
        <v xml:space="preserve"> </v>
      </c>
      <c r="G319" t="str">
        <f>IFERROR((Table1[[#This Row],[Exit Year]]-Table1[[#This Row],[Join Year]])+1," ")</f>
        <v xml:space="preserve"> </v>
      </c>
      <c r="H319" t="s">
        <v>48</v>
      </c>
      <c r="I319" t="s">
        <v>11</v>
      </c>
      <c r="J319" t="s">
        <v>12</v>
      </c>
      <c r="K319">
        <v>51</v>
      </c>
      <c r="L319" t="str">
        <f>IF(Table1[[#This Row],[Age]]&lt;30,"20-29",
IF(Table1[[#This Row],[Age]]&lt;40,"30-39",
IF(Table1[[#This Row],[Age]]&lt;50,"40-49",
IF(Table1[[#This Row],[Age]]&lt;60,"50-59","60+"))))</f>
        <v>50-59</v>
      </c>
      <c r="M319" t="s">
        <v>13</v>
      </c>
      <c r="N319" t="s">
        <v>14</v>
      </c>
    </row>
    <row r="320" spans="1:14" x14ac:dyDescent="0.35">
      <c r="A320">
        <v>419</v>
      </c>
      <c r="B320" t="s">
        <v>10</v>
      </c>
      <c r="C320" s="6">
        <v>45485</v>
      </c>
      <c r="D320">
        <f>YEAR(Table1[[#This Row],[Join Date]])</f>
        <v>2024</v>
      </c>
      <c r="E320" s="6" t="s">
        <v>48</v>
      </c>
      <c r="F320" t="str">
        <f>IFERROR(YEAR(Table1[[#This Row],[Exit Date]]), " ")</f>
        <v xml:space="preserve"> </v>
      </c>
      <c r="G320" t="str">
        <f>IFERROR((Table1[[#This Row],[Exit Year]]-Table1[[#This Row],[Join Year]])+1," ")</f>
        <v xml:space="preserve"> </v>
      </c>
      <c r="H320" t="s">
        <v>48</v>
      </c>
      <c r="I320" t="s">
        <v>11</v>
      </c>
      <c r="J320" t="s">
        <v>18</v>
      </c>
      <c r="K320">
        <v>48</v>
      </c>
      <c r="L320" t="str">
        <f>IF(Table1[[#This Row],[Age]]&lt;30,"20-29",
IF(Table1[[#This Row],[Age]]&lt;40,"30-39",
IF(Table1[[#This Row],[Age]]&lt;50,"40-49",
IF(Table1[[#This Row],[Age]]&lt;60,"50-59","60+"))))</f>
        <v>40-49</v>
      </c>
      <c r="M320" t="s">
        <v>42</v>
      </c>
      <c r="N320" t="s">
        <v>19</v>
      </c>
    </row>
    <row r="321" spans="1:14" x14ac:dyDescent="0.35">
      <c r="A321">
        <v>420</v>
      </c>
      <c r="B321" t="s">
        <v>29</v>
      </c>
      <c r="C321" s="6">
        <v>43588</v>
      </c>
      <c r="D321">
        <f>YEAR(Table1[[#This Row],[Join Date]])</f>
        <v>2019</v>
      </c>
      <c r="E321" s="6">
        <v>44896</v>
      </c>
      <c r="F321">
        <f>IFERROR(YEAR(Table1[[#This Row],[Exit Date]]), " ")</f>
        <v>2022</v>
      </c>
      <c r="G321">
        <f>IFERROR((Table1[[#This Row],[Exit Year]]-Table1[[#This Row],[Join Year]])+1," ")</f>
        <v>4</v>
      </c>
      <c r="H321" t="s">
        <v>41</v>
      </c>
      <c r="I321" t="s">
        <v>23</v>
      </c>
      <c r="J321" t="s">
        <v>18</v>
      </c>
      <c r="K321">
        <v>41</v>
      </c>
      <c r="L321" t="str">
        <f>IF(Table1[[#This Row],[Age]]&lt;30,"20-29",
IF(Table1[[#This Row],[Age]]&lt;40,"30-39",
IF(Table1[[#This Row],[Age]]&lt;50,"40-49",
IF(Table1[[#This Row],[Age]]&lt;60,"50-59","60+"))))</f>
        <v>40-49</v>
      </c>
      <c r="M321" t="s">
        <v>13</v>
      </c>
      <c r="N321" t="s">
        <v>21</v>
      </c>
    </row>
    <row r="322" spans="1:14" x14ac:dyDescent="0.35">
      <c r="A322">
        <v>421</v>
      </c>
      <c r="B322" t="s">
        <v>36</v>
      </c>
      <c r="C322" s="6">
        <v>44250</v>
      </c>
      <c r="D322">
        <f>YEAR(Table1[[#This Row],[Join Date]])</f>
        <v>2021</v>
      </c>
      <c r="E322" s="6">
        <v>45392</v>
      </c>
      <c r="F322">
        <f>IFERROR(YEAR(Table1[[#This Row],[Exit Date]]), " ")</f>
        <v>2024</v>
      </c>
      <c r="G322">
        <f>IFERROR((Table1[[#This Row],[Exit Year]]-Table1[[#This Row],[Join Year]])+1," ")</f>
        <v>4</v>
      </c>
      <c r="H322" t="s">
        <v>46</v>
      </c>
      <c r="I322" t="s">
        <v>23</v>
      </c>
      <c r="J322" t="s">
        <v>18</v>
      </c>
      <c r="K322">
        <v>35</v>
      </c>
      <c r="L322" t="str">
        <f>IF(Table1[[#This Row],[Age]]&lt;30,"20-29",
IF(Table1[[#This Row],[Age]]&lt;40,"30-39",
IF(Table1[[#This Row],[Age]]&lt;50,"40-49",
IF(Table1[[#This Row],[Age]]&lt;60,"50-59","60+"))))</f>
        <v>30-39</v>
      </c>
      <c r="M322" t="s">
        <v>13</v>
      </c>
      <c r="N322" t="s">
        <v>37</v>
      </c>
    </row>
    <row r="323" spans="1:14" x14ac:dyDescent="0.35">
      <c r="A323">
        <v>422</v>
      </c>
      <c r="B323" t="s">
        <v>26</v>
      </c>
      <c r="C323" s="6">
        <v>45244</v>
      </c>
      <c r="D323">
        <f>YEAR(Table1[[#This Row],[Join Date]])</f>
        <v>2023</v>
      </c>
      <c r="E323" s="6">
        <v>45446</v>
      </c>
      <c r="F323">
        <f>IFERROR(YEAR(Table1[[#This Row],[Exit Date]]), " ")</f>
        <v>2024</v>
      </c>
      <c r="G323">
        <f>IFERROR((Table1[[#This Row],[Exit Year]]-Table1[[#This Row],[Join Year]])+1," ")</f>
        <v>2</v>
      </c>
      <c r="H323" t="s">
        <v>40</v>
      </c>
      <c r="I323" t="s">
        <v>23</v>
      </c>
      <c r="J323" t="s">
        <v>12</v>
      </c>
      <c r="K323">
        <v>24</v>
      </c>
      <c r="L323" t="str">
        <f>IF(Table1[[#This Row],[Age]]&lt;30,"20-29",
IF(Table1[[#This Row],[Age]]&lt;40,"30-39",
IF(Table1[[#This Row],[Age]]&lt;50,"40-49",
IF(Table1[[#This Row],[Age]]&lt;60,"50-59","60+"))))</f>
        <v>20-29</v>
      </c>
      <c r="M323" t="s">
        <v>16</v>
      </c>
      <c r="N323" t="s">
        <v>25</v>
      </c>
    </row>
    <row r="324" spans="1:14" x14ac:dyDescent="0.35">
      <c r="A324">
        <v>423</v>
      </c>
      <c r="B324" t="s">
        <v>15</v>
      </c>
      <c r="C324" s="6">
        <v>45256</v>
      </c>
      <c r="D324">
        <f>YEAR(Table1[[#This Row],[Join Date]])</f>
        <v>2023</v>
      </c>
      <c r="E324" s="6" t="s">
        <v>48</v>
      </c>
      <c r="F324" t="str">
        <f>IFERROR(YEAR(Table1[[#This Row],[Exit Date]]), " ")</f>
        <v xml:space="preserve"> </v>
      </c>
      <c r="G324" t="str">
        <f>IFERROR((Table1[[#This Row],[Exit Year]]-Table1[[#This Row],[Join Year]])+1," ")</f>
        <v xml:space="preserve"> </v>
      </c>
      <c r="H324" t="s">
        <v>48</v>
      </c>
      <c r="I324" t="s">
        <v>11</v>
      </c>
      <c r="J324" t="s">
        <v>12</v>
      </c>
      <c r="K324">
        <v>41</v>
      </c>
      <c r="L324" t="str">
        <f>IF(Table1[[#This Row],[Age]]&lt;30,"20-29",
IF(Table1[[#This Row],[Age]]&lt;40,"30-39",
IF(Table1[[#This Row],[Age]]&lt;50,"40-49",
IF(Table1[[#This Row],[Age]]&lt;60,"50-59","60+"))))</f>
        <v>40-49</v>
      </c>
      <c r="M324" t="s">
        <v>13</v>
      </c>
      <c r="N324" t="s">
        <v>35</v>
      </c>
    </row>
    <row r="325" spans="1:14" x14ac:dyDescent="0.35">
      <c r="A325">
        <v>424</v>
      </c>
      <c r="B325" t="s">
        <v>26</v>
      </c>
      <c r="C325" s="6">
        <v>45465</v>
      </c>
      <c r="D325">
        <f>YEAR(Table1[[#This Row],[Join Date]])</f>
        <v>2024</v>
      </c>
      <c r="E325" s="6" t="s">
        <v>48</v>
      </c>
      <c r="F325" t="str">
        <f>IFERROR(YEAR(Table1[[#This Row],[Exit Date]]), " ")</f>
        <v xml:space="preserve"> </v>
      </c>
      <c r="G325" t="str">
        <f>IFERROR((Table1[[#This Row],[Exit Year]]-Table1[[#This Row],[Join Year]])+1," ")</f>
        <v xml:space="preserve"> </v>
      </c>
      <c r="H325" t="s">
        <v>48</v>
      </c>
      <c r="I325" t="s">
        <v>11</v>
      </c>
      <c r="J325" t="s">
        <v>18</v>
      </c>
      <c r="K325">
        <v>40</v>
      </c>
      <c r="L325" t="str">
        <f>IF(Table1[[#This Row],[Age]]&lt;30,"20-29",
IF(Table1[[#This Row],[Age]]&lt;40,"30-39",
IF(Table1[[#This Row],[Age]]&lt;50,"40-49",
IF(Table1[[#This Row],[Age]]&lt;60,"50-59","60+"))))</f>
        <v>40-49</v>
      </c>
      <c r="M325" t="s">
        <v>20</v>
      </c>
      <c r="N325" t="s">
        <v>35</v>
      </c>
    </row>
    <row r="326" spans="1:14" x14ac:dyDescent="0.35">
      <c r="A326">
        <v>425</v>
      </c>
      <c r="B326" t="s">
        <v>10</v>
      </c>
      <c r="C326" s="6">
        <v>43597</v>
      </c>
      <c r="D326">
        <f>YEAR(Table1[[#This Row],[Join Date]])</f>
        <v>2019</v>
      </c>
      <c r="E326" s="6" t="s">
        <v>48</v>
      </c>
      <c r="F326" t="str">
        <f>IFERROR(YEAR(Table1[[#This Row],[Exit Date]]), " ")</f>
        <v xml:space="preserve"> </v>
      </c>
      <c r="G326" t="str">
        <f>IFERROR((Table1[[#This Row],[Exit Year]]-Table1[[#This Row],[Join Year]])+1," ")</f>
        <v xml:space="preserve"> </v>
      </c>
      <c r="H326" t="s">
        <v>48</v>
      </c>
      <c r="I326" t="s">
        <v>11</v>
      </c>
      <c r="J326" t="s">
        <v>12</v>
      </c>
      <c r="K326">
        <v>48</v>
      </c>
      <c r="L326" t="str">
        <f>IF(Table1[[#This Row],[Age]]&lt;30,"20-29",
IF(Table1[[#This Row],[Age]]&lt;40,"30-39",
IF(Table1[[#This Row],[Age]]&lt;50,"40-49",
IF(Table1[[#This Row],[Age]]&lt;60,"50-59","60+"))))</f>
        <v>40-49</v>
      </c>
      <c r="M326" t="s">
        <v>39</v>
      </c>
      <c r="N326" t="s">
        <v>14</v>
      </c>
    </row>
    <row r="327" spans="1:14" x14ac:dyDescent="0.35">
      <c r="A327">
        <v>426</v>
      </c>
      <c r="B327" t="s">
        <v>15</v>
      </c>
      <c r="C327" s="6">
        <v>44866</v>
      </c>
      <c r="D327">
        <f>YEAR(Table1[[#This Row],[Join Date]])</f>
        <v>2022</v>
      </c>
      <c r="E327" s="6" t="s">
        <v>48</v>
      </c>
      <c r="F327" t="str">
        <f>IFERROR(YEAR(Table1[[#This Row],[Exit Date]]), " ")</f>
        <v xml:space="preserve"> </v>
      </c>
      <c r="G327" t="str">
        <f>IFERROR((Table1[[#This Row],[Exit Year]]-Table1[[#This Row],[Join Year]])+1," ")</f>
        <v xml:space="preserve"> </v>
      </c>
      <c r="H327" t="s">
        <v>48</v>
      </c>
      <c r="I327" t="s">
        <v>11</v>
      </c>
      <c r="J327" t="s">
        <v>12</v>
      </c>
      <c r="K327">
        <v>52</v>
      </c>
      <c r="L327" t="str">
        <f>IF(Table1[[#This Row],[Age]]&lt;30,"20-29",
IF(Table1[[#This Row],[Age]]&lt;40,"30-39",
IF(Table1[[#This Row],[Age]]&lt;50,"40-49",
IF(Table1[[#This Row],[Age]]&lt;60,"50-59","60+"))))</f>
        <v>50-59</v>
      </c>
      <c r="M327" t="s">
        <v>13</v>
      </c>
      <c r="N327" t="s">
        <v>19</v>
      </c>
    </row>
    <row r="328" spans="1:14" x14ac:dyDescent="0.35">
      <c r="A328">
        <v>427</v>
      </c>
      <c r="B328" t="s">
        <v>34</v>
      </c>
      <c r="C328" s="6">
        <v>44006</v>
      </c>
      <c r="D328">
        <f>YEAR(Table1[[#This Row],[Join Date]])</f>
        <v>2020</v>
      </c>
      <c r="E328" s="6">
        <v>44463</v>
      </c>
      <c r="F328">
        <f>IFERROR(YEAR(Table1[[#This Row],[Exit Date]]), " ")</f>
        <v>2021</v>
      </c>
      <c r="G328">
        <f>IFERROR((Table1[[#This Row],[Exit Year]]-Table1[[#This Row],[Join Year]])+1," ")</f>
        <v>2</v>
      </c>
      <c r="H328" t="s">
        <v>43</v>
      </c>
      <c r="I328" t="s">
        <v>23</v>
      </c>
      <c r="J328" t="s">
        <v>18</v>
      </c>
      <c r="K328">
        <v>33</v>
      </c>
      <c r="L328" t="str">
        <f>IF(Table1[[#This Row],[Age]]&lt;30,"20-29",
IF(Table1[[#This Row],[Age]]&lt;40,"30-39",
IF(Table1[[#This Row],[Age]]&lt;50,"40-49",
IF(Table1[[#This Row],[Age]]&lt;60,"50-59","60+"))))</f>
        <v>30-39</v>
      </c>
      <c r="M328" t="s">
        <v>16</v>
      </c>
      <c r="N328" t="s">
        <v>21</v>
      </c>
    </row>
    <row r="329" spans="1:14" x14ac:dyDescent="0.35">
      <c r="A329">
        <v>428</v>
      </c>
      <c r="B329" t="s">
        <v>26</v>
      </c>
      <c r="C329" s="6">
        <v>45095</v>
      </c>
      <c r="D329">
        <f>YEAR(Table1[[#This Row],[Join Date]])</f>
        <v>2023</v>
      </c>
      <c r="E329" s="6" t="s">
        <v>48</v>
      </c>
      <c r="F329" t="str">
        <f>IFERROR(YEAR(Table1[[#This Row],[Exit Date]]), " ")</f>
        <v xml:space="preserve"> </v>
      </c>
      <c r="G329" t="str">
        <f>IFERROR((Table1[[#This Row],[Exit Year]]-Table1[[#This Row],[Join Year]])+1," ")</f>
        <v xml:space="preserve"> </v>
      </c>
      <c r="H329" t="s">
        <v>48</v>
      </c>
      <c r="I329" t="s">
        <v>11</v>
      </c>
      <c r="J329" t="s">
        <v>12</v>
      </c>
      <c r="K329">
        <v>51</v>
      </c>
      <c r="L329" t="str">
        <f>IF(Table1[[#This Row],[Age]]&lt;30,"20-29",
IF(Table1[[#This Row],[Age]]&lt;40,"30-39",
IF(Table1[[#This Row],[Age]]&lt;50,"40-49",
IF(Table1[[#This Row],[Age]]&lt;60,"50-59","60+"))))</f>
        <v>50-59</v>
      </c>
      <c r="M329" t="s">
        <v>16</v>
      </c>
      <c r="N329" t="s">
        <v>37</v>
      </c>
    </row>
    <row r="330" spans="1:14" x14ac:dyDescent="0.35">
      <c r="A330">
        <v>429</v>
      </c>
      <c r="B330" t="s">
        <v>10</v>
      </c>
      <c r="C330" s="6">
        <v>44360</v>
      </c>
      <c r="D330">
        <f>YEAR(Table1[[#This Row],[Join Date]])</f>
        <v>2021</v>
      </c>
      <c r="E330" s="6">
        <v>44755</v>
      </c>
      <c r="F330">
        <f>IFERROR(YEAR(Table1[[#This Row],[Exit Date]]), " ")</f>
        <v>2022</v>
      </c>
      <c r="G330">
        <f>IFERROR((Table1[[#This Row],[Exit Year]]-Table1[[#This Row],[Join Year]])+1," ")</f>
        <v>2</v>
      </c>
      <c r="H330" t="s">
        <v>46</v>
      </c>
      <c r="I330" t="s">
        <v>23</v>
      </c>
      <c r="J330" t="s">
        <v>12</v>
      </c>
      <c r="K330">
        <v>46</v>
      </c>
      <c r="L330" t="str">
        <f>IF(Table1[[#This Row],[Age]]&lt;30,"20-29",
IF(Table1[[#This Row],[Age]]&lt;40,"30-39",
IF(Table1[[#This Row],[Age]]&lt;50,"40-49",
IF(Table1[[#This Row],[Age]]&lt;60,"50-59","60+"))))</f>
        <v>40-49</v>
      </c>
      <c r="M330" t="s">
        <v>20</v>
      </c>
      <c r="N330" t="s">
        <v>25</v>
      </c>
    </row>
    <row r="331" spans="1:14" x14ac:dyDescent="0.35">
      <c r="A331">
        <v>430</v>
      </c>
      <c r="B331" t="s">
        <v>26</v>
      </c>
      <c r="C331" s="6">
        <v>43419</v>
      </c>
      <c r="D331">
        <f>YEAR(Table1[[#This Row],[Join Date]])</f>
        <v>2018</v>
      </c>
      <c r="E331" s="6">
        <v>44303</v>
      </c>
      <c r="F331">
        <f>IFERROR(YEAR(Table1[[#This Row],[Exit Date]]), " ")</f>
        <v>2021</v>
      </c>
      <c r="G331">
        <f>IFERROR((Table1[[#This Row],[Exit Year]]-Table1[[#This Row],[Join Year]])+1," ")</f>
        <v>4</v>
      </c>
      <c r="H331" t="s">
        <v>22</v>
      </c>
      <c r="I331" t="s">
        <v>23</v>
      </c>
      <c r="J331" t="s">
        <v>12</v>
      </c>
      <c r="K331">
        <v>53</v>
      </c>
      <c r="L331" t="str">
        <f>IF(Table1[[#This Row],[Age]]&lt;30,"20-29",
IF(Table1[[#This Row],[Age]]&lt;40,"30-39",
IF(Table1[[#This Row],[Age]]&lt;50,"40-49",
IF(Table1[[#This Row],[Age]]&lt;60,"50-59","60+"))))</f>
        <v>50-59</v>
      </c>
      <c r="M331" t="s">
        <v>24</v>
      </c>
      <c r="N331" t="s">
        <v>35</v>
      </c>
    </row>
    <row r="332" spans="1:14" x14ac:dyDescent="0.35">
      <c r="A332">
        <v>431</v>
      </c>
      <c r="B332" t="s">
        <v>36</v>
      </c>
      <c r="C332" s="6">
        <v>44249</v>
      </c>
      <c r="D332">
        <f>YEAR(Table1[[#This Row],[Join Date]])</f>
        <v>2021</v>
      </c>
      <c r="E332" s="6" t="s">
        <v>48</v>
      </c>
      <c r="F332" t="str">
        <f>IFERROR(YEAR(Table1[[#This Row],[Exit Date]]), " ")</f>
        <v xml:space="preserve"> </v>
      </c>
      <c r="G332" t="str">
        <f>IFERROR((Table1[[#This Row],[Exit Year]]-Table1[[#This Row],[Join Year]])+1," ")</f>
        <v xml:space="preserve"> </v>
      </c>
      <c r="H332" t="s">
        <v>48</v>
      </c>
      <c r="I332" t="s">
        <v>11</v>
      </c>
      <c r="J332" t="s">
        <v>18</v>
      </c>
      <c r="K332">
        <v>35</v>
      </c>
      <c r="L332" t="str">
        <f>IF(Table1[[#This Row],[Age]]&lt;30,"20-29",
IF(Table1[[#This Row],[Age]]&lt;40,"30-39",
IF(Table1[[#This Row],[Age]]&lt;50,"40-49",
IF(Table1[[#This Row],[Age]]&lt;60,"50-59","60+"))))</f>
        <v>30-39</v>
      </c>
      <c r="M332" t="s">
        <v>13</v>
      </c>
      <c r="N332" t="s">
        <v>14</v>
      </c>
    </row>
    <row r="333" spans="1:14" x14ac:dyDescent="0.35">
      <c r="A333">
        <v>432</v>
      </c>
      <c r="B333" t="s">
        <v>10</v>
      </c>
      <c r="C333" s="6">
        <v>45533</v>
      </c>
      <c r="D333">
        <f>YEAR(Table1[[#This Row],[Join Date]])</f>
        <v>2024</v>
      </c>
      <c r="E333" s="6" t="s">
        <v>48</v>
      </c>
      <c r="F333" t="str">
        <f>IFERROR(YEAR(Table1[[#This Row],[Exit Date]]), " ")</f>
        <v xml:space="preserve"> </v>
      </c>
      <c r="G333" t="str">
        <f>IFERROR((Table1[[#This Row],[Exit Year]]-Table1[[#This Row],[Join Year]])+1," ")</f>
        <v xml:space="preserve"> </v>
      </c>
      <c r="H333" t="s">
        <v>48</v>
      </c>
      <c r="I333" t="s">
        <v>11</v>
      </c>
      <c r="J333" t="s">
        <v>12</v>
      </c>
      <c r="K333">
        <v>32</v>
      </c>
      <c r="L333" t="str">
        <f>IF(Table1[[#This Row],[Age]]&lt;30,"20-29",
IF(Table1[[#This Row],[Age]]&lt;40,"30-39",
IF(Table1[[#This Row],[Age]]&lt;50,"40-49",
IF(Table1[[#This Row],[Age]]&lt;60,"50-59","60+"))))</f>
        <v>30-39</v>
      </c>
      <c r="M333" t="s">
        <v>30</v>
      </c>
      <c r="N333" t="s">
        <v>17</v>
      </c>
    </row>
    <row r="334" spans="1:14" x14ac:dyDescent="0.35">
      <c r="A334">
        <v>433</v>
      </c>
      <c r="B334" t="s">
        <v>36</v>
      </c>
      <c r="C334" s="6">
        <v>44377</v>
      </c>
      <c r="D334">
        <f>YEAR(Table1[[#This Row],[Join Date]])</f>
        <v>2021</v>
      </c>
      <c r="E334" s="6" t="s">
        <v>48</v>
      </c>
      <c r="F334" t="str">
        <f>IFERROR(YEAR(Table1[[#This Row],[Exit Date]]), " ")</f>
        <v xml:space="preserve"> </v>
      </c>
      <c r="G334" t="str">
        <f>IFERROR((Table1[[#This Row],[Exit Year]]-Table1[[#This Row],[Join Year]])+1," ")</f>
        <v xml:space="preserve"> </v>
      </c>
      <c r="H334" t="s">
        <v>48</v>
      </c>
      <c r="I334" t="s">
        <v>11</v>
      </c>
      <c r="J334" t="s">
        <v>18</v>
      </c>
      <c r="K334">
        <v>46</v>
      </c>
      <c r="L334" t="str">
        <f>IF(Table1[[#This Row],[Age]]&lt;30,"20-29",
IF(Table1[[#This Row],[Age]]&lt;40,"30-39",
IF(Table1[[#This Row],[Age]]&lt;50,"40-49",
IF(Table1[[#This Row],[Age]]&lt;60,"50-59","60+"))))</f>
        <v>40-49</v>
      </c>
      <c r="M334" t="s">
        <v>13</v>
      </c>
      <c r="N334" t="s">
        <v>19</v>
      </c>
    </row>
    <row r="335" spans="1:14" x14ac:dyDescent="0.35">
      <c r="A335">
        <v>434</v>
      </c>
      <c r="B335" t="s">
        <v>10</v>
      </c>
      <c r="C335" s="6">
        <v>44088</v>
      </c>
      <c r="D335">
        <f>YEAR(Table1[[#This Row],[Join Date]])</f>
        <v>2020</v>
      </c>
      <c r="E335" s="6" t="s">
        <v>48</v>
      </c>
      <c r="F335" t="str">
        <f>IFERROR(YEAR(Table1[[#This Row],[Exit Date]]), " ")</f>
        <v xml:space="preserve"> </v>
      </c>
      <c r="G335" t="str">
        <f>IFERROR((Table1[[#This Row],[Exit Year]]-Table1[[#This Row],[Join Year]])+1," ")</f>
        <v xml:space="preserve"> </v>
      </c>
      <c r="H335" t="s">
        <v>48</v>
      </c>
      <c r="I335" t="s">
        <v>11</v>
      </c>
      <c r="J335" t="s">
        <v>18</v>
      </c>
      <c r="K335">
        <v>50</v>
      </c>
      <c r="L335" t="str">
        <f>IF(Table1[[#This Row],[Age]]&lt;30,"20-29",
IF(Table1[[#This Row],[Age]]&lt;40,"30-39",
IF(Table1[[#This Row],[Age]]&lt;50,"40-49",
IF(Table1[[#This Row],[Age]]&lt;60,"50-59","60+"))))</f>
        <v>50-59</v>
      </c>
      <c r="M335" t="s">
        <v>13</v>
      </c>
      <c r="N335" t="s">
        <v>21</v>
      </c>
    </row>
    <row r="336" spans="1:14" x14ac:dyDescent="0.35">
      <c r="A336">
        <v>435</v>
      </c>
      <c r="B336" t="s">
        <v>26</v>
      </c>
      <c r="C336" s="6">
        <v>43373</v>
      </c>
      <c r="D336">
        <f>YEAR(Table1[[#This Row],[Join Date]])</f>
        <v>2018</v>
      </c>
      <c r="E336" s="6">
        <v>44825</v>
      </c>
      <c r="F336">
        <f>IFERROR(YEAR(Table1[[#This Row],[Exit Date]]), " ")</f>
        <v>2022</v>
      </c>
      <c r="G336">
        <f>IFERROR((Table1[[#This Row],[Exit Year]]-Table1[[#This Row],[Join Year]])+1," ")</f>
        <v>5</v>
      </c>
      <c r="H336" t="s">
        <v>27</v>
      </c>
      <c r="I336" t="s">
        <v>23</v>
      </c>
      <c r="J336" t="s">
        <v>18</v>
      </c>
      <c r="K336">
        <v>62</v>
      </c>
      <c r="L336" t="str">
        <f>IF(Table1[[#This Row],[Age]]&lt;30,"20-29",
IF(Table1[[#This Row],[Age]]&lt;40,"30-39",
IF(Table1[[#This Row],[Age]]&lt;50,"40-49",
IF(Table1[[#This Row],[Age]]&lt;60,"50-59","60+"))))</f>
        <v>60+</v>
      </c>
      <c r="M336" t="s">
        <v>16</v>
      </c>
      <c r="N336" t="s">
        <v>25</v>
      </c>
    </row>
    <row r="337" spans="1:14" x14ac:dyDescent="0.35">
      <c r="A337">
        <v>436</v>
      </c>
      <c r="B337" t="s">
        <v>26</v>
      </c>
      <c r="C337" s="6">
        <v>43314</v>
      </c>
      <c r="D337">
        <f>YEAR(Table1[[#This Row],[Join Date]])</f>
        <v>2018</v>
      </c>
      <c r="E337" s="6" t="s">
        <v>48</v>
      </c>
      <c r="F337" t="str">
        <f>IFERROR(YEAR(Table1[[#This Row],[Exit Date]]), " ")</f>
        <v xml:space="preserve"> </v>
      </c>
      <c r="G337" t="str">
        <f>IFERROR((Table1[[#This Row],[Exit Year]]-Table1[[#This Row],[Join Year]])+1," ")</f>
        <v xml:space="preserve"> </v>
      </c>
      <c r="H337" t="s">
        <v>48</v>
      </c>
      <c r="I337" t="s">
        <v>11</v>
      </c>
      <c r="J337" t="s">
        <v>12</v>
      </c>
      <c r="K337">
        <v>29</v>
      </c>
      <c r="L337" t="str">
        <f>IF(Table1[[#This Row],[Age]]&lt;30,"20-29",
IF(Table1[[#This Row],[Age]]&lt;40,"30-39",
IF(Table1[[#This Row],[Age]]&lt;50,"40-49",
IF(Table1[[#This Row],[Age]]&lt;60,"50-59","60+"))))</f>
        <v>20-29</v>
      </c>
      <c r="M337" t="s">
        <v>13</v>
      </c>
      <c r="N337" t="s">
        <v>28</v>
      </c>
    </row>
    <row r="338" spans="1:14" x14ac:dyDescent="0.35">
      <c r="A338">
        <v>437</v>
      </c>
      <c r="B338" t="s">
        <v>26</v>
      </c>
      <c r="C338" s="6">
        <v>44418</v>
      </c>
      <c r="D338">
        <f>YEAR(Table1[[#This Row],[Join Date]])</f>
        <v>2021</v>
      </c>
      <c r="E338" s="6">
        <v>45628</v>
      </c>
      <c r="F338">
        <f>IFERROR(YEAR(Table1[[#This Row],[Exit Date]]), " ")</f>
        <v>2024</v>
      </c>
      <c r="G338">
        <f>IFERROR((Table1[[#This Row],[Exit Year]]-Table1[[#This Row],[Join Year]])+1," ")</f>
        <v>4</v>
      </c>
      <c r="H338" t="s">
        <v>22</v>
      </c>
      <c r="I338" t="s">
        <v>23</v>
      </c>
      <c r="J338" t="s">
        <v>12</v>
      </c>
      <c r="K338">
        <v>27</v>
      </c>
      <c r="L338" t="str">
        <f>IF(Table1[[#This Row],[Age]]&lt;30,"20-29",
IF(Table1[[#This Row],[Age]]&lt;40,"30-39",
IF(Table1[[#This Row],[Age]]&lt;50,"40-49",
IF(Table1[[#This Row],[Age]]&lt;60,"50-59","60+"))))</f>
        <v>20-29</v>
      </c>
      <c r="M338" t="s">
        <v>20</v>
      </c>
      <c r="N338" t="s">
        <v>31</v>
      </c>
    </row>
    <row r="339" spans="1:14" x14ac:dyDescent="0.35">
      <c r="A339">
        <v>438</v>
      </c>
      <c r="B339" t="s">
        <v>34</v>
      </c>
      <c r="C339" s="6">
        <v>44324</v>
      </c>
      <c r="D339">
        <f>YEAR(Table1[[#This Row],[Join Date]])</f>
        <v>2021</v>
      </c>
      <c r="E339" s="6">
        <v>45076</v>
      </c>
      <c r="F339">
        <f>IFERROR(YEAR(Table1[[#This Row],[Exit Date]]), " ")</f>
        <v>2023</v>
      </c>
      <c r="G339">
        <f>IFERROR((Table1[[#This Row],[Exit Year]]-Table1[[#This Row],[Join Year]])+1," ")</f>
        <v>3</v>
      </c>
      <c r="H339" t="s">
        <v>40</v>
      </c>
      <c r="I339" t="s">
        <v>23</v>
      </c>
      <c r="J339" t="s">
        <v>18</v>
      </c>
      <c r="K339">
        <v>31</v>
      </c>
      <c r="L339" t="str">
        <f>IF(Table1[[#This Row],[Age]]&lt;30,"20-29",
IF(Table1[[#This Row],[Age]]&lt;40,"30-39",
IF(Table1[[#This Row],[Age]]&lt;50,"40-49",
IF(Table1[[#This Row],[Age]]&lt;60,"50-59","60+"))))</f>
        <v>30-39</v>
      </c>
      <c r="M339" t="s">
        <v>44</v>
      </c>
      <c r="N339" t="s">
        <v>32</v>
      </c>
    </row>
    <row r="340" spans="1:14" x14ac:dyDescent="0.35">
      <c r="A340">
        <v>439</v>
      </c>
      <c r="B340" t="s">
        <v>10</v>
      </c>
      <c r="C340" s="6">
        <v>43513</v>
      </c>
      <c r="D340">
        <f>YEAR(Table1[[#This Row],[Join Date]])</f>
        <v>2019</v>
      </c>
      <c r="E340" s="6">
        <v>44923</v>
      </c>
      <c r="F340">
        <f>IFERROR(YEAR(Table1[[#This Row],[Exit Date]]), " ")</f>
        <v>2022</v>
      </c>
      <c r="G340">
        <f>IFERROR((Table1[[#This Row],[Exit Year]]-Table1[[#This Row],[Join Year]])+1," ")</f>
        <v>4</v>
      </c>
      <c r="H340" t="s">
        <v>38</v>
      </c>
      <c r="I340" t="s">
        <v>23</v>
      </c>
      <c r="J340" t="s">
        <v>18</v>
      </c>
      <c r="K340">
        <v>24</v>
      </c>
      <c r="L340" t="str">
        <f>IF(Table1[[#This Row],[Age]]&lt;30,"20-29",
IF(Table1[[#This Row],[Age]]&lt;40,"30-39",
IF(Table1[[#This Row],[Age]]&lt;50,"40-49",
IF(Table1[[#This Row],[Age]]&lt;60,"50-59","60+"))))</f>
        <v>20-29</v>
      </c>
      <c r="M340" t="s">
        <v>13</v>
      </c>
      <c r="N340" t="s">
        <v>33</v>
      </c>
    </row>
    <row r="341" spans="1:14" x14ac:dyDescent="0.35">
      <c r="A341">
        <v>440</v>
      </c>
      <c r="B341" t="s">
        <v>36</v>
      </c>
      <c r="C341" s="6">
        <v>44180</v>
      </c>
      <c r="D341">
        <f>YEAR(Table1[[#This Row],[Join Date]])</f>
        <v>2020</v>
      </c>
      <c r="E341" s="6" t="s">
        <v>48</v>
      </c>
      <c r="F341" t="str">
        <f>IFERROR(YEAR(Table1[[#This Row],[Exit Date]]), " ")</f>
        <v xml:space="preserve"> </v>
      </c>
      <c r="G341" t="str">
        <f>IFERROR((Table1[[#This Row],[Exit Year]]-Table1[[#This Row],[Join Year]])+1," ")</f>
        <v xml:space="preserve"> </v>
      </c>
      <c r="H341" t="s">
        <v>48</v>
      </c>
      <c r="I341" t="s">
        <v>11</v>
      </c>
      <c r="J341" t="s">
        <v>12</v>
      </c>
      <c r="K341">
        <v>37</v>
      </c>
      <c r="L341" t="str">
        <f>IF(Table1[[#This Row],[Age]]&lt;30,"20-29",
IF(Table1[[#This Row],[Age]]&lt;40,"30-39",
IF(Table1[[#This Row],[Age]]&lt;50,"40-49",
IF(Table1[[#This Row],[Age]]&lt;60,"50-59","60+"))))</f>
        <v>30-39</v>
      </c>
      <c r="M341" t="s">
        <v>16</v>
      </c>
      <c r="N341" t="s">
        <v>35</v>
      </c>
    </row>
    <row r="342" spans="1:14" x14ac:dyDescent="0.35">
      <c r="A342">
        <v>441</v>
      </c>
      <c r="B342" t="s">
        <v>34</v>
      </c>
      <c r="C342" s="6">
        <v>44099</v>
      </c>
      <c r="D342">
        <f>YEAR(Table1[[#This Row],[Join Date]])</f>
        <v>2020</v>
      </c>
      <c r="E342" s="6" t="s">
        <v>48</v>
      </c>
      <c r="F342" t="str">
        <f>IFERROR(YEAR(Table1[[#This Row],[Exit Date]]), " ")</f>
        <v xml:space="preserve"> </v>
      </c>
      <c r="G342" t="str">
        <f>IFERROR((Table1[[#This Row],[Exit Year]]-Table1[[#This Row],[Join Year]])+1," ")</f>
        <v xml:space="preserve"> </v>
      </c>
      <c r="H342" t="s">
        <v>48</v>
      </c>
      <c r="I342" t="s">
        <v>11</v>
      </c>
      <c r="J342" t="s">
        <v>12</v>
      </c>
      <c r="K342">
        <v>23</v>
      </c>
      <c r="L342" t="str">
        <f>IF(Table1[[#This Row],[Age]]&lt;30,"20-29",
IF(Table1[[#This Row],[Age]]&lt;40,"30-39",
IF(Table1[[#This Row],[Age]]&lt;50,"40-49",
IF(Table1[[#This Row],[Age]]&lt;60,"50-59","60+"))))</f>
        <v>20-29</v>
      </c>
      <c r="M342" t="s">
        <v>16</v>
      </c>
      <c r="N342" t="s">
        <v>37</v>
      </c>
    </row>
    <row r="343" spans="1:14" x14ac:dyDescent="0.35">
      <c r="A343">
        <v>442</v>
      </c>
      <c r="B343" t="s">
        <v>34</v>
      </c>
      <c r="C343" s="6">
        <v>45632</v>
      </c>
      <c r="D343">
        <f>YEAR(Table1[[#This Row],[Join Date]])</f>
        <v>2024</v>
      </c>
      <c r="E343" s="6" t="s">
        <v>48</v>
      </c>
      <c r="F343" t="str">
        <f>IFERROR(YEAR(Table1[[#This Row],[Exit Date]]), " ")</f>
        <v xml:space="preserve"> </v>
      </c>
      <c r="G343" t="str">
        <f>IFERROR((Table1[[#This Row],[Exit Year]]-Table1[[#This Row],[Join Year]])+1," ")</f>
        <v xml:space="preserve"> </v>
      </c>
      <c r="H343" t="s">
        <v>48</v>
      </c>
      <c r="I343" t="s">
        <v>11</v>
      </c>
      <c r="J343" t="s">
        <v>12</v>
      </c>
      <c r="K343">
        <v>31</v>
      </c>
      <c r="L343" t="str">
        <f>IF(Table1[[#This Row],[Age]]&lt;30,"20-29",
IF(Table1[[#This Row],[Age]]&lt;40,"30-39",
IF(Table1[[#This Row],[Age]]&lt;50,"40-49",
IF(Table1[[#This Row],[Age]]&lt;60,"50-59","60+"))))</f>
        <v>30-39</v>
      </c>
      <c r="M343" t="s">
        <v>20</v>
      </c>
      <c r="N343" t="s">
        <v>19</v>
      </c>
    </row>
    <row r="344" spans="1:14" x14ac:dyDescent="0.35">
      <c r="A344">
        <v>443</v>
      </c>
      <c r="B344" t="s">
        <v>36</v>
      </c>
      <c r="C344" s="6">
        <v>45294</v>
      </c>
      <c r="D344">
        <f>YEAR(Table1[[#This Row],[Join Date]])</f>
        <v>2024</v>
      </c>
      <c r="E344" s="6" t="s">
        <v>48</v>
      </c>
      <c r="F344" t="str">
        <f>IFERROR(YEAR(Table1[[#This Row],[Exit Date]]), " ")</f>
        <v xml:space="preserve"> </v>
      </c>
      <c r="G344" t="str">
        <f>IFERROR((Table1[[#This Row],[Exit Year]]-Table1[[#This Row],[Join Year]])+1," ")</f>
        <v xml:space="preserve"> </v>
      </c>
      <c r="H344" t="s">
        <v>48</v>
      </c>
      <c r="I344" t="s">
        <v>11</v>
      </c>
      <c r="J344" t="s">
        <v>12</v>
      </c>
      <c r="K344">
        <v>52</v>
      </c>
      <c r="L344" t="str">
        <f>IF(Table1[[#This Row],[Age]]&lt;30,"20-29",
IF(Table1[[#This Row],[Age]]&lt;40,"30-39",
IF(Table1[[#This Row],[Age]]&lt;50,"40-49",
IF(Table1[[#This Row],[Age]]&lt;60,"50-59","60+"))))</f>
        <v>50-59</v>
      </c>
      <c r="M344" t="s">
        <v>24</v>
      </c>
      <c r="N344" t="s">
        <v>25</v>
      </c>
    </row>
    <row r="345" spans="1:14" x14ac:dyDescent="0.35">
      <c r="A345">
        <v>444</v>
      </c>
      <c r="B345" t="s">
        <v>26</v>
      </c>
      <c r="C345" s="6">
        <v>44590</v>
      </c>
      <c r="D345">
        <f>YEAR(Table1[[#This Row],[Join Date]])</f>
        <v>2022</v>
      </c>
      <c r="E345" s="6" t="s">
        <v>48</v>
      </c>
      <c r="F345" t="str">
        <f>IFERROR(YEAR(Table1[[#This Row],[Exit Date]]), " ")</f>
        <v xml:space="preserve"> </v>
      </c>
      <c r="G345" t="str">
        <f>IFERROR((Table1[[#This Row],[Exit Year]]-Table1[[#This Row],[Join Year]])+1," ")</f>
        <v xml:space="preserve"> </v>
      </c>
      <c r="H345" t="s">
        <v>48</v>
      </c>
      <c r="I345" t="s">
        <v>11</v>
      </c>
      <c r="J345" t="s">
        <v>18</v>
      </c>
      <c r="K345">
        <v>25</v>
      </c>
      <c r="L345" t="str">
        <f>IF(Table1[[#This Row],[Age]]&lt;30,"20-29",
IF(Table1[[#This Row],[Age]]&lt;40,"30-39",
IF(Table1[[#This Row],[Age]]&lt;50,"40-49",
IF(Table1[[#This Row],[Age]]&lt;60,"50-59","60+"))))</f>
        <v>20-29</v>
      </c>
      <c r="M345" t="s">
        <v>13</v>
      </c>
      <c r="N345" t="s">
        <v>35</v>
      </c>
    </row>
    <row r="346" spans="1:14" x14ac:dyDescent="0.35">
      <c r="A346">
        <v>445</v>
      </c>
      <c r="B346" t="s">
        <v>15</v>
      </c>
      <c r="C346" s="6">
        <v>45215</v>
      </c>
      <c r="D346">
        <f>YEAR(Table1[[#This Row],[Join Date]])</f>
        <v>2023</v>
      </c>
      <c r="E346" s="6" t="s">
        <v>48</v>
      </c>
      <c r="F346" t="str">
        <f>IFERROR(YEAR(Table1[[#This Row],[Exit Date]]), " ")</f>
        <v xml:space="preserve"> </v>
      </c>
      <c r="G346" t="str">
        <f>IFERROR((Table1[[#This Row],[Exit Year]]-Table1[[#This Row],[Join Year]])+1," ")</f>
        <v xml:space="preserve"> </v>
      </c>
      <c r="H346" t="s">
        <v>48</v>
      </c>
      <c r="I346" t="s">
        <v>11</v>
      </c>
      <c r="J346" t="s">
        <v>12</v>
      </c>
      <c r="K346">
        <v>46</v>
      </c>
      <c r="L346" t="str">
        <f>IF(Table1[[#This Row],[Age]]&lt;30,"20-29",
IF(Table1[[#This Row],[Age]]&lt;40,"30-39",
IF(Table1[[#This Row],[Age]]&lt;50,"40-49",
IF(Table1[[#This Row],[Age]]&lt;60,"50-59","60+"))))</f>
        <v>40-49</v>
      </c>
      <c r="M346" t="s">
        <v>42</v>
      </c>
      <c r="N346" t="s">
        <v>17</v>
      </c>
    </row>
    <row r="347" spans="1:14" x14ac:dyDescent="0.35">
      <c r="A347">
        <v>446</v>
      </c>
      <c r="B347" t="s">
        <v>15</v>
      </c>
      <c r="C347" s="6">
        <v>43624</v>
      </c>
      <c r="D347">
        <f>YEAR(Table1[[#This Row],[Join Date]])</f>
        <v>2019</v>
      </c>
      <c r="E347" s="6">
        <v>44228</v>
      </c>
      <c r="F347">
        <f>IFERROR(YEAR(Table1[[#This Row],[Exit Date]]), " ")</f>
        <v>2021</v>
      </c>
      <c r="G347">
        <f>IFERROR((Table1[[#This Row],[Exit Year]]-Table1[[#This Row],[Join Year]])+1," ")</f>
        <v>3</v>
      </c>
      <c r="H347" t="s">
        <v>41</v>
      </c>
      <c r="I347" t="s">
        <v>23</v>
      </c>
      <c r="J347" t="s">
        <v>18</v>
      </c>
      <c r="K347">
        <v>24</v>
      </c>
      <c r="L347" t="str">
        <f>IF(Table1[[#This Row],[Age]]&lt;30,"20-29",
IF(Table1[[#This Row],[Age]]&lt;40,"30-39",
IF(Table1[[#This Row],[Age]]&lt;50,"40-49",
IF(Table1[[#This Row],[Age]]&lt;60,"50-59","60+"))))</f>
        <v>20-29</v>
      </c>
      <c r="M347" t="s">
        <v>13</v>
      </c>
      <c r="N347" t="s">
        <v>19</v>
      </c>
    </row>
    <row r="348" spans="1:14" x14ac:dyDescent="0.35">
      <c r="A348">
        <v>447</v>
      </c>
      <c r="B348" t="s">
        <v>15</v>
      </c>
      <c r="C348" s="6">
        <v>44514</v>
      </c>
      <c r="D348">
        <f>YEAR(Table1[[#This Row],[Join Date]])</f>
        <v>2021</v>
      </c>
      <c r="E348" s="6">
        <v>45529</v>
      </c>
      <c r="F348">
        <f>IFERROR(YEAR(Table1[[#This Row],[Exit Date]]), " ")</f>
        <v>2024</v>
      </c>
      <c r="G348">
        <f>IFERROR((Table1[[#This Row],[Exit Year]]-Table1[[#This Row],[Join Year]])+1," ")</f>
        <v>4</v>
      </c>
      <c r="H348" t="s">
        <v>41</v>
      </c>
      <c r="I348" t="s">
        <v>23</v>
      </c>
      <c r="J348" t="s">
        <v>18</v>
      </c>
      <c r="K348">
        <v>38</v>
      </c>
      <c r="L348" t="str">
        <f>IF(Table1[[#This Row],[Age]]&lt;30,"20-29",
IF(Table1[[#This Row],[Age]]&lt;40,"30-39",
IF(Table1[[#This Row],[Age]]&lt;50,"40-49",
IF(Table1[[#This Row],[Age]]&lt;60,"50-59","60+"))))</f>
        <v>30-39</v>
      </c>
      <c r="M348" t="s">
        <v>13</v>
      </c>
      <c r="N348" t="s">
        <v>21</v>
      </c>
    </row>
    <row r="349" spans="1:14" x14ac:dyDescent="0.35">
      <c r="A349">
        <v>448</v>
      </c>
      <c r="B349" t="s">
        <v>29</v>
      </c>
      <c r="C349" s="6">
        <v>43700</v>
      </c>
      <c r="D349">
        <f>YEAR(Table1[[#This Row],[Join Date]])</f>
        <v>2019</v>
      </c>
      <c r="E349" s="6" t="s">
        <v>48</v>
      </c>
      <c r="F349" t="str">
        <f>IFERROR(YEAR(Table1[[#This Row],[Exit Date]]), " ")</f>
        <v xml:space="preserve"> </v>
      </c>
      <c r="G349" t="str">
        <f>IFERROR((Table1[[#This Row],[Exit Year]]-Table1[[#This Row],[Join Year]])+1," ")</f>
        <v xml:space="preserve"> </v>
      </c>
      <c r="H349" t="s">
        <v>48</v>
      </c>
      <c r="I349" t="s">
        <v>11</v>
      </c>
      <c r="J349" t="s">
        <v>12</v>
      </c>
      <c r="K349">
        <v>49</v>
      </c>
      <c r="L349" t="str">
        <f>IF(Table1[[#This Row],[Age]]&lt;30,"20-29",
IF(Table1[[#This Row],[Age]]&lt;40,"30-39",
IF(Table1[[#This Row],[Age]]&lt;50,"40-49",
IF(Table1[[#This Row],[Age]]&lt;60,"50-59","60+"))))</f>
        <v>40-49</v>
      </c>
      <c r="M349" t="s">
        <v>16</v>
      </c>
      <c r="N349" t="s">
        <v>25</v>
      </c>
    </row>
    <row r="350" spans="1:14" x14ac:dyDescent="0.35">
      <c r="A350">
        <v>449</v>
      </c>
      <c r="B350" t="s">
        <v>34</v>
      </c>
      <c r="C350" s="6">
        <v>45540</v>
      </c>
      <c r="D350">
        <f>YEAR(Table1[[#This Row],[Join Date]])</f>
        <v>2024</v>
      </c>
      <c r="E350" s="6" t="s">
        <v>48</v>
      </c>
      <c r="F350" t="str">
        <f>IFERROR(YEAR(Table1[[#This Row],[Exit Date]]), " ")</f>
        <v xml:space="preserve"> </v>
      </c>
      <c r="G350" t="str">
        <f>IFERROR((Table1[[#This Row],[Exit Year]]-Table1[[#This Row],[Join Year]])+1," ")</f>
        <v xml:space="preserve"> </v>
      </c>
      <c r="H350" t="s">
        <v>48</v>
      </c>
      <c r="I350" t="s">
        <v>11</v>
      </c>
      <c r="J350" t="s">
        <v>12</v>
      </c>
      <c r="K350">
        <v>31</v>
      </c>
      <c r="L350" t="str">
        <f>IF(Table1[[#This Row],[Age]]&lt;30,"20-29",
IF(Table1[[#This Row],[Age]]&lt;40,"30-39",
IF(Table1[[#This Row],[Age]]&lt;50,"40-49",
IF(Table1[[#This Row],[Age]]&lt;60,"50-59","60+"))))</f>
        <v>30-39</v>
      </c>
      <c r="M350" t="s">
        <v>13</v>
      </c>
      <c r="N350" t="s">
        <v>35</v>
      </c>
    </row>
    <row r="351" spans="1:14" x14ac:dyDescent="0.35">
      <c r="A351">
        <v>450</v>
      </c>
      <c r="B351" t="s">
        <v>10</v>
      </c>
      <c r="C351" s="6">
        <v>43297</v>
      </c>
      <c r="D351">
        <f>YEAR(Table1[[#This Row],[Join Date]])</f>
        <v>2018</v>
      </c>
      <c r="E351" s="6">
        <v>44682</v>
      </c>
      <c r="F351">
        <f>IFERROR(YEAR(Table1[[#This Row],[Exit Date]]), " ")</f>
        <v>2022</v>
      </c>
      <c r="G351">
        <f>IFERROR((Table1[[#This Row],[Exit Year]]-Table1[[#This Row],[Join Year]])+1," ")</f>
        <v>5</v>
      </c>
      <c r="H351" t="s">
        <v>40</v>
      </c>
      <c r="I351" t="s">
        <v>23</v>
      </c>
      <c r="J351" t="s">
        <v>12</v>
      </c>
      <c r="K351">
        <v>51</v>
      </c>
      <c r="L351" t="str">
        <f>IF(Table1[[#This Row],[Age]]&lt;30,"20-29",
IF(Table1[[#This Row],[Age]]&lt;40,"30-39",
IF(Table1[[#This Row],[Age]]&lt;50,"40-49",
IF(Table1[[#This Row],[Age]]&lt;60,"50-59","60+"))))</f>
        <v>50-59</v>
      </c>
      <c r="M351" t="s">
        <v>20</v>
      </c>
      <c r="N351" t="s">
        <v>14</v>
      </c>
    </row>
    <row r="352" spans="1:14" x14ac:dyDescent="0.35">
      <c r="A352">
        <v>451</v>
      </c>
      <c r="B352" t="s">
        <v>10</v>
      </c>
      <c r="C352" s="6">
        <v>43407</v>
      </c>
      <c r="D352">
        <f>YEAR(Table1[[#This Row],[Join Date]])</f>
        <v>2018</v>
      </c>
      <c r="E352" s="6" t="s">
        <v>48</v>
      </c>
      <c r="F352" t="str">
        <f>IFERROR(YEAR(Table1[[#This Row],[Exit Date]]), " ")</f>
        <v xml:space="preserve"> </v>
      </c>
      <c r="G352" t="str">
        <f>IFERROR((Table1[[#This Row],[Exit Year]]-Table1[[#This Row],[Join Year]])+1," ")</f>
        <v xml:space="preserve"> </v>
      </c>
      <c r="H352" t="s">
        <v>48</v>
      </c>
      <c r="I352" t="s">
        <v>11</v>
      </c>
      <c r="J352" t="s">
        <v>18</v>
      </c>
      <c r="K352">
        <v>27</v>
      </c>
      <c r="L352" t="str">
        <f>IF(Table1[[#This Row],[Age]]&lt;30,"20-29",
IF(Table1[[#This Row],[Age]]&lt;40,"30-39",
IF(Table1[[#This Row],[Age]]&lt;50,"40-49",
IF(Table1[[#This Row],[Age]]&lt;60,"50-59","60+"))))</f>
        <v>20-29</v>
      </c>
      <c r="M352" t="s">
        <v>44</v>
      </c>
      <c r="N352" t="s">
        <v>19</v>
      </c>
    </row>
    <row r="353" spans="1:14" x14ac:dyDescent="0.35">
      <c r="A353">
        <v>452</v>
      </c>
      <c r="B353" t="s">
        <v>15</v>
      </c>
      <c r="C353" s="6">
        <v>44121</v>
      </c>
      <c r="D353">
        <f>YEAR(Table1[[#This Row],[Join Date]])</f>
        <v>2020</v>
      </c>
      <c r="E353" s="6" t="s">
        <v>48</v>
      </c>
      <c r="F353" t="str">
        <f>IFERROR(YEAR(Table1[[#This Row],[Exit Date]]), " ")</f>
        <v xml:space="preserve"> </v>
      </c>
      <c r="G353" t="str">
        <f>IFERROR((Table1[[#This Row],[Exit Year]]-Table1[[#This Row],[Join Year]])+1," ")</f>
        <v xml:space="preserve"> </v>
      </c>
      <c r="H353" t="s">
        <v>48</v>
      </c>
      <c r="I353" t="s">
        <v>11</v>
      </c>
      <c r="J353" t="s">
        <v>12</v>
      </c>
      <c r="K353">
        <v>22</v>
      </c>
      <c r="L353" t="str">
        <f>IF(Table1[[#This Row],[Age]]&lt;30,"20-29",
IF(Table1[[#This Row],[Age]]&lt;40,"30-39",
IF(Table1[[#This Row],[Age]]&lt;50,"40-49",
IF(Table1[[#This Row],[Age]]&lt;60,"50-59","60+"))))</f>
        <v>20-29</v>
      </c>
      <c r="M353" t="s">
        <v>13</v>
      </c>
      <c r="N353" t="s">
        <v>21</v>
      </c>
    </row>
    <row r="354" spans="1:14" x14ac:dyDescent="0.35">
      <c r="A354">
        <v>453</v>
      </c>
      <c r="B354" t="s">
        <v>15</v>
      </c>
      <c r="C354" s="6">
        <v>44423</v>
      </c>
      <c r="D354">
        <f>YEAR(Table1[[#This Row],[Join Date]])</f>
        <v>2021</v>
      </c>
      <c r="E354" s="6" t="s">
        <v>48</v>
      </c>
      <c r="F354" t="str">
        <f>IFERROR(YEAR(Table1[[#This Row],[Exit Date]]), " ")</f>
        <v xml:space="preserve"> </v>
      </c>
      <c r="G354" t="str">
        <f>IFERROR((Table1[[#This Row],[Exit Year]]-Table1[[#This Row],[Join Year]])+1," ")</f>
        <v xml:space="preserve"> </v>
      </c>
      <c r="H354" t="s">
        <v>48</v>
      </c>
      <c r="I354" t="s">
        <v>11</v>
      </c>
      <c r="J354" t="s">
        <v>18</v>
      </c>
      <c r="K354">
        <v>50</v>
      </c>
      <c r="L354" t="str">
        <f>IF(Table1[[#This Row],[Age]]&lt;30,"20-29",
IF(Table1[[#This Row],[Age]]&lt;40,"30-39",
IF(Table1[[#This Row],[Age]]&lt;50,"40-49",
IF(Table1[[#This Row],[Age]]&lt;60,"50-59","60+"))))</f>
        <v>50-59</v>
      </c>
      <c r="M354" t="s">
        <v>16</v>
      </c>
      <c r="N354" t="s">
        <v>37</v>
      </c>
    </row>
    <row r="355" spans="1:14" x14ac:dyDescent="0.35">
      <c r="A355">
        <v>454</v>
      </c>
      <c r="B355" t="s">
        <v>15</v>
      </c>
      <c r="C355" s="6">
        <v>45087</v>
      </c>
      <c r="D355">
        <f>YEAR(Table1[[#This Row],[Join Date]])</f>
        <v>2023</v>
      </c>
      <c r="E355" s="6" t="s">
        <v>48</v>
      </c>
      <c r="F355" t="str">
        <f>IFERROR(YEAR(Table1[[#This Row],[Exit Date]]), " ")</f>
        <v xml:space="preserve"> </v>
      </c>
      <c r="G355" t="str">
        <f>IFERROR((Table1[[#This Row],[Exit Year]]-Table1[[#This Row],[Join Year]])+1," ")</f>
        <v xml:space="preserve"> </v>
      </c>
      <c r="H355" t="s">
        <v>48</v>
      </c>
      <c r="I355" t="s">
        <v>11</v>
      </c>
      <c r="J355" t="s">
        <v>12</v>
      </c>
      <c r="K355">
        <v>24</v>
      </c>
      <c r="L355" t="str">
        <f>IF(Table1[[#This Row],[Age]]&lt;30,"20-29",
IF(Table1[[#This Row],[Age]]&lt;40,"30-39",
IF(Table1[[#This Row],[Age]]&lt;50,"40-49",
IF(Table1[[#This Row],[Age]]&lt;60,"50-59","60+"))))</f>
        <v>20-29</v>
      </c>
      <c r="M355" t="s">
        <v>16</v>
      </c>
      <c r="N355" t="s">
        <v>25</v>
      </c>
    </row>
    <row r="356" spans="1:14" x14ac:dyDescent="0.35">
      <c r="A356">
        <v>455</v>
      </c>
      <c r="B356" t="s">
        <v>15</v>
      </c>
      <c r="C356" s="6">
        <v>43479</v>
      </c>
      <c r="D356">
        <f>YEAR(Table1[[#This Row],[Join Date]])</f>
        <v>2019</v>
      </c>
      <c r="E356" s="6">
        <v>44449</v>
      </c>
      <c r="F356">
        <f>IFERROR(YEAR(Table1[[#This Row],[Exit Date]]), " ")</f>
        <v>2021</v>
      </c>
      <c r="G356">
        <f>IFERROR((Table1[[#This Row],[Exit Year]]-Table1[[#This Row],[Join Year]])+1," ")</f>
        <v>3</v>
      </c>
      <c r="H356" t="s">
        <v>22</v>
      </c>
      <c r="I356" t="s">
        <v>23</v>
      </c>
      <c r="J356" t="s">
        <v>12</v>
      </c>
      <c r="K356">
        <v>50</v>
      </c>
      <c r="L356" t="str">
        <f>IF(Table1[[#This Row],[Age]]&lt;30,"20-29",
IF(Table1[[#This Row],[Age]]&lt;40,"30-39",
IF(Table1[[#This Row],[Age]]&lt;50,"40-49",
IF(Table1[[#This Row],[Age]]&lt;60,"50-59","60+"))))</f>
        <v>50-59</v>
      </c>
      <c r="M356" t="s">
        <v>20</v>
      </c>
      <c r="N356" t="s">
        <v>35</v>
      </c>
    </row>
    <row r="357" spans="1:14" x14ac:dyDescent="0.35">
      <c r="A357">
        <v>456</v>
      </c>
      <c r="B357" t="s">
        <v>26</v>
      </c>
      <c r="C357" s="6">
        <v>44749</v>
      </c>
      <c r="D357">
        <f>YEAR(Table1[[#This Row],[Join Date]])</f>
        <v>2022</v>
      </c>
      <c r="E357" s="6">
        <v>44972</v>
      </c>
      <c r="F357">
        <f>IFERROR(YEAR(Table1[[#This Row],[Exit Date]]), " ")</f>
        <v>2023</v>
      </c>
      <c r="G357">
        <f>IFERROR((Table1[[#This Row],[Exit Year]]-Table1[[#This Row],[Join Year]])+1," ")</f>
        <v>2</v>
      </c>
      <c r="H357" t="s">
        <v>46</v>
      </c>
      <c r="I357" t="s">
        <v>23</v>
      </c>
      <c r="J357" t="s">
        <v>18</v>
      </c>
      <c r="K357">
        <v>28</v>
      </c>
      <c r="L357" t="str">
        <f>IF(Table1[[#This Row],[Age]]&lt;30,"20-29",
IF(Table1[[#This Row],[Age]]&lt;40,"30-39",
IF(Table1[[#This Row],[Age]]&lt;50,"40-49",
IF(Table1[[#This Row],[Age]]&lt;60,"50-59","60+"))))</f>
        <v>20-29</v>
      </c>
      <c r="M357" t="s">
        <v>24</v>
      </c>
      <c r="N357" t="s">
        <v>25</v>
      </c>
    </row>
    <row r="358" spans="1:14" x14ac:dyDescent="0.35">
      <c r="A358">
        <v>457</v>
      </c>
      <c r="B358" t="s">
        <v>29</v>
      </c>
      <c r="C358" s="6">
        <v>45457</v>
      </c>
      <c r="D358">
        <f>YEAR(Table1[[#This Row],[Join Date]])</f>
        <v>2024</v>
      </c>
      <c r="E358" s="6" t="s">
        <v>48</v>
      </c>
      <c r="F358" t="str">
        <f>IFERROR(YEAR(Table1[[#This Row],[Exit Date]]), " ")</f>
        <v xml:space="preserve"> </v>
      </c>
      <c r="G358" t="str">
        <f>IFERROR((Table1[[#This Row],[Exit Year]]-Table1[[#This Row],[Join Year]])+1," ")</f>
        <v xml:space="preserve"> </v>
      </c>
      <c r="H358" t="s">
        <v>48</v>
      </c>
      <c r="I358" t="s">
        <v>11</v>
      </c>
      <c r="J358" t="s">
        <v>18</v>
      </c>
      <c r="K358">
        <v>40</v>
      </c>
      <c r="L358" t="str">
        <f>IF(Table1[[#This Row],[Age]]&lt;30,"20-29",
IF(Table1[[#This Row],[Age]]&lt;40,"30-39",
IF(Table1[[#This Row],[Age]]&lt;50,"40-49",
IF(Table1[[#This Row],[Age]]&lt;60,"50-59","60+"))))</f>
        <v>40-49</v>
      </c>
      <c r="M358" t="s">
        <v>13</v>
      </c>
      <c r="N358" t="s">
        <v>35</v>
      </c>
    </row>
    <row r="359" spans="1:14" x14ac:dyDescent="0.35">
      <c r="A359">
        <v>458</v>
      </c>
      <c r="B359" t="s">
        <v>10</v>
      </c>
      <c r="C359" s="6">
        <v>43304</v>
      </c>
      <c r="D359">
        <f>YEAR(Table1[[#This Row],[Join Date]])</f>
        <v>2018</v>
      </c>
      <c r="E359" s="6" t="s">
        <v>48</v>
      </c>
      <c r="F359" t="str">
        <f>IFERROR(YEAR(Table1[[#This Row],[Exit Date]]), " ")</f>
        <v xml:space="preserve"> </v>
      </c>
      <c r="G359" t="str">
        <f>IFERROR((Table1[[#This Row],[Exit Year]]-Table1[[#This Row],[Join Year]])+1," ")</f>
        <v xml:space="preserve"> </v>
      </c>
      <c r="H359" t="s">
        <v>48</v>
      </c>
      <c r="I359" t="s">
        <v>11</v>
      </c>
      <c r="J359" t="s">
        <v>12</v>
      </c>
      <c r="K359">
        <v>32</v>
      </c>
      <c r="L359" t="str">
        <f>IF(Table1[[#This Row],[Age]]&lt;30,"20-29",
IF(Table1[[#This Row],[Age]]&lt;40,"30-39",
IF(Table1[[#This Row],[Age]]&lt;50,"40-49",
IF(Table1[[#This Row],[Age]]&lt;60,"50-59","60+"))))</f>
        <v>30-39</v>
      </c>
      <c r="M359" t="s">
        <v>30</v>
      </c>
      <c r="N359" t="s">
        <v>14</v>
      </c>
    </row>
    <row r="360" spans="1:14" x14ac:dyDescent="0.35">
      <c r="A360">
        <v>459</v>
      </c>
      <c r="B360" t="s">
        <v>15</v>
      </c>
      <c r="C360" s="6">
        <v>44987</v>
      </c>
      <c r="D360">
        <f>YEAR(Table1[[#This Row],[Join Date]])</f>
        <v>2023</v>
      </c>
      <c r="E360" s="6" t="s">
        <v>48</v>
      </c>
      <c r="F360" t="str">
        <f>IFERROR(YEAR(Table1[[#This Row],[Exit Date]]), " ")</f>
        <v xml:space="preserve"> </v>
      </c>
      <c r="G360" t="str">
        <f>IFERROR((Table1[[#This Row],[Exit Year]]-Table1[[#This Row],[Join Year]])+1," ")</f>
        <v xml:space="preserve"> </v>
      </c>
      <c r="H360" t="s">
        <v>48</v>
      </c>
      <c r="I360" t="s">
        <v>11</v>
      </c>
      <c r="J360" t="s">
        <v>18</v>
      </c>
      <c r="K360">
        <v>50</v>
      </c>
      <c r="L360" t="str">
        <f>IF(Table1[[#This Row],[Age]]&lt;30,"20-29",
IF(Table1[[#This Row],[Age]]&lt;40,"30-39",
IF(Table1[[#This Row],[Age]]&lt;50,"40-49",
IF(Table1[[#This Row],[Age]]&lt;60,"50-59","60+"))))</f>
        <v>50-59</v>
      </c>
      <c r="M360" t="s">
        <v>13</v>
      </c>
      <c r="N360" t="s">
        <v>19</v>
      </c>
    </row>
    <row r="361" spans="1:14" x14ac:dyDescent="0.35">
      <c r="A361">
        <v>460</v>
      </c>
      <c r="B361" t="s">
        <v>34</v>
      </c>
      <c r="C361" s="6">
        <v>45326</v>
      </c>
      <c r="D361">
        <f>YEAR(Table1[[#This Row],[Join Date]])</f>
        <v>2024</v>
      </c>
      <c r="E361" s="6" t="s">
        <v>48</v>
      </c>
      <c r="F361" t="str">
        <f>IFERROR(YEAR(Table1[[#This Row],[Exit Date]]), " ")</f>
        <v xml:space="preserve"> </v>
      </c>
      <c r="G361" t="str">
        <f>IFERROR((Table1[[#This Row],[Exit Year]]-Table1[[#This Row],[Join Year]])+1," ")</f>
        <v xml:space="preserve"> </v>
      </c>
      <c r="H361" t="s">
        <v>48</v>
      </c>
      <c r="I361" t="s">
        <v>11</v>
      </c>
      <c r="J361" t="s">
        <v>12</v>
      </c>
      <c r="K361">
        <v>24</v>
      </c>
      <c r="L361" t="str">
        <f>IF(Table1[[#This Row],[Age]]&lt;30,"20-29",
IF(Table1[[#This Row],[Age]]&lt;40,"30-39",
IF(Table1[[#This Row],[Age]]&lt;50,"40-49",
IF(Table1[[#This Row],[Age]]&lt;60,"50-59","60+"))))</f>
        <v>20-29</v>
      </c>
      <c r="M361" t="s">
        <v>13</v>
      </c>
      <c r="N361" t="s">
        <v>21</v>
      </c>
    </row>
    <row r="362" spans="1:14" x14ac:dyDescent="0.35">
      <c r="A362">
        <v>461</v>
      </c>
      <c r="B362" t="s">
        <v>36</v>
      </c>
      <c r="C362" s="6">
        <v>45474</v>
      </c>
      <c r="D362">
        <f>YEAR(Table1[[#This Row],[Join Date]])</f>
        <v>2024</v>
      </c>
      <c r="E362" s="6" t="s">
        <v>48</v>
      </c>
      <c r="F362" t="str">
        <f>IFERROR(YEAR(Table1[[#This Row],[Exit Date]]), " ")</f>
        <v xml:space="preserve"> </v>
      </c>
      <c r="G362" t="str">
        <f>IFERROR((Table1[[#This Row],[Exit Year]]-Table1[[#This Row],[Join Year]])+1," ")</f>
        <v xml:space="preserve"> </v>
      </c>
      <c r="H362" t="s">
        <v>48</v>
      </c>
      <c r="I362" t="s">
        <v>11</v>
      </c>
      <c r="J362" t="s">
        <v>12</v>
      </c>
      <c r="K362">
        <v>36</v>
      </c>
      <c r="L362" t="str">
        <f>IF(Table1[[#This Row],[Age]]&lt;30,"20-29",
IF(Table1[[#This Row],[Age]]&lt;40,"30-39",
IF(Table1[[#This Row],[Age]]&lt;50,"40-49",
IF(Table1[[#This Row],[Age]]&lt;60,"50-59","60+"))))</f>
        <v>30-39</v>
      </c>
      <c r="M362" t="s">
        <v>16</v>
      </c>
      <c r="N362" t="s">
        <v>37</v>
      </c>
    </row>
    <row r="363" spans="1:14" x14ac:dyDescent="0.35">
      <c r="A363">
        <v>462</v>
      </c>
      <c r="B363" t="s">
        <v>29</v>
      </c>
      <c r="C363" s="6">
        <v>44227</v>
      </c>
      <c r="D363">
        <f>YEAR(Table1[[#This Row],[Join Date]])</f>
        <v>2021</v>
      </c>
      <c r="E363" s="6">
        <v>45322</v>
      </c>
      <c r="F363">
        <f>IFERROR(YEAR(Table1[[#This Row],[Exit Date]]), " ")</f>
        <v>2024</v>
      </c>
      <c r="G363">
        <f>IFERROR((Table1[[#This Row],[Exit Year]]-Table1[[#This Row],[Join Year]])+1," ")</f>
        <v>4</v>
      </c>
      <c r="H363" t="s">
        <v>46</v>
      </c>
      <c r="I363" t="s">
        <v>23</v>
      </c>
      <c r="J363" t="s">
        <v>12</v>
      </c>
      <c r="K363">
        <v>49</v>
      </c>
      <c r="L363" t="str">
        <f>IF(Table1[[#This Row],[Age]]&lt;30,"20-29",
IF(Table1[[#This Row],[Age]]&lt;40,"30-39",
IF(Table1[[#This Row],[Age]]&lt;50,"40-49",
IF(Table1[[#This Row],[Age]]&lt;60,"50-59","60+"))))</f>
        <v>40-49</v>
      </c>
      <c r="M363" t="s">
        <v>13</v>
      </c>
      <c r="N363" t="s">
        <v>25</v>
      </c>
    </row>
    <row r="364" spans="1:14" x14ac:dyDescent="0.35">
      <c r="A364">
        <v>463</v>
      </c>
      <c r="B364" t="s">
        <v>10</v>
      </c>
      <c r="C364" s="6">
        <v>43446</v>
      </c>
      <c r="D364">
        <f>YEAR(Table1[[#This Row],[Join Date]])</f>
        <v>2018</v>
      </c>
      <c r="E364" s="6">
        <v>43936</v>
      </c>
      <c r="F364">
        <f>IFERROR(YEAR(Table1[[#This Row],[Exit Date]]), " ")</f>
        <v>2020</v>
      </c>
      <c r="G364">
        <f>IFERROR((Table1[[#This Row],[Exit Year]]-Table1[[#This Row],[Join Year]])+1," ")</f>
        <v>3</v>
      </c>
      <c r="H364" t="s">
        <v>38</v>
      </c>
      <c r="I364" t="s">
        <v>23</v>
      </c>
      <c r="J364" t="s">
        <v>18</v>
      </c>
      <c r="K364">
        <v>43</v>
      </c>
      <c r="L364" t="str">
        <f>IF(Table1[[#This Row],[Age]]&lt;30,"20-29",
IF(Table1[[#This Row],[Age]]&lt;40,"30-39",
IF(Table1[[#This Row],[Age]]&lt;50,"40-49",
IF(Table1[[#This Row],[Age]]&lt;60,"50-59","60+"))))</f>
        <v>40-49</v>
      </c>
      <c r="M364" t="s">
        <v>20</v>
      </c>
      <c r="N364" t="s">
        <v>35</v>
      </c>
    </row>
    <row r="365" spans="1:14" x14ac:dyDescent="0.35">
      <c r="A365">
        <v>464</v>
      </c>
      <c r="B365" t="s">
        <v>15</v>
      </c>
      <c r="C365" s="6">
        <v>45314</v>
      </c>
      <c r="D365">
        <f>YEAR(Table1[[#This Row],[Join Date]])</f>
        <v>2024</v>
      </c>
      <c r="E365" s="6" t="s">
        <v>48</v>
      </c>
      <c r="F365" t="str">
        <f>IFERROR(YEAR(Table1[[#This Row],[Exit Date]]), " ")</f>
        <v xml:space="preserve"> </v>
      </c>
      <c r="G365" t="str">
        <f>IFERROR((Table1[[#This Row],[Exit Year]]-Table1[[#This Row],[Join Year]])+1," ")</f>
        <v xml:space="preserve"> </v>
      </c>
      <c r="H365" t="s">
        <v>48</v>
      </c>
      <c r="I365" t="s">
        <v>11</v>
      </c>
      <c r="J365" t="s">
        <v>12</v>
      </c>
      <c r="K365">
        <v>40</v>
      </c>
      <c r="L365" t="str">
        <f>IF(Table1[[#This Row],[Age]]&lt;30,"20-29",
IF(Table1[[#This Row],[Age]]&lt;40,"30-39",
IF(Table1[[#This Row],[Age]]&lt;50,"40-49",
IF(Table1[[#This Row],[Age]]&lt;60,"50-59","60+"))))</f>
        <v>40-49</v>
      </c>
      <c r="M365" t="s">
        <v>39</v>
      </c>
      <c r="N365" t="s">
        <v>14</v>
      </c>
    </row>
    <row r="366" spans="1:14" x14ac:dyDescent="0.35">
      <c r="A366">
        <v>465</v>
      </c>
      <c r="B366" t="s">
        <v>15</v>
      </c>
      <c r="C366" s="6">
        <v>43123</v>
      </c>
      <c r="D366">
        <f>YEAR(Table1[[#This Row],[Join Date]])</f>
        <v>2018</v>
      </c>
      <c r="E366" s="6" t="s">
        <v>48</v>
      </c>
      <c r="F366" t="str">
        <f>IFERROR(YEAR(Table1[[#This Row],[Exit Date]]), " ")</f>
        <v xml:space="preserve"> </v>
      </c>
      <c r="G366" t="str">
        <f>IFERROR((Table1[[#This Row],[Exit Year]]-Table1[[#This Row],[Join Year]])+1," ")</f>
        <v xml:space="preserve"> </v>
      </c>
      <c r="H366" t="s">
        <v>48</v>
      </c>
      <c r="I366" t="s">
        <v>11</v>
      </c>
      <c r="J366" t="s">
        <v>18</v>
      </c>
      <c r="K366">
        <v>42</v>
      </c>
      <c r="L366" t="str">
        <f>IF(Table1[[#This Row],[Age]]&lt;30,"20-29",
IF(Table1[[#This Row],[Age]]&lt;40,"30-39",
IF(Table1[[#This Row],[Age]]&lt;50,"40-49",
IF(Table1[[#This Row],[Age]]&lt;60,"50-59","60+"))))</f>
        <v>40-49</v>
      </c>
      <c r="M366" t="s">
        <v>13</v>
      </c>
      <c r="N366" t="s">
        <v>17</v>
      </c>
    </row>
    <row r="367" spans="1:14" x14ac:dyDescent="0.35">
      <c r="A367">
        <v>466</v>
      </c>
      <c r="B367" t="s">
        <v>10</v>
      </c>
      <c r="C367" s="6">
        <v>43717</v>
      </c>
      <c r="D367">
        <f>YEAR(Table1[[#This Row],[Join Date]])</f>
        <v>2019</v>
      </c>
      <c r="E367" s="6">
        <v>44677</v>
      </c>
      <c r="F367">
        <f>IFERROR(YEAR(Table1[[#This Row],[Exit Date]]), " ")</f>
        <v>2022</v>
      </c>
      <c r="G367">
        <f>IFERROR((Table1[[#This Row],[Exit Year]]-Table1[[#This Row],[Join Year]])+1," ")</f>
        <v>4</v>
      </c>
      <c r="H367" t="s">
        <v>40</v>
      </c>
      <c r="I367" t="s">
        <v>23</v>
      </c>
      <c r="J367" t="s">
        <v>12</v>
      </c>
      <c r="K367">
        <v>35</v>
      </c>
      <c r="L367" t="str">
        <f>IF(Table1[[#This Row],[Age]]&lt;30,"20-29",
IF(Table1[[#This Row],[Age]]&lt;40,"30-39",
IF(Table1[[#This Row],[Age]]&lt;50,"40-49",
IF(Table1[[#This Row],[Age]]&lt;60,"50-59","60+"))))</f>
        <v>30-39</v>
      </c>
      <c r="M367" t="s">
        <v>16</v>
      </c>
      <c r="N367" t="s">
        <v>19</v>
      </c>
    </row>
    <row r="368" spans="1:14" x14ac:dyDescent="0.35">
      <c r="A368">
        <v>467</v>
      </c>
      <c r="B368" t="s">
        <v>29</v>
      </c>
      <c r="C368" s="6">
        <v>43534</v>
      </c>
      <c r="D368">
        <f>YEAR(Table1[[#This Row],[Join Date]])</f>
        <v>2019</v>
      </c>
      <c r="E368" s="6">
        <v>44117</v>
      </c>
      <c r="F368">
        <f>IFERROR(YEAR(Table1[[#This Row],[Exit Date]]), " ")</f>
        <v>2020</v>
      </c>
      <c r="G368">
        <f>IFERROR((Table1[[#This Row],[Exit Year]]-Table1[[#This Row],[Join Year]])+1," ")</f>
        <v>2</v>
      </c>
      <c r="H368" t="s">
        <v>46</v>
      </c>
      <c r="I368" t="s">
        <v>23</v>
      </c>
      <c r="J368" t="s">
        <v>18</v>
      </c>
      <c r="K368">
        <v>31</v>
      </c>
      <c r="L368" t="str">
        <f>IF(Table1[[#This Row],[Age]]&lt;30,"20-29",
IF(Table1[[#This Row],[Age]]&lt;40,"30-39",
IF(Table1[[#This Row],[Age]]&lt;50,"40-49",
IF(Table1[[#This Row],[Age]]&lt;60,"50-59","60+"))))</f>
        <v>30-39</v>
      </c>
      <c r="M368" t="s">
        <v>16</v>
      </c>
      <c r="N368" t="s">
        <v>21</v>
      </c>
    </row>
    <row r="369" spans="1:14" x14ac:dyDescent="0.35">
      <c r="A369">
        <v>468</v>
      </c>
      <c r="B369" t="s">
        <v>36</v>
      </c>
      <c r="C369" s="6">
        <v>44619</v>
      </c>
      <c r="D369">
        <f>YEAR(Table1[[#This Row],[Join Date]])</f>
        <v>2022</v>
      </c>
      <c r="E369" s="6" t="s">
        <v>48</v>
      </c>
      <c r="F369" t="str">
        <f>IFERROR(YEAR(Table1[[#This Row],[Exit Date]]), " ")</f>
        <v xml:space="preserve"> </v>
      </c>
      <c r="G369" t="str">
        <f>IFERROR((Table1[[#This Row],[Exit Year]]-Table1[[#This Row],[Join Year]])+1," ")</f>
        <v xml:space="preserve"> </v>
      </c>
      <c r="H369" t="s">
        <v>48</v>
      </c>
      <c r="I369" t="s">
        <v>11</v>
      </c>
      <c r="J369" t="s">
        <v>18</v>
      </c>
      <c r="K369">
        <v>51</v>
      </c>
      <c r="L369" t="str">
        <f>IF(Table1[[#This Row],[Age]]&lt;30,"20-29",
IF(Table1[[#This Row],[Age]]&lt;40,"30-39",
IF(Table1[[#This Row],[Age]]&lt;50,"40-49",
IF(Table1[[#This Row],[Age]]&lt;60,"50-59","60+"))))</f>
        <v>50-59</v>
      </c>
      <c r="M369" t="s">
        <v>20</v>
      </c>
      <c r="N369" t="s">
        <v>25</v>
      </c>
    </row>
    <row r="370" spans="1:14" x14ac:dyDescent="0.35">
      <c r="A370">
        <v>469</v>
      </c>
      <c r="B370" t="s">
        <v>10</v>
      </c>
      <c r="C370" s="6">
        <v>45485</v>
      </c>
      <c r="D370">
        <f>YEAR(Table1[[#This Row],[Join Date]])</f>
        <v>2024</v>
      </c>
      <c r="E370" s="6" t="s">
        <v>48</v>
      </c>
      <c r="F370" t="str">
        <f>IFERROR(YEAR(Table1[[#This Row],[Exit Date]]), " ")</f>
        <v xml:space="preserve"> </v>
      </c>
      <c r="G370" t="str">
        <f>IFERROR((Table1[[#This Row],[Exit Year]]-Table1[[#This Row],[Join Year]])+1," ")</f>
        <v xml:space="preserve"> </v>
      </c>
      <c r="H370" t="s">
        <v>48</v>
      </c>
      <c r="I370" t="s">
        <v>11</v>
      </c>
      <c r="J370" t="s">
        <v>12</v>
      </c>
      <c r="K370">
        <v>48</v>
      </c>
      <c r="L370" t="str">
        <f>IF(Table1[[#This Row],[Age]]&lt;30,"20-29",
IF(Table1[[#This Row],[Age]]&lt;40,"30-39",
IF(Table1[[#This Row],[Age]]&lt;50,"40-49",
IF(Table1[[#This Row],[Age]]&lt;60,"50-59","60+"))))</f>
        <v>40-49</v>
      </c>
      <c r="M370" t="s">
        <v>24</v>
      </c>
      <c r="N370" t="s">
        <v>28</v>
      </c>
    </row>
    <row r="371" spans="1:14" x14ac:dyDescent="0.35">
      <c r="A371">
        <v>470</v>
      </c>
      <c r="B371" t="s">
        <v>29</v>
      </c>
      <c r="C371" s="6">
        <v>43588</v>
      </c>
      <c r="D371">
        <f>YEAR(Table1[[#This Row],[Join Date]])</f>
        <v>2019</v>
      </c>
      <c r="E371" s="6">
        <v>44896</v>
      </c>
      <c r="F371">
        <f>IFERROR(YEAR(Table1[[#This Row],[Exit Date]]), " ")</f>
        <v>2022</v>
      </c>
      <c r="G371">
        <f>IFERROR((Table1[[#This Row],[Exit Year]]-Table1[[#This Row],[Join Year]])+1," ")</f>
        <v>4</v>
      </c>
      <c r="H371" t="s">
        <v>41</v>
      </c>
      <c r="I371" t="s">
        <v>23</v>
      </c>
      <c r="J371" t="s">
        <v>18</v>
      </c>
      <c r="K371">
        <v>41</v>
      </c>
      <c r="L371" t="str">
        <f>IF(Table1[[#This Row],[Age]]&lt;30,"20-29",
IF(Table1[[#This Row],[Age]]&lt;40,"30-39",
IF(Table1[[#This Row],[Age]]&lt;50,"40-49",
IF(Table1[[#This Row],[Age]]&lt;60,"50-59","60+"))))</f>
        <v>40-49</v>
      </c>
      <c r="M371" t="s">
        <v>13</v>
      </c>
      <c r="N371" t="s">
        <v>31</v>
      </c>
    </row>
    <row r="372" spans="1:14" x14ac:dyDescent="0.35">
      <c r="A372">
        <v>471</v>
      </c>
      <c r="B372" t="s">
        <v>36</v>
      </c>
      <c r="C372" s="6">
        <v>44250</v>
      </c>
      <c r="D372">
        <f>YEAR(Table1[[#This Row],[Join Date]])</f>
        <v>2021</v>
      </c>
      <c r="E372" s="6">
        <v>45392</v>
      </c>
      <c r="F372">
        <f>IFERROR(YEAR(Table1[[#This Row],[Exit Date]]), " ")</f>
        <v>2024</v>
      </c>
      <c r="G372">
        <f>IFERROR((Table1[[#This Row],[Exit Year]]-Table1[[#This Row],[Join Year]])+1," ")</f>
        <v>4</v>
      </c>
      <c r="H372" t="s">
        <v>46</v>
      </c>
      <c r="I372" t="s">
        <v>23</v>
      </c>
      <c r="J372" t="s">
        <v>18</v>
      </c>
      <c r="K372">
        <v>35</v>
      </c>
      <c r="L372" t="str">
        <f>IF(Table1[[#This Row],[Age]]&lt;30,"20-29",
IF(Table1[[#This Row],[Age]]&lt;40,"30-39",
IF(Table1[[#This Row],[Age]]&lt;50,"40-49",
IF(Table1[[#This Row],[Age]]&lt;60,"50-59","60+"))))</f>
        <v>30-39</v>
      </c>
      <c r="M372" t="s">
        <v>42</v>
      </c>
      <c r="N372" t="s">
        <v>32</v>
      </c>
    </row>
    <row r="373" spans="1:14" x14ac:dyDescent="0.35">
      <c r="A373">
        <v>472</v>
      </c>
      <c r="B373" t="s">
        <v>26</v>
      </c>
      <c r="C373" s="6">
        <v>45244</v>
      </c>
      <c r="D373">
        <f>YEAR(Table1[[#This Row],[Join Date]])</f>
        <v>2023</v>
      </c>
      <c r="E373" s="6">
        <v>45446</v>
      </c>
      <c r="F373">
        <f>IFERROR(YEAR(Table1[[#This Row],[Exit Date]]), " ")</f>
        <v>2024</v>
      </c>
      <c r="G373">
        <f>IFERROR((Table1[[#This Row],[Exit Year]]-Table1[[#This Row],[Join Year]])+1," ")</f>
        <v>2</v>
      </c>
      <c r="H373" t="s">
        <v>40</v>
      </c>
      <c r="I373" t="s">
        <v>23</v>
      </c>
      <c r="J373" t="s">
        <v>12</v>
      </c>
      <c r="K373">
        <v>24</v>
      </c>
      <c r="L373" t="str">
        <f>IF(Table1[[#This Row],[Age]]&lt;30,"20-29",
IF(Table1[[#This Row],[Age]]&lt;40,"30-39",
IF(Table1[[#This Row],[Age]]&lt;50,"40-49",
IF(Table1[[#This Row],[Age]]&lt;60,"50-59","60+"))))</f>
        <v>20-29</v>
      </c>
      <c r="M373" t="s">
        <v>13</v>
      </c>
      <c r="N373" t="s">
        <v>33</v>
      </c>
    </row>
    <row r="374" spans="1:14" x14ac:dyDescent="0.35">
      <c r="A374">
        <v>473</v>
      </c>
      <c r="B374" t="s">
        <v>15</v>
      </c>
      <c r="C374" s="6">
        <v>45256</v>
      </c>
      <c r="D374">
        <f>YEAR(Table1[[#This Row],[Join Date]])</f>
        <v>2023</v>
      </c>
      <c r="E374" s="6" t="s">
        <v>48</v>
      </c>
      <c r="F374" t="str">
        <f>IFERROR(YEAR(Table1[[#This Row],[Exit Date]]), " ")</f>
        <v xml:space="preserve"> </v>
      </c>
      <c r="G374" t="str">
        <f>IFERROR((Table1[[#This Row],[Exit Year]]-Table1[[#This Row],[Join Year]])+1," ")</f>
        <v xml:space="preserve"> </v>
      </c>
      <c r="H374" t="s">
        <v>48</v>
      </c>
      <c r="I374" t="s">
        <v>11</v>
      </c>
      <c r="J374" t="s">
        <v>12</v>
      </c>
      <c r="K374">
        <v>41</v>
      </c>
      <c r="L374" t="str">
        <f>IF(Table1[[#This Row],[Age]]&lt;30,"20-29",
IF(Table1[[#This Row],[Age]]&lt;40,"30-39",
IF(Table1[[#This Row],[Age]]&lt;50,"40-49",
IF(Table1[[#This Row],[Age]]&lt;60,"50-59","60+"))))</f>
        <v>40-49</v>
      </c>
      <c r="M374" t="s">
        <v>13</v>
      </c>
      <c r="N374" t="s">
        <v>35</v>
      </c>
    </row>
    <row r="375" spans="1:14" x14ac:dyDescent="0.35">
      <c r="A375">
        <v>474</v>
      </c>
      <c r="B375" t="s">
        <v>26</v>
      </c>
      <c r="C375" s="6">
        <v>45465</v>
      </c>
      <c r="D375">
        <f>YEAR(Table1[[#This Row],[Join Date]])</f>
        <v>2024</v>
      </c>
      <c r="E375" s="6" t="s">
        <v>48</v>
      </c>
      <c r="F375" t="str">
        <f>IFERROR(YEAR(Table1[[#This Row],[Exit Date]]), " ")</f>
        <v xml:space="preserve"> </v>
      </c>
      <c r="G375" t="str">
        <f>IFERROR((Table1[[#This Row],[Exit Year]]-Table1[[#This Row],[Join Year]])+1," ")</f>
        <v xml:space="preserve"> </v>
      </c>
      <c r="H375" t="s">
        <v>48</v>
      </c>
      <c r="I375" t="s">
        <v>11</v>
      </c>
      <c r="J375" t="s">
        <v>18</v>
      </c>
      <c r="K375">
        <v>40</v>
      </c>
      <c r="L375" t="str">
        <f>IF(Table1[[#This Row],[Age]]&lt;30,"20-29",
IF(Table1[[#This Row],[Age]]&lt;40,"30-39",
IF(Table1[[#This Row],[Age]]&lt;50,"40-49",
IF(Table1[[#This Row],[Age]]&lt;60,"50-59","60+"))))</f>
        <v>40-49</v>
      </c>
      <c r="M375" t="s">
        <v>16</v>
      </c>
      <c r="N375" t="s">
        <v>37</v>
      </c>
    </row>
    <row r="376" spans="1:14" x14ac:dyDescent="0.35">
      <c r="A376">
        <v>475</v>
      </c>
      <c r="B376" t="s">
        <v>10</v>
      </c>
      <c r="C376" s="6">
        <v>43597</v>
      </c>
      <c r="D376">
        <f>YEAR(Table1[[#This Row],[Join Date]])</f>
        <v>2019</v>
      </c>
      <c r="E376" s="6" t="s">
        <v>48</v>
      </c>
      <c r="F376" t="str">
        <f>IFERROR(YEAR(Table1[[#This Row],[Exit Date]]), " ")</f>
        <v xml:space="preserve"> </v>
      </c>
      <c r="G376" t="str">
        <f>IFERROR((Table1[[#This Row],[Exit Year]]-Table1[[#This Row],[Join Year]])+1," ")</f>
        <v xml:space="preserve"> </v>
      </c>
      <c r="H376" t="s">
        <v>48</v>
      </c>
      <c r="I376" t="s">
        <v>11</v>
      </c>
      <c r="J376" t="s">
        <v>18</v>
      </c>
      <c r="K376">
        <v>48</v>
      </c>
      <c r="L376" t="str">
        <f>IF(Table1[[#This Row],[Age]]&lt;30,"20-29",
IF(Table1[[#This Row],[Age]]&lt;40,"30-39",
IF(Table1[[#This Row],[Age]]&lt;50,"40-49",
IF(Table1[[#This Row],[Age]]&lt;60,"50-59","60+"))))</f>
        <v>40-49</v>
      </c>
      <c r="M376" t="s">
        <v>13</v>
      </c>
      <c r="N376" t="s">
        <v>19</v>
      </c>
    </row>
    <row r="377" spans="1:14" x14ac:dyDescent="0.35">
      <c r="A377">
        <v>476</v>
      </c>
      <c r="B377" t="s">
        <v>15</v>
      </c>
      <c r="C377" s="6">
        <v>44866</v>
      </c>
      <c r="D377">
        <f>YEAR(Table1[[#This Row],[Join Date]])</f>
        <v>2022</v>
      </c>
      <c r="E377" s="6" t="s">
        <v>48</v>
      </c>
      <c r="F377" t="str">
        <f>IFERROR(YEAR(Table1[[#This Row],[Exit Date]]), " ")</f>
        <v xml:space="preserve"> </v>
      </c>
      <c r="G377" t="str">
        <f>IFERROR((Table1[[#This Row],[Exit Year]]-Table1[[#This Row],[Join Year]])+1," ")</f>
        <v xml:space="preserve"> </v>
      </c>
      <c r="H377" t="s">
        <v>48</v>
      </c>
      <c r="I377" t="s">
        <v>11</v>
      </c>
      <c r="J377" t="s">
        <v>12</v>
      </c>
      <c r="K377">
        <v>52</v>
      </c>
      <c r="L377" t="str">
        <f>IF(Table1[[#This Row],[Age]]&lt;30,"20-29",
IF(Table1[[#This Row],[Age]]&lt;40,"30-39",
IF(Table1[[#This Row],[Age]]&lt;50,"40-49",
IF(Table1[[#This Row],[Age]]&lt;60,"50-59","60+"))))</f>
        <v>50-59</v>
      </c>
      <c r="M377" t="s">
        <v>20</v>
      </c>
      <c r="N377" t="s">
        <v>25</v>
      </c>
    </row>
    <row r="378" spans="1:14" x14ac:dyDescent="0.35">
      <c r="A378">
        <v>477</v>
      </c>
      <c r="B378" t="s">
        <v>34</v>
      </c>
      <c r="C378" s="6">
        <v>44006</v>
      </c>
      <c r="D378">
        <f>YEAR(Table1[[#This Row],[Join Date]])</f>
        <v>2020</v>
      </c>
      <c r="E378" s="6">
        <v>44463</v>
      </c>
      <c r="F378">
        <f>IFERROR(YEAR(Table1[[#This Row],[Exit Date]]), " ")</f>
        <v>2021</v>
      </c>
      <c r="G378">
        <f>IFERROR((Table1[[#This Row],[Exit Year]]-Table1[[#This Row],[Join Year]])+1," ")</f>
        <v>2</v>
      </c>
      <c r="H378" t="s">
        <v>46</v>
      </c>
      <c r="I378" t="s">
        <v>23</v>
      </c>
      <c r="J378" t="s">
        <v>18</v>
      </c>
      <c r="K378">
        <v>33</v>
      </c>
      <c r="L378" t="str">
        <f>IF(Table1[[#This Row],[Age]]&lt;30,"20-29",
IF(Table1[[#This Row],[Age]]&lt;40,"30-39",
IF(Table1[[#This Row],[Age]]&lt;50,"40-49",
IF(Table1[[#This Row],[Age]]&lt;60,"50-59","60+"))))</f>
        <v>30-39</v>
      </c>
      <c r="M378" t="s">
        <v>44</v>
      </c>
      <c r="N378" t="s">
        <v>35</v>
      </c>
    </row>
    <row r="379" spans="1:14" x14ac:dyDescent="0.35">
      <c r="A379">
        <v>478</v>
      </c>
      <c r="B379" t="s">
        <v>26</v>
      </c>
      <c r="C379" s="6">
        <v>45095</v>
      </c>
      <c r="D379">
        <f>YEAR(Table1[[#This Row],[Join Date]])</f>
        <v>2023</v>
      </c>
      <c r="E379" s="6" t="s">
        <v>48</v>
      </c>
      <c r="F379" t="str">
        <f>IFERROR(YEAR(Table1[[#This Row],[Exit Date]]), " ")</f>
        <v xml:space="preserve"> </v>
      </c>
      <c r="G379" t="str">
        <f>IFERROR((Table1[[#This Row],[Exit Year]]-Table1[[#This Row],[Join Year]])+1," ")</f>
        <v xml:space="preserve"> </v>
      </c>
      <c r="H379" t="s">
        <v>48</v>
      </c>
      <c r="I379" t="s">
        <v>11</v>
      </c>
      <c r="J379" t="s">
        <v>12</v>
      </c>
      <c r="K379">
        <v>51</v>
      </c>
      <c r="L379" t="str">
        <f>IF(Table1[[#This Row],[Age]]&lt;30,"20-29",
IF(Table1[[#This Row],[Age]]&lt;40,"30-39",
IF(Table1[[#This Row],[Age]]&lt;50,"40-49",
IF(Table1[[#This Row],[Age]]&lt;60,"50-59","60+"))))</f>
        <v>50-59</v>
      </c>
      <c r="M379" t="s">
        <v>13</v>
      </c>
      <c r="N379" t="s">
        <v>17</v>
      </c>
    </row>
    <row r="380" spans="1:14" x14ac:dyDescent="0.35">
      <c r="A380">
        <v>479</v>
      </c>
      <c r="B380" t="s">
        <v>10</v>
      </c>
      <c r="C380" s="6">
        <v>44360</v>
      </c>
      <c r="D380">
        <f>YEAR(Table1[[#This Row],[Join Date]])</f>
        <v>2021</v>
      </c>
      <c r="E380" s="6">
        <v>44755</v>
      </c>
      <c r="F380">
        <f>IFERROR(YEAR(Table1[[#This Row],[Exit Date]]), " ")</f>
        <v>2022</v>
      </c>
      <c r="G380">
        <f>IFERROR((Table1[[#This Row],[Exit Year]]-Table1[[#This Row],[Join Year]])+1," ")</f>
        <v>2</v>
      </c>
      <c r="H380" t="s">
        <v>38</v>
      </c>
      <c r="I380" t="s">
        <v>23</v>
      </c>
      <c r="J380" t="s">
        <v>12</v>
      </c>
      <c r="K380">
        <v>46</v>
      </c>
      <c r="L380" t="str">
        <f>IF(Table1[[#This Row],[Age]]&lt;30,"20-29",
IF(Table1[[#This Row],[Age]]&lt;40,"30-39",
IF(Table1[[#This Row],[Age]]&lt;50,"40-49",
IF(Table1[[#This Row],[Age]]&lt;60,"50-59","60+"))))</f>
        <v>40-49</v>
      </c>
      <c r="M380" t="s">
        <v>16</v>
      </c>
      <c r="N380" t="s">
        <v>19</v>
      </c>
    </row>
    <row r="381" spans="1:14" x14ac:dyDescent="0.35">
      <c r="A381">
        <v>480</v>
      </c>
      <c r="B381" t="s">
        <v>26</v>
      </c>
      <c r="C381" s="6">
        <v>43419</v>
      </c>
      <c r="D381">
        <f>YEAR(Table1[[#This Row],[Join Date]])</f>
        <v>2018</v>
      </c>
      <c r="E381" s="6">
        <v>44303</v>
      </c>
      <c r="F381">
        <f>IFERROR(YEAR(Table1[[#This Row],[Exit Date]]), " ")</f>
        <v>2021</v>
      </c>
      <c r="G381">
        <f>IFERROR((Table1[[#This Row],[Exit Year]]-Table1[[#This Row],[Join Year]])+1," ")</f>
        <v>4</v>
      </c>
      <c r="H381" t="s">
        <v>22</v>
      </c>
      <c r="I381" t="s">
        <v>23</v>
      </c>
      <c r="J381" t="s">
        <v>12</v>
      </c>
      <c r="K381">
        <v>53</v>
      </c>
      <c r="L381" t="str">
        <f>IF(Table1[[#This Row],[Age]]&lt;30,"20-29",
IF(Table1[[#This Row],[Age]]&lt;40,"30-39",
IF(Table1[[#This Row],[Age]]&lt;50,"40-49",
IF(Table1[[#This Row],[Age]]&lt;60,"50-59","60+"))))</f>
        <v>50-59</v>
      </c>
      <c r="M381" t="s">
        <v>16</v>
      </c>
      <c r="N381" t="s">
        <v>21</v>
      </c>
    </row>
    <row r="382" spans="1:14" x14ac:dyDescent="0.35">
      <c r="A382">
        <v>481</v>
      </c>
      <c r="B382" t="s">
        <v>36</v>
      </c>
      <c r="C382" s="6">
        <v>44249</v>
      </c>
      <c r="D382">
        <f>YEAR(Table1[[#This Row],[Join Date]])</f>
        <v>2021</v>
      </c>
      <c r="E382" s="6" t="s">
        <v>48</v>
      </c>
      <c r="F382" t="str">
        <f>IFERROR(YEAR(Table1[[#This Row],[Exit Date]]), " ")</f>
        <v xml:space="preserve"> </v>
      </c>
      <c r="G382" t="str">
        <f>IFERROR((Table1[[#This Row],[Exit Year]]-Table1[[#This Row],[Join Year]])+1," ")</f>
        <v xml:space="preserve"> </v>
      </c>
      <c r="H382" t="s">
        <v>48</v>
      </c>
      <c r="I382" t="s">
        <v>11</v>
      </c>
      <c r="J382" t="s">
        <v>18</v>
      </c>
      <c r="K382">
        <v>35</v>
      </c>
      <c r="L382" t="str">
        <f>IF(Table1[[#This Row],[Age]]&lt;30,"20-29",
IF(Table1[[#This Row],[Age]]&lt;40,"30-39",
IF(Table1[[#This Row],[Age]]&lt;50,"40-49",
IF(Table1[[#This Row],[Age]]&lt;60,"50-59","60+"))))</f>
        <v>30-39</v>
      </c>
      <c r="M382" t="s">
        <v>20</v>
      </c>
      <c r="N382" t="s">
        <v>25</v>
      </c>
    </row>
    <row r="383" spans="1:14" x14ac:dyDescent="0.35">
      <c r="A383">
        <v>482</v>
      </c>
      <c r="B383" t="s">
        <v>10</v>
      </c>
      <c r="C383" s="6">
        <v>45533</v>
      </c>
      <c r="D383">
        <f>YEAR(Table1[[#This Row],[Join Date]])</f>
        <v>2024</v>
      </c>
      <c r="E383" s="6" t="s">
        <v>48</v>
      </c>
      <c r="F383" t="str">
        <f>IFERROR(YEAR(Table1[[#This Row],[Exit Date]]), " ")</f>
        <v xml:space="preserve"> </v>
      </c>
      <c r="G383" t="str">
        <f>IFERROR((Table1[[#This Row],[Exit Year]]-Table1[[#This Row],[Join Year]])+1," ")</f>
        <v xml:space="preserve"> </v>
      </c>
      <c r="H383" t="s">
        <v>48</v>
      </c>
      <c r="I383" t="s">
        <v>11</v>
      </c>
      <c r="J383" t="s">
        <v>12</v>
      </c>
      <c r="K383">
        <v>32</v>
      </c>
      <c r="L383" t="str">
        <f>IF(Table1[[#This Row],[Age]]&lt;30,"20-29",
IF(Table1[[#This Row],[Age]]&lt;40,"30-39",
IF(Table1[[#This Row],[Age]]&lt;50,"40-49",
IF(Table1[[#This Row],[Age]]&lt;60,"50-59","60+"))))</f>
        <v>30-39</v>
      </c>
      <c r="M383" t="s">
        <v>24</v>
      </c>
      <c r="N383" t="s">
        <v>35</v>
      </c>
    </row>
    <row r="384" spans="1:14" x14ac:dyDescent="0.35">
      <c r="A384">
        <v>483</v>
      </c>
      <c r="B384" t="s">
        <v>36</v>
      </c>
      <c r="C384" s="6">
        <v>44377</v>
      </c>
      <c r="D384">
        <f>YEAR(Table1[[#This Row],[Join Date]])</f>
        <v>2021</v>
      </c>
      <c r="E384" s="6" t="s">
        <v>48</v>
      </c>
      <c r="F384" t="str">
        <f>IFERROR(YEAR(Table1[[#This Row],[Exit Date]]), " ")</f>
        <v xml:space="preserve"> </v>
      </c>
      <c r="G384" t="str">
        <f>IFERROR((Table1[[#This Row],[Exit Year]]-Table1[[#This Row],[Join Year]])+1," ")</f>
        <v xml:space="preserve"> </v>
      </c>
      <c r="H384" t="s">
        <v>48</v>
      </c>
      <c r="I384" t="s">
        <v>11</v>
      </c>
      <c r="J384" t="s">
        <v>18</v>
      </c>
      <c r="K384">
        <v>46</v>
      </c>
      <c r="L384" t="str">
        <f>IF(Table1[[#This Row],[Age]]&lt;30,"20-29",
IF(Table1[[#This Row],[Age]]&lt;40,"30-39",
IF(Table1[[#This Row],[Age]]&lt;50,"40-49",
IF(Table1[[#This Row],[Age]]&lt;60,"50-59","60+"))))</f>
        <v>40-49</v>
      </c>
      <c r="M384" t="s">
        <v>13</v>
      </c>
      <c r="N384" t="s">
        <v>14</v>
      </c>
    </row>
    <row r="385" spans="1:14" x14ac:dyDescent="0.35">
      <c r="A385">
        <v>484</v>
      </c>
      <c r="B385" t="s">
        <v>10</v>
      </c>
      <c r="C385" s="6">
        <v>44088</v>
      </c>
      <c r="D385">
        <f>YEAR(Table1[[#This Row],[Join Date]])</f>
        <v>2020</v>
      </c>
      <c r="E385" s="6" t="s">
        <v>48</v>
      </c>
      <c r="F385" t="str">
        <f>IFERROR(YEAR(Table1[[#This Row],[Exit Date]]), " ")</f>
        <v xml:space="preserve"> </v>
      </c>
      <c r="G385" t="str">
        <f>IFERROR((Table1[[#This Row],[Exit Year]]-Table1[[#This Row],[Join Year]])+1," ")</f>
        <v xml:space="preserve"> </v>
      </c>
      <c r="H385" t="s">
        <v>48</v>
      </c>
      <c r="I385" t="s">
        <v>11</v>
      </c>
      <c r="J385" t="s">
        <v>12</v>
      </c>
      <c r="K385">
        <v>50</v>
      </c>
      <c r="L385" t="str">
        <f>IF(Table1[[#This Row],[Age]]&lt;30,"20-29",
IF(Table1[[#This Row],[Age]]&lt;40,"30-39",
IF(Table1[[#This Row],[Age]]&lt;50,"40-49",
IF(Table1[[#This Row],[Age]]&lt;60,"50-59","60+"))))</f>
        <v>50-59</v>
      </c>
      <c r="M385" t="s">
        <v>42</v>
      </c>
      <c r="N385" t="s">
        <v>19</v>
      </c>
    </row>
    <row r="386" spans="1:14" x14ac:dyDescent="0.35">
      <c r="A386">
        <v>485</v>
      </c>
      <c r="B386" t="s">
        <v>26</v>
      </c>
      <c r="C386" s="6">
        <v>43373</v>
      </c>
      <c r="D386">
        <f>YEAR(Table1[[#This Row],[Join Date]])</f>
        <v>2018</v>
      </c>
      <c r="E386" s="6">
        <v>44825</v>
      </c>
      <c r="F386">
        <f>IFERROR(YEAR(Table1[[#This Row],[Exit Date]]), " ")</f>
        <v>2022</v>
      </c>
      <c r="G386">
        <f>IFERROR((Table1[[#This Row],[Exit Year]]-Table1[[#This Row],[Join Year]])+1," ")</f>
        <v>5</v>
      </c>
      <c r="H386" t="s">
        <v>27</v>
      </c>
      <c r="I386" t="s">
        <v>23</v>
      </c>
      <c r="J386" t="s">
        <v>18</v>
      </c>
      <c r="K386">
        <v>59</v>
      </c>
      <c r="L386" t="str">
        <f>IF(Table1[[#This Row],[Age]]&lt;30,"20-29",
IF(Table1[[#This Row],[Age]]&lt;40,"30-39",
IF(Table1[[#This Row],[Age]]&lt;50,"40-49",
IF(Table1[[#This Row],[Age]]&lt;60,"50-59","60+"))))</f>
        <v>50-59</v>
      </c>
      <c r="M386" t="s">
        <v>13</v>
      </c>
      <c r="N386" t="s">
        <v>21</v>
      </c>
    </row>
    <row r="387" spans="1:14" x14ac:dyDescent="0.35">
      <c r="A387">
        <v>486</v>
      </c>
      <c r="B387" t="s">
        <v>26</v>
      </c>
      <c r="C387" s="6">
        <v>43314</v>
      </c>
      <c r="D387">
        <f>YEAR(Table1[[#This Row],[Join Date]])</f>
        <v>2018</v>
      </c>
      <c r="E387" s="6" t="s">
        <v>48</v>
      </c>
      <c r="F387" t="str">
        <f>IFERROR(YEAR(Table1[[#This Row],[Exit Date]]), " ")</f>
        <v xml:space="preserve"> </v>
      </c>
      <c r="G387" t="str">
        <f>IFERROR((Table1[[#This Row],[Exit Year]]-Table1[[#This Row],[Join Year]])+1," ")</f>
        <v xml:space="preserve"> </v>
      </c>
      <c r="H387" t="s">
        <v>48</v>
      </c>
      <c r="I387" t="s">
        <v>11</v>
      </c>
      <c r="J387" t="s">
        <v>18</v>
      </c>
      <c r="K387">
        <v>29</v>
      </c>
      <c r="L387" t="str">
        <f>IF(Table1[[#This Row],[Age]]&lt;30,"20-29",
IF(Table1[[#This Row],[Age]]&lt;40,"30-39",
IF(Table1[[#This Row],[Age]]&lt;50,"40-49",
IF(Table1[[#This Row],[Age]]&lt;60,"50-59","60+"))))</f>
        <v>20-29</v>
      </c>
      <c r="M387" t="s">
        <v>13</v>
      </c>
      <c r="N387" t="s">
        <v>37</v>
      </c>
    </row>
    <row r="388" spans="1:14" x14ac:dyDescent="0.35">
      <c r="A388">
        <v>487</v>
      </c>
      <c r="B388" t="s">
        <v>26</v>
      </c>
      <c r="C388" s="6">
        <v>44418</v>
      </c>
      <c r="D388">
        <f>YEAR(Table1[[#This Row],[Join Date]])</f>
        <v>2021</v>
      </c>
      <c r="E388" s="6">
        <v>45628</v>
      </c>
      <c r="F388">
        <f>IFERROR(YEAR(Table1[[#This Row],[Exit Date]]), " ")</f>
        <v>2024</v>
      </c>
      <c r="G388">
        <f>IFERROR((Table1[[#This Row],[Exit Year]]-Table1[[#This Row],[Join Year]])+1," ")</f>
        <v>4</v>
      </c>
      <c r="H388" t="s">
        <v>22</v>
      </c>
      <c r="I388" t="s">
        <v>23</v>
      </c>
      <c r="J388" t="s">
        <v>12</v>
      </c>
      <c r="K388">
        <v>27</v>
      </c>
      <c r="L388" t="str">
        <f>IF(Table1[[#This Row],[Age]]&lt;30,"20-29",
IF(Table1[[#This Row],[Age]]&lt;40,"30-39",
IF(Table1[[#This Row],[Age]]&lt;50,"40-49",
IF(Table1[[#This Row],[Age]]&lt;60,"50-59","60+"))))</f>
        <v>20-29</v>
      </c>
      <c r="M388" t="s">
        <v>16</v>
      </c>
      <c r="N388" t="s">
        <v>25</v>
      </c>
    </row>
    <row r="389" spans="1:14" x14ac:dyDescent="0.35">
      <c r="A389">
        <v>488</v>
      </c>
      <c r="B389" t="s">
        <v>34</v>
      </c>
      <c r="C389" s="6">
        <v>44324</v>
      </c>
      <c r="D389">
        <f>YEAR(Table1[[#This Row],[Join Date]])</f>
        <v>2021</v>
      </c>
      <c r="E389" s="6">
        <v>45076</v>
      </c>
      <c r="F389">
        <f>IFERROR(YEAR(Table1[[#This Row],[Exit Date]]), " ")</f>
        <v>2023</v>
      </c>
      <c r="G389">
        <f>IFERROR((Table1[[#This Row],[Exit Year]]-Table1[[#This Row],[Join Year]])+1," ")</f>
        <v>3</v>
      </c>
      <c r="H389" t="s">
        <v>40</v>
      </c>
      <c r="I389" t="s">
        <v>23</v>
      </c>
      <c r="J389" t="s">
        <v>18</v>
      </c>
      <c r="K389">
        <v>31</v>
      </c>
      <c r="L389" t="str">
        <f>IF(Table1[[#This Row],[Age]]&lt;30,"20-29",
IF(Table1[[#This Row],[Age]]&lt;40,"30-39",
IF(Table1[[#This Row],[Age]]&lt;50,"40-49",
IF(Table1[[#This Row],[Age]]&lt;60,"50-59","60+"))))</f>
        <v>30-39</v>
      </c>
      <c r="M389" t="s">
        <v>13</v>
      </c>
      <c r="N389" t="s">
        <v>35</v>
      </c>
    </row>
    <row r="390" spans="1:14" x14ac:dyDescent="0.35">
      <c r="A390">
        <v>489</v>
      </c>
      <c r="B390" t="s">
        <v>10</v>
      </c>
      <c r="C390" s="6">
        <v>43513</v>
      </c>
      <c r="D390">
        <f>YEAR(Table1[[#This Row],[Join Date]])</f>
        <v>2019</v>
      </c>
      <c r="E390" s="6">
        <v>44923</v>
      </c>
      <c r="F390">
        <f>IFERROR(YEAR(Table1[[#This Row],[Exit Date]]), " ")</f>
        <v>2022</v>
      </c>
      <c r="G390">
        <f>IFERROR((Table1[[#This Row],[Exit Year]]-Table1[[#This Row],[Join Year]])+1," ")</f>
        <v>4</v>
      </c>
      <c r="H390" t="s">
        <v>38</v>
      </c>
      <c r="I390" t="s">
        <v>23</v>
      </c>
      <c r="J390" t="s">
        <v>18</v>
      </c>
      <c r="K390">
        <v>24</v>
      </c>
      <c r="L390" t="str">
        <f>IF(Table1[[#This Row],[Age]]&lt;30,"20-29",
IF(Table1[[#This Row],[Age]]&lt;40,"30-39",
IF(Table1[[#This Row],[Age]]&lt;50,"40-49",
IF(Table1[[#This Row],[Age]]&lt;60,"50-59","60+"))))</f>
        <v>20-29</v>
      </c>
      <c r="M390" t="s">
        <v>20</v>
      </c>
      <c r="N390" t="s">
        <v>37</v>
      </c>
    </row>
    <row r="391" spans="1:14" x14ac:dyDescent="0.35">
      <c r="A391">
        <v>490</v>
      </c>
      <c r="B391" t="s">
        <v>36</v>
      </c>
      <c r="C391" s="6">
        <v>44180</v>
      </c>
      <c r="D391">
        <f>YEAR(Table1[[#This Row],[Join Date]])</f>
        <v>2020</v>
      </c>
      <c r="E391" s="6" t="s">
        <v>48</v>
      </c>
      <c r="F391" t="str">
        <f>IFERROR(YEAR(Table1[[#This Row],[Exit Date]]), " ")</f>
        <v xml:space="preserve"> </v>
      </c>
      <c r="G391" t="str">
        <f>IFERROR((Table1[[#This Row],[Exit Year]]-Table1[[#This Row],[Join Year]])+1," ")</f>
        <v xml:space="preserve"> </v>
      </c>
      <c r="H391" t="s">
        <v>48</v>
      </c>
      <c r="I391" t="s">
        <v>11</v>
      </c>
      <c r="J391" t="s">
        <v>12</v>
      </c>
      <c r="K391">
        <v>37</v>
      </c>
      <c r="L391" t="str">
        <f>IF(Table1[[#This Row],[Age]]&lt;30,"20-29",
IF(Table1[[#This Row],[Age]]&lt;40,"30-39",
IF(Table1[[#This Row],[Age]]&lt;50,"40-49",
IF(Table1[[#This Row],[Age]]&lt;60,"50-59","60+"))))</f>
        <v>30-39</v>
      </c>
      <c r="M391" t="s">
        <v>39</v>
      </c>
      <c r="N391" t="s">
        <v>25</v>
      </c>
    </row>
    <row r="392" spans="1:14" x14ac:dyDescent="0.35">
      <c r="A392">
        <v>491</v>
      </c>
      <c r="B392" t="s">
        <v>34</v>
      </c>
      <c r="C392" s="6">
        <v>44099</v>
      </c>
      <c r="D392">
        <f>YEAR(Table1[[#This Row],[Join Date]])</f>
        <v>2020</v>
      </c>
      <c r="E392" s="6" t="s">
        <v>48</v>
      </c>
      <c r="F392" t="str">
        <f>IFERROR(YEAR(Table1[[#This Row],[Exit Date]]), " ")</f>
        <v xml:space="preserve"> </v>
      </c>
      <c r="G392" t="str">
        <f>IFERROR((Table1[[#This Row],[Exit Year]]-Table1[[#This Row],[Join Year]])+1," ")</f>
        <v xml:space="preserve"> </v>
      </c>
      <c r="H392" t="s">
        <v>48</v>
      </c>
      <c r="I392" t="s">
        <v>11</v>
      </c>
      <c r="J392" t="s">
        <v>12</v>
      </c>
      <c r="K392">
        <v>23</v>
      </c>
      <c r="L392" t="str">
        <f>IF(Table1[[#This Row],[Age]]&lt;30,"20-29",
IF(Table1[[#This Row],[Age]]&lt;40,"30-39",
IF(Table1[[#This Row],[Age]]&lt;50,"40-49",
IF(Table1[[#This Row],[Age]]&lt;60,"50-59","60+"))))</f>
        <v>20-29</v>
      </c>
      <c r="M392" t="s">
        <v>13</v>
      </c>
      <c r="N392" t="s">
        <v>35</v>
      </c>
    </row>
    <row r="393" spans="1:14" x14ac:dyDescent="0.35">
      <c r="A393">
        <v>492</v>
      </c>
      <c r="B393" t="s">
        <v>34</v>
      </c>
      <c r="C393" s="6">
        <v>45632</v>
      </c>
      <c r="D393">
        <f>YEAR(Table1[[#This Row],[Join Date]])</f>
        <v>2024</v>
      </c>
      <c r="E393" s="6" t="s">
        <v>48</v>
      </c>
      <c r="F393" t="str">
        <f>IFERROR(YEAR(Table1[[#This Row],[Exit Date]]), " ")</f>
        <v xml:space="preserve"> </v>
      </c>
      <c r="G393" t="str">
        <f>IFERROR((Table1[[#This Row],[Exit Year]]-Table1[[#This Row],[Join Year]])+1," ")</f>
        <v xml:space="preserve"> </v>
      </c>
      <c r="H393" t="s">
        <v>48</v>
      </c>
      <c r="I393" t="s">
        <v>11</v>
      </c>
      <c r="J393" t="s">
        <v>12</v>
      </c>
      <c r="K393">
        <v>31</v>
      </c>
      <c r="L393" t="str">
        <f>IF(Table1[[#This Row],[Age]]&lt;30,"20-29",
IF(Table1[[#This Row],[Age]]&lt;40,"30-39",
IF(Table1[[#This Row],[Age]]&lt;50,"40-49",
IF(Table1[[#This Row],[Age]]&lt;60,"50-59","60+"))))</f>
        <v>30-39</v>
      </c>
      <c r="M393" t="s">
        <v>16</v>
      </c>
      <c r="N393" t="s">
        <v>14</v>
      </c>
    </row>
    <row r="394" spans="1:14" x14ac:dyDescent="0.35">
      <c r="A394">
        <v>493</v>
      </c>
      <c r="B394" t="s">
        <v>36</v>
      </c>
      <c r="C394" s="6">
        <v>45294</v>
      </c>
      <c r="D394">
        <f>YEAR(Table1[[#This Row],[Join Date]])</f>
        <v>2024</v>
      </c>
      <c r="E394" s="6" t="s">
        <v>48</v>
      </c>
      <c r="F394" t="str">
        <f>IFERROR(YEAR(Table1[[#This Row],[Exit Date]]), " ")</f>
        <v xml:space="preserve"> </v>
      </c>
      <c r="G394" t="str">
        <f>IFERROR((Table1[[#This Row],[Exit Year]]-Table1[[#This Row],[Join Year]])+1," ")</f>
        <v xml:space="preserve"> </v>
      </c>
      <c r="H394" t="s">
        <v>48</v>
      </c>
      <c r="I394" t="s">
        <v>11</v>
      </c>
      <c r="J394" t="s">
        <v>18</v>
      </c>
      <c r="K394">
        <v>52</v>
      </c>
      <c r="L394" t="str">
        <f>IF(Table1[[#This Row],[Age]]&lt;30,"20-29",
IF(Table1[[#This Row],[Age]]&lt;40,"30-39",
IF(Table1[[#This Row],[Age]]&lt;50,"40-49",
IF(Table1[[#This Row],[Age]]&lt;60,"50-59","60+"))))</f>
        <v>50-59</v>
      </c>
      <c r="M394" t="s">
        <v>16</v>
      </c>
      <c r="N394" t="s">
        <v>17</v>
      </c>
    </row>
    <row r="395" spans="1:14" x14ac:dyDescent="0.35">
      <c r="A395">
        <v>494</v>
      </c>
      <c r="B395" t="s">
        <v>26</v>
      </c>
      <c r="C395" s="6">
        <v>44590</v>
      </c>
      <c r="D395">
        <f>YEAR(Table1[[#This Row],[Join Date]])</f>
        <v>2022</v>
      </c>
      <c r="E395" s="6" t="s">
        <v>48</v>
      </c>
      <c r="F395" t="str">
        <f>IFERROR(YEAR(Table1[[#This Row],[Exit Date]]), " ")</f>
        <v xml:space="preserve"> </v>
      </c>
      <c r="G395" t="str">
        <f>IFERROR((Table1[[#This Row],[Exit Year]]-Table1[[#This Row],[Join Year]])+1," ")</f>
        <v xml:space="preserve"> </v>
      </c>
      <c r="H395" t="s">
        <v>48</v>
      </c>
      <c r="I395" t="s">
        <v>11</v>
      </c>
      <c r="J395" t="s">
        <v>18</v>
      </c>
      <c r="K395">
        <v>25</v>
      </c>
      <c r="L395" t="str">
        <f>IF(Table1[[#This Row],[Age]]&lt;30,"20-29",
IF(Table1[[#This Row],[Age]]&lt;40,"30-39",
IF(Table1[[#This Row],[Age]]&lt;50,"40-49",
IF(Table1[[#This Row],[Age]]&lt;60,"50-59","60+"))))</f>
        <v>20-29</v>
      </c>
      <c r="M395" t="s">
        <v>20</v>
      </c>
      <c r="N395" t="s">
        <v>19</v>
      </c>
    </row>
    <row r="396" spans="1:14" x14ac:dyDescent="0.35">
      <c r="A396">
        <v>495</v>
      </c>
      <c r="B396" t="s">
        <v>15</v>
      </c>
      <c r="C396" s="6">
        <v>45215</v>
      </c>
      <c r="D396">
        <f>YEAR(Table1[[#This Row],[Join Date]])</f>
        <v>2023</v>
      </c>
      <c r="E396" s="6" t="s">
        <v>48</v>
      </c>
      <c r="F396" t="str">
        <f>IFERROR(YEAR(Table1[[#This Row],[Exit Date]]), " ")</f>
        <v xml:space="preserve"> </v>
      </c>
      <c r="G396" t="str">
        <f>IFERROR((Table1[[#This Row],[Exit Year]]-Table1[[#This Row],[Join Year]])+1," ")</f>
        <v xml:space="preserve"> </v>
      </c>
      <c r="H396" t="s">
        <v>48</v>
      </c>
      <c r="I396" t="s">
        <v>11</v>
      </c>
      <c r="J396" t="s">
        <v>12</v>
      </c>
      <c r="K396">
        <v>46</v>
      </c>
      <c r="L396" t="str">
        <f>IF(Table1[[#This Row],[Age]]&lt;30,"20-29",
IF(Table1[[#This Row],[Age]]&lt;40,"30-39",
IF(Table1[[#This Row],[Age]]&lt;50,"40-49",
IF(Table1[[#This Row],[Age]]&lt;60,"50-59","60+"))))</f>
        <v>40-49</v>
      </c>
      <c r="M396" t="s">
        <v>24</v>
      </c>
      <c r="N396" t="s">
        <v>21</v>
      </c>
    </row>
    <row r="397" spans="1:14" x14ac:dyDescent="0.35">
      <c r="A397">
        <v>496</v>
      </c>
      <c r="B397" t="s">
        <v>15</v>
      </c>
      <c r="C397" s="6">
        <v>43624</v>
      </c>
      <c r="D397">
        <f>YEAR(Table1[[#This Row],[Join Date]])</f>
        <v>2019</v>
      </c>
      <c r="E397" s="6">
        <v>44228</v>
      </c>
      <c r="F397">
        <f>IFERROR(YEAR(Table1[[#This Row],[Exit Date]]), " ")</f>
        <v>2021</v>
      </c>
      <c r="G397">
        <f>IFERROR((Table1[[#This Row],[Exit Year]]-Table1[[#This Row],[Join Year]])+1," ")</f>
        <v>3</v>
      </c>
      <c r="H397" t="s">
        <v>41</v>
      </c>
      <c r="I397" t="s">
        <v>23</v>
      </c>
      <c r="J397" t="s">
        <v>18</v>
      </c>
      <c r="K397">
        <v>24</v>
      </c>
      <c r="L397" t="str">
        <f>IF(Table1[[#This Row],[Age]]&lt;30,"20-29",
IF(Table1[[#This Row],[Age]]&lt;40,"30-39",
IF(Table1[[#This Row],[Age]]&lt;50,"40-49",
IF(Table1[[#This Row],[Age]]&lt;60,"50-59","60+"))))</f>
        <v>20-29</v>
      </c>
      <c r="M397" t="s">
        <v>13</v>
      </c>
      <c r="N397" t="s">
        <v>25</v>
      </c>
    </row>
    <row r="398" spans="1:14" x14ac:dyDescent="0.35">
      <c r="A398">
        <v>497</v>
      </c>
      <c r="B398" t="s">
        <v>15</v>
      </c>
      <c r="C398" s="6">
        <v>44514</v>
      </c>
      <c r="D398">
        <f>YEAR(Table1[[#This Row],[Join Date]])</f>
        <v>2021</v>
      </c>
      <c r="E398" s="6">
        <v>45529</v>
      </c>
      <c r="F398">
        <f>IFERROR(YEAR(Table1[[#This Row],[Exit Date]]), " ")</f>
        <v>2024</v>
      </c>
      <c r="G398">
        <f>IFERROR((Table1[[#This Row],[Exit Year]]-Table1[[#This Row],[Join Year]])+1," ")</f>
        <v>4</v>
      </c>
      <c r="H398" t="s">
        <v>41</v>
      </c>
      <c r="I398" t="s">
        <v>23</v>
      </c>
      <c r="J398" t="s">
        <v>12</v>
      </c>
      <c r="K398">
        <v>38</v>
      </c>
      <c r="L398" t="str">
        <f>IF(Table1[[#This Row],[Age]]&lt;30,"20-29",
IF(Table1[[#This Row],[Age]]&lt;40,"30-39",
IF(Table1[[#This Row],[Age]]&lt;50,"40-49",
IF(Table1[[#This Row],[Age]]&lt;60,"50-59","60+"))))</f>
        <v>30-39</v>
      </c>
      <c r="M398" t="s">
        <v>42</v>
      </c>
      <c r="N398" t="s">
        <v>28</v>
      </c>
    </row>
    <row r="399" spans="1:14" x14ac:dyDescent="0.35">
      <c r="A399">
        <v>498</v>
      </c>
      <c r="B399" t="s">
        <v>29</v>
      </c>
      <c r="C399" s="6">
        <v>43700</v>
      </c>
      <c r="D399">
        <f>YEAR(Table1[[#This Row],[Join Date]])</f>
        <v>2019</v>
      </c>
      <c r="E399" s="6" t="s">
        <v>48</v>
      </c>
      <c r="F399" t="str">
        <f>IFERROR(YEAR(Table1[[#This Row],[Exit Date]]), " ")</f>
        <v xml:space="preserve"> </v>
      </c>
      <c r="G399" t="str">
        <f>IFERROR((Table1[[#This Row],[Exit Year]]-Table1[[#This Row],[Join Year]])+1," ")</f>
        <v xml:space="preserve"> </v>
      </c>
      <c r="H399" t="s">
        <v>48</v>
      </c>
      <c r="I399" t="s">
        <v>11</v>
      </c>
      <c r="J399" t="s">
        <v>12</v>
      </c>
      <c r="K399">
        <v>49</v>
      </c>
      <c r="L399" t="str">
        <f>IF(Table1[[#This Row],[Age]]&lt;30,"20-29",
IF(Table1[[#This Row],[Age]]&lt;40,"30-39",
IF(Table1[[#This Row],[Age]]&lt;50,"40-49",
IF(Table1[[#This Row],[Age]]&lt;60,"50-59","60+"))))</f>
        <v>40-49</v>
      </c>
      <c r="M399" t="s">
        <v>13</v>
      </c>
      <c r="N399" t="s">
        <v>31</v>
      </c>
    </row>
    <row r="400" spans="1:14" x14ac:dyDescent="0.35">
      <c r="A400">
        <v>499</v>
      </c>
      <c r="B400" t="s">
        <v>34</v>
      </c>
      <c r="C400" s="6">
        <v>45540</v>
      </c>
      <c r="D400">
        <f>YEAR(Table1[[#This Row],[Join Date]])</f>
        <v>2024</v>
      </c>
      <c r="E400" s="6" t="s">
        <v>48</v>
      </c>
      <c r="F400" t="str">
        <f>IFERROR(YEAR(Table1[[#This Row],[Exit Date]]), " ")</f>
        <v xml:space="preserve"> </v>
      </c>
      <c r="G400" t="str">
        <f>IFERROR((Table1[[#This Row],[Exit Year]]-Table1[[#This Row],[Join Year]])+1," ")</f>
        <v xml:space="preserve"> </v>
      </c>
      <c r="H400" t="s">
        <v>48</v>
      </c>
      <c r="I400" t="s">
        <v>11</v>
      </c>
      <c r="J400" t="s">
        <v>12</v>
      </c>
      <c r="K400">
        <v>31</v>
      </c>
      <c r="L400" t="str">
        <f>IF(Table1[[#This Row],[Age]]&lt;30,"20-29",
IF(Table1[[#This Row],[Age]]&lt;40,"30-39",
IF(Table1[[#This Row],[Age]]&lt;50,"40-49",
IF(Table1[[#This Row],[Age]]&lt;60,"50-59","60+"))))</f>
        <v>30-39</v>
      </c>
      <c r="M400" t="s">
        <v>13</v>
      </c>
      <c r="N400" t="s">
        <v>32</v>
      </c>
    </row>
    <row r="401" spans="1:14" x14ac:dyDescent="0.35">
      <c r="A401">
        <v>500</v>
      </c>
      <c r="B401" t="s">
        <v>10</v>
      </c>
      <c r="C401" s="6">
        <v>43297</v>
      </c>
      <c r="D401">
        <f>YEAR(Table1[[#This Row],[Join Date]])</f>
        <v>2018</v>
      </c>
      <c r="E401" s="6">
        <v>44682</v>
      </c>
      <c r="F401">
        <f>IFERROR(YEAR(Table1[[#This Row],[Exit Date]]), " ")</f>
        <v>2022</v>
      </c>
      <c r="G401">
        <f>IFERROR((Table1[[#This Row],[Exit Year]]-Table1[[#This Row],[Join Year]])+1," ")</f>
        <v>5</v>
      </c>
      <c r="H401" t="s">
        <v>40</v>
      </c>
      <c r="I401" t="s">
        <v>23</v>
      </c>
      <c r="J401" t="s">
        <v>18</v>
      </c>
      <c r="K401">
        <v>51</v>
      </c>
      <c r="L401" t="str">
        <f>IF(Table1[[#This Row],[Age]]&lt;30,"20-29",
IF(Table1[[#This Row],[Age]]&lt;40,"30-39",
IF(Table1[[#This Row],[Age]]&lt;50,"40-49",
IF(Table1[[#This Row],[Age]]&lt;60,"50-59","60+"))))</f>
        <v>50-59</v>
      </c>
      <c r="M401" t="s">
        <v>16</v>
      </c>
      <c r="N401" t="s">
        <v>33</v>
      </c>
    </row>
    <row r="402" spans="1:14" x14ac:dyDescent="0.35">
      <c r="A402">
        <v>501</v>
      </c>
      <c r="B402" t="s">
        <v>10</v>
      </c>
      <c r="C402" s="6">
        <v>43407</v>
      </c>
      <c r="D402">
        <f>YEAR(Table1[[#This Row],[Join Date]])</f>
        <v>2018</v>
      </c>
      <c r="E402" s="6" t="s">
        <v>48</v>
      </c>
      <c r="F402" t="str">
        <f>IFERROR(YEAR(Table1[[#This Row],[Exit Date]]), " ")</f>
        <v xml:space="preserve"> </v>
      </c>
      <c r="G402" t="str">
        <f>IFERROR((Table1[[#This Row],[Exit Year]]-Table1[[#This Row],[Join Year]])+1," ")</f>
        <v xml:space="preserve"> </v>
      </c>
      <c r="H402" t="s">
        <v>48</v>
      </c>
      <c r="I402" t="s">
        <v>11</v>
      </c>
      <c r="J402" t="s">
        <v>12</v>
      </c>
      <c r="K402">
        <v>27</v>
      </c>
      <c r="L402" t="str">
        <f>IF(Table1[[#This Row],[Age]]&lt;30,"20-29",
IF(Table1[[#This Row],[Age]]&lt;40,"30-39",
IF(Table1[[#This Row],[Age]]&lt;50,"40-49",
IF(Table1[[#This Row],[Age]]&lt;60,"50-59","60+"))))</f>
        <v>20-29</v>
      </c>
      <c r="M402" t="s">
        <v>13</v>
      </c>
      <c r="N402" t="s">
        <v>35</v>
      </c>
    </row>
    <row r="403" spans="1:14" x14ac:dyDescent="0.35">
      <c r="A403">
        <v>502</v>
      </c>
      <c r="B403" t="s">
        <v>15</v>
      </c>
      <c r="C403" s="6">
        <v>44121</v>
      </c>
      <c r="D403">
        <f>YEAR(Table1[[#This Row],[Join Date]])</f>
        <v>2020</v>
      </c>
      <c r="E403" s="6" t="s">
        <v>48</v>
      </c>
      <c r="F403" t="str">
        <f>IFERROR(YEAR(Table1[[#This Row],[Exit Date]]), " ")</f>
        <v xml:space="preserve"> </v>
      </c>
      <c r="G403" t="str">
        <f>IFERROR((Table1[[#This Row],[Exit Year]]-Table1[[#This Row],[Join Year]])+1," ")</f>
        <v xml:space="preserve"> </v>
      </c>
      <c r="H403" t="s">
        <v>48</v>
      </c>
      <c r="I403" t="s">
        <v>11</v>
      </c>
      <c r="J403" t="s">
        <v>18</v>
      </c>
      <c r="K403">
        <v>22</v>
      </c>
      <c r="L403" t="str">
        <f>IF(Table1[[#This Row],[Age]]&lt;30,"20-29",
IF(Table1[[#This Row],[Age]]&lt;40,"30-39",
IF(Table1[[#This Row],[Age]]&lt;50,"40-49",
IF(Table1[[#This Row],[Age]]&lt;60,"50-59","60+"))))</f>
        <v>20-29</v>
      </c>
      <c r="M403" t="s">
        <v>20</v>
      </c>
      <c r="N403" t="s">
        <v>37</v>
      </c>
    </row>
    <row r="404" spans="1:14" x14ac:dyDescent="0.35">
      <c r="A404">
        <v>503</v>
      </c>
      <c r="B404" t="s">
        <v>15</v>
      </c>
      <c r="C404" s="6">
        <v>44423</v>
      </c>
      <c r="D404">
        <f>YEAR(Table1[[#This Row],[Join Date]])</f>
        <v>2021</v>
      </c>
      <c r="E404" s="6" t="s">
        <v>48</v>
      </c>
      <c r="F404" t="str">
        <f>IFERROR(YEAR(Table1[[#This Row],[Exit Date]]), " ")</f>
        <v xml:space="preserve"> </v>
      </c>
      <c r="G404" t="str">
        <f>IFERROR((Table1[[#This Row],[Exit Year]]-Table1[[#This Row],[Join Year]])+1," ")</f>
        <v xml:space="preserve"> </v>
      </c>
      <c r="H404" t="s">
        <v>48</v>
      </c>
      <c r="I404" t="s">
        <v>11</v>
      </c>
      <c r="J404" t="s">
        <v>12</v>
      </c>
      <c r="K404">
        <v>50</v>
      </c>
      <c r="L404" t="str">
        <f>IF(Table1[[#This Row],[Age]]&lt;30,"20-29",
IF(Table1[[#This Row],[Age]]&lt;40,"30-39",
IF(Table1[[#This Row],[Age]]&lt;50,"40-49",
IF(Table1[[#This Row],[Age]]&lt;60,"50-59","60+"))))</f>
        <v>50-59</v>
      </c>
      <c r="M404" t="s">
        <v>39</v>
      </c>
      <c r="N404" t="s">
        <v>19</v>
      </c>
    </row>
    <row r="405" spans="1:14" x14ac:dyDescent="0.35">
      <c r="A405">
        <v>504</v>
      </c>
      <c r="B405" t="s">
        <v>15</v>
      </c>
      <c r="C405" s="6">
        <v>45087</v>
      </c>
      <c r="D405">
        <f>YEAR(Table1[[#This Row],[Join Date]])</f>
        <v>2023</v>
      </c>
      <c r="E405" s="6" t="s">
        <v>48</v>
      </c>
      <c r="F405" t="str">
        <f>IFERROR(YEAR(Table1[[#This Row],[Exit Date]]), " ")</f>
        <v xml:space="preserve"> </v>
      </c>
      <c r="G405" t="str">
        <f>IFERROR((Table1[[#This Row],[Exit Year]]-Table1[[#This Row],[Join Year]])+1," ")</f>
        <v xml:space="preserve"> </v>
      </c>
      <c r="H405" t="s">
        <v>48</v>
      </c>
      <c r="I405" t="s">
        <v>11</v>
      </c>
      <c r="J405" t="s">
        <v>18</v>
      </c>
      <c r="K405">
        <v>24</v>
      </c>
      <c r="L405" t="str">
        <f>IF(Table1[[#This Row],[Age]]&lt;30,"20-29",
IF(Table1[[#This Row],[Age]]&lt;40,"30-39",
IF(Table1[[#This Row],[Age]]&lt;50,"40-49",
IF(Table1[[#This Row],[Age]]&lt;60,"50-59","60+"))))</f>
        <v>20-29</v>
      </c>
      <c r="M405" t="s">
        <v>13</v>
      </c>
      <c r="N405" t="s">
        <v>25</v>
      </c>
    </row>
    <row r="406" spans="1:14" x14ac:dyDescent="0.35">
      <c r="A406">
        <v>505</v>
      </c>
      <c r="B406" t="s">
        <v>15</v>
      </c>
      <c r="C406" s="6">
        <v>43479</v>
      </c>
      <c r="D406">
        <f>YEAR(Table1[[#This Row],[Join Date]])</f>
        <v>2019</v>
      </c>
      <c r="E406" s="6">
        <v>44449</v>
      </c>
      <c r="F406">
        <f>IFERROR(YEAR(Table1[[#This Row],[Exit Date]]), " ")</f>
        <v>2021</v>
      </c>
      <c r="G406">
        <f>IFERROR((Table1[[#This Row],[Exit Year]]-Table1[[#This Row],[Join Year]])+1," ")</f>
        <v>3</v>
      </c>
      <c r="H406" t="s">
        <v>22</v>
      </c>
      <c r="I406" t="s">
        <v>23</v>
      </c>
      <c r="J406" t="s">
        <v>18</v>
      </c>
      <c r="K406">
        <v>50</v>
      </c>
      <c r="L406" t="str">
        <f>IF(Table1[[#This Row],[Age]]&lt;30,"20-29",
IF(Table1[[#This Row],[Age]]&lt;40,"30-39",
IF(Table1[[#This Row],[Age]]&lt;50,"40-49",
IF(Table1[[#This Row],[Age]]&lt;60,"50-59","60+"))))</f>
        <v>50-59</v>
      </c>
      <c r="M406" t="s">
        <v>16</v>
      </c>
      <c r="N406" t="s">
        <v>35</v>
      </c>
    </row>
    <row r="407" spans="1:14" x14ac:dyDescent="0.35">
      <c r="A407">
        <v>506</v>
      </c>
      <c r="B407" t="s">
        <v>26</v>
      </c>
      <c r="C407" s="6">
        <v>44749</v>
      </c>
      <c r="D407">
        <f>YEAR(Table1[[#This Row],[Join Date]])</f>
        <v>2022</v>
      </c>
      <c r="E407" s="6">
        <v>44972</v>
      </c>
      <c r="F407">
        <f>IFERROR(YEAR(Table1[[#This Row],[Exit Date]]), " ")</f>
        <v>2023</v>
      </c>
      <c r="G407">
        <f>IFERROR((Table1[[#This Row],[Exit Year]]-Table1[[#This Row],[Join Year]])+1," ")</f>
        <v>2</v>
      </c>
      <c r="H407" t="s">
        <v>46</v>
      </c>
      <c r="I407" t="s">
        <v>23</v>
      </c>
      <c r="J407" t="s">
        <v>12</v>
      </c>
      <c r="K407">
        <v>28</v>
      </c>
      <c r="L407" t="str">
        <f>IF(Table1[[#This Row],[Age]]&lt;30,"20-29",
IF(Table1[[#This Row],[Age]]&lt;40,"30-39",
IF(Table1[[#This Row],[Age]]&lt;50,"40-49",
IF(Table1[[#This Row],[Age]]&lt;60,"50-59","60+"))))</f>
        <v>20-29</v>
      </c>
      <c r="M407" t="s">
        <v>16</v>
      </c>
      <c r="N407" t="s">
        <v>17</v>
      </c>
    </row>
    <row r="408" spans="1:14" x14ac:dyDescent="0.35">
      <c r="A408">
        <v>507</v>
      </c>
      <c r="B408" t="s">
        <v>29</v>
      </c>
      <c r="C408" s="6">
        <v>45457</v>
      </c>
      <c r="D408">
        <f>YEAR(Table1[[#This Row],[Join Date]])</f>
        <v>2024</v>
      </c>
      <c r="E408" s="6" t="s">
        <v>48</v>
      </c>
      <c r="F408" t="str">
        <f>IFERROR(YEAR(Table1[[#This Row],[Exit Date]]), " ")</f>
        <v xml:space="preserve"> </v>
      </c>
      <c r="G408" t="str">
        <f>IFERROR((Table1[[#This Row],[Exit Year]]-Table1[[#This Row],[Join Year]])+1," ")</f>
        <v xml:space="preserve"> </v>
      </c>
      <c r="H408" t="s">
        <v>48</v>
      </c>
      <c r="I408" t="s">
        <v>11</v>
      </c>
      <c r="J408" t="s">
        <v>18</v>
      </c>
      <c r="K408">
        <v>40</v>
      </c>
      <c r="L408" t="str">
        <f>IF(Table1[[#This Row],[Age]]&lt;30,"20-29",
IF(Table1[[#This Row],[Age]]&lt;40,"30-39",
IF(Table1[[#This Row],[Age]]&lt;50,"40-49",
IF(Table1[[#This Row],[Age]]&lt;60,"50-59","60+"))))</f>
        <v>40-49</v>
      </c>
      <c r="M408" t="s">
        <v>20</v>
      </c>
      <c r="N408" t="s">
        <v>19</v>
      </c>
    </row>
    <row r="409" spans="1:14" x14ac:dyDescent="0.35">
      <c r="A409">
        <v>508</v>
      </c>
      <c r="B409" t="s">
        <v>10</v>
      </c>
      <c r="C409" s="6">
        <v>43304</v>
      </c>
      <c r="D409">
        <f>YEAR(Table1[[#This Row],[Join Date]])</f>
        <v>2018</v>
      </c>
      <c r="E409" s="6" t="s">
        <v>48</v>
      </c>
      <c r="F409" t="str">
        <f>IFERROR(YEAR(Table1[[#This Row],[Exit Date]]), " ")</f>
        <v xml:space="preserve"> </v>
      </c>
      <c r="G409" t="str">
        <f>IFERROR((Table1[[#This Row],[Exit Year]]-Table1[[#This Row],[Join Year]])+1," ")</f>
        <v xml:space="preserve"> </v>
      </c>
      <c r="H409" t="s">
        <v>48</v>
      </c>
      <c r="I409" t="s">
        <v>11</v>
      </c>
      <c r="J409" t="s">
        <v>18</v>
      </c>
      <c r="K409">
        <v>32</v>
      </c>
      <c r="L409" t="str">
        <f>IF(Table1[[#This Row],[Age]]&lt;30,"20-29",
IF(Table1[[#This Row],[Age]]&lt;40,"30-39",
IF(Table1[[#This Row],[Age]]&lt;50,"40-49",
IF(Table1[[#This Row],[Age]]&lt;60,"50-59","60+"))))</f>
        <v>30-39</v>
      </c>
      <c r="M409" t="s">
        <v>24</v>
      </c>
      <c r="N409" t="s">
        <v>21</v>
      </c>
    </row>
    <row r="410" spans="1:14" x14ac:dyDescent="0.35">
      <c r="A410">
        <v>509</v>
      </c>
      <c r="B410" t="s">
        <v>15</v>
      </c>
      <c r="C410" s="6">
        <v>44987</v>
      </c>
      <c r="D410">
        <f>YEAR(Table1[[#This Row],[Join Date]])</f>
        <v>2023</v>
      </c>
      <c r="E410" s="6" t="s">
        <v>48</v>
      </c>
      <c r="F410" t="str">
        <f>IFERROR(YEAR(Table1[[#This Row],[Exit Date]]), " ")</f>
        <v xml:space="preserve"> </v>
      </c>
      <c r="G410" t="str">
        <f>IFERROR((Table1[[#This Row],[Exit Year]]-Table1[[#This Row],[Join Year]])+1," ")</f>
        <v xml:space="preserve"> </v>
      </c>
      <c r="H410" t="s">
        <v>48</v>
      </c>
      <c r="I410" t="s">
        <v>11</v>
      </c>
      <c r="J410" t="s">
        <v>12</v>
      </c>
      <c r="K410">
        <v>50</v>
      </c>
      <c r="L410" t="str">
        <f>IF(Table1[[#This Row],[Age]]&lt;30,"20-29",
IF(Table1[[#This Row],[Age]]&lt;40,"30-39",
IF(Table1[[#This Row],[Age]]&lt;50,"40-49",
IF(Table1[[#This Row],[Age]]&lt;60,"50-59","60+"))))</f>
        <v>50-59</v>
      </c>
      <c r="M410" t="s">
        <v>13</v>
      </c>
      <c r="N410" t="s">
        <v>25</v>
      </c>
    </row>
    <row r="411" spans="1:14" x14ac:dyDescent="0.35">
      <c r="A411">
        <v>510</v>
      </c>
      <c r="B411" t="s">
        <v>34</v>
      </c>
      <c r="C411" s="6">
        <v>45326</v>
      </c>
      <c r="D411">
        <f>YEAR(Table1[[#This Row],[Join Date]])</f>
        <v>2024</v>
      </c>
      <c r="E411" s="6" t="s">
        <v>48</v>
      </c>
      <c r="F411" t="str">
        <f>IFERROR(YEAR(Table1[[#This Row],[Exit Date]]), " ")</f>
        <v xml:space="preserve"> </v>
      </c>
      <c r="G411" t="str">
        <f>IFERROR((Table1[[#This Row],[Exit Year]]-Table1[[#This Row],[Join Year]])+1," ")</f>
        <v xml:space="preserve"> </v>
      </c>
      <c r="H411" t="s">
        <v>48</v>
      </c>
      <c r="I411" t="s">
        <v>11</v>
      </c>
      <c r="J411" t="s">
        <v>12</v>
      </c>
      <c r="K411">
        <v>24</v>
      </c>
      <c r="L411" t="str">
        <f>IF(Table1[[#This Row],[Age]]&lt;30,"20-29",
IF(Table1[[#This Row],[Age]]&lt;40,"30-39",
IF(Table1[[#This Row],[Age]]&lt;50,"40-49",
IF(Table1[[#This Row],[Age]]&lt;60,"50-59","60+"))))</f>
        <v>20-29</v>
      </c>
      <c r="M411" t="s">
        <v>30</v>
      </c>
      <c r="N411" t="s">
        <v>35</v>
      </c>
    </row>
    <row r="412" spans="1:14" x14ac:dyDescent="0.35">
      <c r="A412">
        <v>511</v>
      </c>
      <c r="B412" t="s">
        <v>36</v>
      </c>
      <c r="C412" s="6">
        <v>45474</v>
      </c>
      <c r="D412">
        <f>YEAR(Table1[[#This Row],[Join Date]])</f>
        <v>2024</v>
      </c>
      <c r="E412" s="6" t="s">
        <v>48</v>
      </c>
      <c r="F412" t="str">
        <f>IFERROR(YEAR(Table1[[#This Row],[Exit Date]]), " ")</f>
        <v xml:space="preserve"> </v>
      </c>
      <c r="G412" t="str">
        <f>IFERROR((Table1[[#This Row],[Exit Year]]-Table1[[#This Row],[Join Year]])+1," ")</f>
        <v xml:space="preserve"> </v>
      </c>
      <c r="H412" t="s">
        <v>48</v>
      </c>
      <c r="I412" t="s">
        <v>11</v>
      </c>
      <c r="J412" t="s">
        <v>12</v>
      </c>
      <c r="K412">
        <v>36</v>
      </c>
      <c r="L412" t="str">
        <f>IF(Table1[[#This Row],[Age]]&lt;30,"20-29",
IF(Table1[[#This Row],[Age]]&lt;40,"30-39",
IF(Table1[[#This Row],[Age]]&lt;50,"40-49",
IF(Table1[[#This Row],[Age]]&lt;60,"50-59","60+"))))</f>
        <v>30-39</v>
      </c>
      <c r="M412" t="s">
        <v>13</v>
      </c>
      <c r="N412" t="s">
        <v>14</v>
      </c>
    </row>
    <row r="413" spans="1:14" x14ac:dyDescent="0.35">
      <c r="A413">
        <v>512</v>
      </c>
      <c r="B413" t="s">
        <v>29</v>
      </c>
      <c r="C413" s="6">
        <v>44227</v>
      </c>
      <c r="D413">
        <f>YEAR(Table1[[#This Row],[Join Date]])</f>
        <v>2021</v>
      </c>
      <c r="E413" s="6">
        <v>45322</v>
      </c>
      <c r="F413">
        <f>IFERROR(YEAR(Table1[[#This Row],[Exit Date]]), " ")</f>
        <v>2024</v>
      </c>
      <c r="G413">
        <f>IFERROR((Table1[[#This Row],[Exit Year]]-Table1[[#This Row],[Join Year]])+1," ")</f>
        <v>4</v>
      </c>
      <c r="H413" t="s">
        <v>46</v>
      </c>
      <c r="I413" t="s">
        <v>23</v>
      </c>
      <c r="J413" t="s">
        <v>18</v>
      </c>
      <c r="K413">
        <v>49</v>
      </c>
      <c r="L413" t="str">
        <f>IF(Table1[[#This Row],[Age]]&lt;30,"20-29",
IF(Table1[[#This Row],[Age]]&lt;40,"30-39",
IF(Table1[[#This Row],[Age]]&lt;50,"40-49",
IF(Table1[[#This Row],[Age]]&lt;60,"50-59","60+"))))</f>
        <v>40-49</v>
      </c>
      <c r="M413" t="s">
        <v>13</v>
      </c>
      <c r="N413" t="s">
        <v>19</v>
      </c>
    </row>
    <row r="414" spans="1:14" x14ac:dyDescent="0.35">
      <c r="A414">
        <v>513</v>
      </c>
      <c r="B414" t="s">
        <v>10</v>
      </c>
      <c r="C414" s="6">
        <v>43446</v>
      </c>
      <c r="D414">
        <f>YEAR(Table1[[#This Row],[Join Date]])</f>
        <v>2018</v>
      </c>
      <c r="E414" s="6">
        <v>43936</v>
      </c>
      <c r="F414">
        <f>IFERROR(YEAR(Table1[[#This Row],[Exit Date]]), " ")</f>
        <v>2020</v>
      </c>
      <c r="G414">
        <f>IFERROR((Table1[[#This Row],[Exit Year]]-Table1[[#This Row],[Join Year]])+1," ")</f>
        <v>3</v>
      </c>
      <c r="H414" t="s">
        <v>38</v>
      </c>
      <c r="I414" t="s">
        <v>23</v>
      </c>
      <c r="J414" t="s">
        <v>18</v>
      </c>
      <c r="K414">
        <v>43</v>
      </c>
      <c r="L414" t="str">
        <f>IF(Table1[[#This Row],[Age]]&lt;30,"20-29",
IF(Table1[[#This Row],[Age]]&lt;40,"30-39",
IF(Table1[[#This Row],[Age]]&lt;50,"40-49",
IF(Table1[[#This Row],[Age]]&lt;60,"50-59","60+"))))</f>
        <v>40-49</v>
      </c>
      <c r="M414" t="s">
        <v>16</v>
      </c>
      <c r="N414" t="s">
        <v>21</v>
      </c>
    </row>
    <row r="415" spans="1:14" x14ac:dyDescent="0.35">
      <c r="A415">
        <v>514</v>
      </c>
      <c r="B415" t="s">
        <v>15</v>
      </c>
      <c r="C415" s="6">
        <v>45314</v>
      </c>
      <c r="D415">
        <f>YEAR(Table1[[#This Row],[Join Date]])</f>
        <v>2024</v>
      </c>
      <c r="E415" s="6" t="s">
        <v>48</v>
      </c>
      <c r="F415" t="str">
        <f>IFERROR(YEAR(Table1[[#This Row],[Exit Date]]), " ")</f>
        <v xml:space="preserve"> </v>
      </c>
      <c r="G415" t="str">
        <f>IFERROR((Table1[[#This Row],[Exit Year]]-Table1[[#This Row],[Join Year]])+1," ")</f>
        <v xml:space="preserve"> </v>
      </c>
      <c r="H415" t="s">
        <v>48</v>
      </c>
      <c r="I415" t="s">
        <v>11</v>
      </c>
      <c r="J415" t="s">
        <v>12</v>
      </c>
      <c r="K415">
        <v>40</v>
      </c>
      <c r="L415" t="str">
        <f>IF(Table1[[#This Row],[Age]]&lt;30,"20-29",
IF(Table1[[#This Row],[Age]]&lt;40,"30-39",
IF(Table1[[#This Row],[Age]]&lt;50,"40-49",
IF(Table1[[#This Row],[Age]]&lt;60,"50-59","60+"))))</f>
        <v>40-49</v>
      </c>
      <c r="M415" t="s">
        <v>13</v>
      </c>
      <c r="N415" t="s">
        <v>37</v>
      </c>
    </row>
    <row r="416" spans="1:14" x14ac:dyDescent="0.35">
      <c r="A416">
        <v>515</v>
      </c>
      <c r="B416" t="s">
        <v>15</v>
      </c>
      <c r="C416" s="6">
        <v>43123</v>
      </c>
      <c r="D416">
        <f>YEAR(Table1[[#This Row],[Join Date]])</f>
        <v>2018</v>
      </c>
      <c r="E416" s="6" t="s">
        <v>48</v>
      </c>
      <c r="F416" t="str">
        <f>IFERROR(YEAR(Table1[[#This Row],[Exit Date]]), " ")</f>
        <v xml:space="preserve"> </v>
      </c>
      <c r="G416" t="str">
        <f>IFERROR((Table1[[#This Row],[Exit Year]]-Table1[[#This Row],[Join Year]])+1," ")</f>
        <v xml:space="preserve"> </v>
      </c>
      <c r="H416" t="s">
        <v>48</v>
      </c>
      <c r="I416" t="s">
        <v>11</v>
      </c>
      <c r="J416" t="s">
        <v>18</v>
      </c>
      <c r="K416">
        <v>42</v>
      </c>
      <c r="L416" t="str">
        <f>IF(Table1[[#This Row],[Age]]&lt;30,"20-29",
IF(Table1[[#This Row],[Age]]&lt;40,"30-39",
IF(Table1[[#This Row],[Age]]&lt;50,"40-49",
IF(Table1[[#This Row],[Age]]&lt;60,"50-59","60+"))))</f>
        <v>40-49</v>
      </c>
      <c r="M416" t="s">
        <v>20</v>
      </c>
      <c r="N416" t="s">
        <v>25</v>
      </c>
    </row>
    <row r="417" spans="1:14" x14ac:dyDescent="0.35">
      <c r="A417">
        <v>516</v>
      </c>
      <c r="B417" t="s">
        <v>10</v>
      </c>
      <c r="C417" s="6">
        <v>43717</v>
      </c>
      <c r="D417">
        <f>YEAR(Table1[[#This Row],[Join Date]])</f>
        <v>2019</v>
      </c>
      <c r="E417" s="6">
        <v>44677</v>
      </c>
      <c r="F417">
        <f>IFERROR(YEAR(Table1[[#This Row],[Exit Date]]), " ")</f>
        <v>2022</v>
      </c>
      <c r="G417">
        <f>IFERROR((Table1[[#This Row],[Exit Year]]-Table1[[#This Row],[Join Year]])+1," ")</f>
        <v>4</v>
      </c>
      <c r="H417" t="s">
        <v>40</v>
      </c>
      <c r="I417" t="s">
        <v>23</v>
      </c>
      <c r="J417" t="s">
        <v>12</v>
      </c>
      <c r="K417">
        <v>35</v>
      </c>
      <c r="L417" t="str">
        <f>IF(Table1[[#This Row],[Age]]&lt;30,"20-29",
IF(Table1[[#This Row],[Age]]&lt;40,"30-39",
IF(Table1[[#This Row],[Age]]&lt;50,"40-49",
IF(Table1[[#This Row],[Age]]&lt;60,"50-59","60+"))))</f>
        <v>30-39</v>
      </c>
      <c r="M417" t="s">
        <v>44</v>
      </c>
      <c r="N417" t="s">
        <v>35</v>
      </c>
    </row>
    <row r="418" spans="1:14" x14ac:dyDescent="0.35">
      <c r="A418">
        <v>517</v>
      </c>
      <c r="B418" t="s">
        <v>29</v>
      </c>
      <c r="C418" s="6">
        <v>43534</v>
      </c>
      <c r="D418">
        <f>YEAR(Table1[[#This Row],[Join Date]])</f>
        <v>2019</v>
      </c>
      <c r="E418" s="6">
        <v>44117</v>
      </c>
      <c r="F418">
        <f>IFERROR(YEAR(Table1[[#This Row],[Exit Date]]), " ")</f>
        <v>2020</v>
      </c>
      <c r="G418">
        <f>IFERROR((Table1[[#This Row],[Exit Year]]-Table1[[#This Row],[Join Year]])+1," ")</f>
        <v>2</v>
      </c>
      <c r="H418" t="s">
        <v>38</v>
      </c>
      <c r="I418" t="s">
        <v>23</v>
      </c>
      <c r="J418" t="s">
        <v>12</v>
      </c>
      <c r="K418">
        <v>31</v>
      </c>
      <c r="L418" t="str">
        <f>IF(Table1[[#This Row],[Age]]&lt;30,"20-29",
IF(Table1[[#This Row],[Age]]&lt;40,"30-39",
IF(Table1[[#This Row],[Age]]&lt;50,"40-49",
IF(Table1[[#This Row],[Age]]&lt;60,"50-59","60+"))))</f>
        <v>30-39</v>
      </c>
      <c r="M418" t="s">
        <v>13</v>
      </c>
      <c r="N418" t="s">
        <v>25</v>
      </c>
    </row>
    <row r="419" spans="1:14" x14ac:dyDescent="0.35">
      <c r="A419">
        <v>518</v>
      </c>
      <c r="B419" t="s">
        <v>36</v>
      </c>
      <c r="C419" s="6">
        <v>44619</v>
      </c>
      <c r="D419">
        <f>YEAR(Table1[[#This Row],[Join Date]])</f>
        <v>2022</v>
      </c>
      <c r="E419" s="6" t="s">
        <v>48</v>
      </c>
      <c r="F419" t="str">
        <f>IFERROR(YEAR(Table1[[#This Row],[Exit Date]]), " ")</f>
        <v xml:space="preserve"> </v>
      </c>
      <c r="G419" t="str">
        <f>IFERROR((Table1[[#This Row],[Exit Year]]-Table1[[#This Row],[Join Year]])+1," ")</f>
        <v xml:space="preserve"> </v>
      </c>
      <c r="H419" t="s">
        <v>48</v>
      </c>
      <c r="I419" t="s">
        <v>11</v>
      </c>
      <c r="J419" t="s">
        <v>12</v>
      </c>
      <c r="K419">
        <v>51</v>
      </c>
      <c r="L419" t="str">
        <f>IF(Table1[[#This Row],[Age]]&lt;30,"20-29",
IF(Table1[[#This Row],[Age]]&lt;40,"30-39",
IF(Table1[[#This Row],[Age]]&lt;50,"40-49",
IF(Table1[[#This Row],[Age]]&lt;60,"50-59","60+"))))</f>
        <v>50-59</v>
      </c>
      <c r="M419" t="s">
        <v>16</v>
      </c>
      <c r="N419" t="s">
        <v>35</v>
      </c>
    </row>
    <row r="420" spans="1:14" x14ac:dyDescent="0.35">
      <c r="A420">
        <v>519</v>
      </c>
      <c r="B420" t="s">
        <v>10</v>
      </c>
      <c r="C420" s="6">
        <v>45485</v>
      </c>
      <c r="D420">
        <f>YEAR(Table1[[#This Row],[Join Date]])</f>
        <v>2024</v>
      </c>
      <c r="E420" s="6" t="s">
        <v>48</v>
      </c>
      <c r="F420" t="str">
        <f>IFERROR(YEAR(Table1[[#This Row],[Exit Date]]), " ")</f>
        <v xml:space="preserve"> </v>
      </c>
      <c r="G420" t="str">
        <f>IFERROR((Table1[[#This Row],[Exit Year]]-Table1[[#This Row],[Join Year]])+1," ")</f>
        <v xml:space="preserve"> </v>
      </c>
      <c r="H420" t="s">
        <v>48</v>
      </c>
      <c r="I420" t="s">
        <v>11</v>
      </c>
      <c r="J420" t="s">
        <v>18</v>
      </c>
      <c r="K420">
        <v>48</v>
      </c>
      <c r="L420" t="str">
        <f>IF(Table1[[#This Row],[Age]]&lt;30,"20-29",
IF(Table1[[#This Row],[Age]]&lt;40,"30-39",
IF(Table1[[#This Row],[Age]]&lt;50,"40-49",
IF(Table1[[#This Row],[Age]]&lt;60,"50-59","60+"))))</f>
        <v>40-49</v>
      </c>
      <c r="M420" t="s">
        <v>16</v>
      </c>
      <c r="N420" t="s">
        <v>14</v>
      </c>
    </row>
    <row r="421" spans="1:14" x14ac:dyDescent="0.35">
      <c r="A421">
        <v>520</v>
      </c>
      <c r="B421" t="s">
        <v>29</v>
      </c>
      <c r="C421" s="6">
        <v>43588</v>
      </c>
      <c r="D421">
        <f>YEAR(Table1[[#This Row],[Join Date]])</f>
        <v>2019</v>
      </c>
      <c r="E421" s="6">
        <v>44896</v>
      </c>
      <c r="F421">
        <f>IFERROR(YEAR(Table1[[#This Row],[Exit Date]]), " ")</f>
        <v>2022</v>
      </c>
      <c r="G421">
        <f>IFERROR((Table1[[#This Row],[Exit Year]]-Table1[[#This Row],[Join Year]])+1," ")</f>
        <v>4</v>
      </c>
      <c r="H421" t="s">
        <v>41</v>
      </c>
      <c r="I421" t="s">
        <v>23</v>
      </c>
      <c r="J421" t="s">
        <v>12</v>
      </c>
      <c r="K421">
        <v>41</v>
      </c>
      <c r="L421" t="str">
        <f>IF(Table1[[#This Row],[Age]]&lt;30,"20-29",
IF(Table1[[#This Row],[Age]]&lt;40,"30-39",
IF(Table1[[#This Row],[Age]]&lt;50,"40-49",
IF(Table1[[#This Row],[Age]]&lt;60,"50-59","60+"))))</f>
        <v>40-49</v>
      </c>
      <c r="M421" t="s">
        <v>20</v>
      </c>
      <c r="N421" t="s">
        <v>19</v>
      </c>
    </row>
    <row r="422" spans="1:14" x14ac:dyDescent="0.35">
      <c r="A422">
        <v>521</v>
      </c>
      <c r="B422" t="s">
        <v>36</v>
      </c>
      <c r="C422" s="6">
        <v>44250</v>
      </c>
      <c r="D422">
        <f>YEAR(Table1[[#This Row],[Join Date]])</f>
        <v>2021</v>
      </c>
      <c r="E422" s="6">
        <v>45392</v>
      </c>
      <c r="F422">
        <f>IFERROR(YEAR(Table1[[#This Row],[Exit Date]]), " ")</f>
        <v>2024</v>
      </c>
      <c r="G422">
        <f>IFERROR((Table1[[#This Row],[Exit Year]]-Table1[[#This Row],[Join Year]])+1," ")</f>
        <v>4</v>
      </c>
      <c r="H422" t="s">
        <v>46</v>
      </c>
      <c r="I422" t="s">
        <v>23</v>
      </c>
      <c r="J422" t="s">
        <v>18</v>
      </c>
      <c r="K422">
        <v>35</v>
      </c>
      <c r="L422" t="str">
        <f>IF(Table1[[#This Row],[Age]]&lt;30,"20-29",
IF(Table1[[#This Row],[Age]]&lt;40,"30-39",
IF(Table1[[#This Row],[Age]]&lt;50,"40-49",
IF(Table1[[#This Row],[Age]]&lt;60,"50-59","60+"))))</f>
        <v>30-39</v>
      </c>
      <c r="M422" t="s">
        <v>24</v>
      </c>
      <c r="N422" t="s">
        <v>21</v>
      </c>
    </row>
    <row r="423" spans="1:14" x14ac:dyDescent="0.35">
      <c r="A423">
        <v>522</v>
      </c>
      <c r="B423" t="s">
        <v>26</v>
      </c>
      <c r="C423" s="6">
        <v>45244</v>
      </c>
      <c r="D423">
        <f>YEAR(Table1[[#This Row],[Join Date]])</f>
        <v>2023</v>
      </c>
      <c r="E423" s="6">
        <v>45446</v>
      </c>
      <c r="F423">
        <f>IFERROR(YEAR(Table1[[#This Row],[Exit Date]]), " ")</f>
        <v>2024</v>
      </c>
      <c r="G423">
        <f>IFERROR((Table1[[#This Row],[Exit Year]]-Table1[[#This Row],[Join Year]])+1," ")</f>
        <v>2</v>
      </c>
      <c r="H423" t="s">
        <v>40</v>
      </c>
      <c r="I423" t="s">
        <v>23</v>
      </c>
      <c r="J423" t="s">
        <v>12</v>
      </c>
      <c r="K423">
        <v>24</v>
      </c>
      <c r="L423" t="str">
        <f>IF(Table1[[#This Row],[Age]]&lt;30,"20-29",
IF(Table1[[#This Row],[Age]]&lt;40,"30-39",
IF(Table1[[#This Row],[Age]]&lt;50,"40-49",
IF(Table1[[#This Row],[Age]]&lt;60,"50-59","60+"))))</f>
        <v>20-29</v>
      </c>
      <c r="M423" t="s">
        <v>13</v>
      </c>
      <c r="N423" t="s">
        <v>37</v>
      </c>
    </row>
    <row r="424" spans="1:14" x14ac:dyDescent="0.35">
      <c r="A424">
        <v>523</v>
      </c>
      <c r="B424" t="s">
        <v>15</v>
      </c>
      <c r="C424" s="6">
        <v>45256</v>
      </c>
      <c r="D424">
        <f>YEAR(Table1[[#This Row],[Join Date]])</f>
        <v>2023</v>
      </c>
      <c r="E424" s="6" t="s">
        <v>48</v>
      </c>
      <c r="F424" t="str">
        <f>IFERROR(YEAR(Table1[[#This Row],[Exit Date]]), " ")</f>
        <v xml:space="preserve"> </v>
      </c>
      <c r="G424" t="str">
        <f>IFERROR((Table1[[#This Row],[Exit Year]]-Table1[[#This Row],[Join Year]])+1," ")</f>
        <v xml:space="preserve"> </v>
      </c>
      <c r="H424" t="s">
        <v>48</v>
      </c>
      <c r="I424" t="s">
        <v>11</v>
      </c>
      <c r="J424" t="s">
        <v>18</v>
      </c>
      <c r="K424">
        <v>41</v>
      </c>
      <c r="L424" t="str">
        <f>IF(Table1[[#This Row],[Age]]&lt;30,"20-29",
IF(Table1[[#This Row],[Age]]&lt;40,"30-39",
IF(Table1[[#This Row],[Age]]&lt;50,"40-49",
IF(Table1[[#This Row],[Age]]&lt;60,"50-59","60+"))))</f>
        <v>40-49</v>
      </c>
      <c r="M424" t="s">
        <v>30</v>
      </c>
      <c r="N424" t="s">
        <v>25</v>
      </c>
    </row>
    <row r="425" spans="1:14" x14ac:dyDescent="0.35">
      <c r="A425">
        <v>524</v>
      </c>
      <c r="B425" t="s">
        <v>26</v>
      </c>
      <c r="C425" s="6">
        <v>45465</v>
      </c>
      <c r="D425">
        <f>YEAR(Table1[[#This Row],[Join Date]])</f>
        <v>2024</v>
      </c>
      <c r="E425" s="6" t="s">
        <v>48</v>
      </c>
      <c r="F425" t="str">
        <f>IFERROR(YEAR(Table1[[#This Row],[Exit Date]]), " ")</f>
        <v xml:space="preserve"> </v>
      </c>
      <c r="G425" t="str">
        <f>IFERROR((Table1[[#This Row],[Exit Year]]-Table1[[#This Row],[Join Year]])+1," ")</f>
        <v xml:space="preserve"> </v>
      </c>
      <c r="H425" t="s">
        <v>48</v>
      </c>
      <c r="I425" t="s">
        <v>11</v>
      </c>
      <c r="J425" t="s">
        <v>18</v>
      </c>
      <c r="K425">
        <v>40</v>
      </c>
      <c r="L425" t="str">
        <f>IF(Table1[[#This Row],[Age]]&lt;30,"20-29",
IF(Table1[[#This Row],[Age]]&lt;40,"30-39",
IF(Table1[[#This Row],[Age]]&lt;50,"40-49",
IF(Table1[[#This Row],[Age]]&lt;60,"50-59","60+"))))</f>
        <v>40-49</v>
      </c>
      <c r="M425" t="s">
        <v>13</v>
      </c>
      <c r="N425" t="s">
        <v>35</v>
      </c>
    </row>
    <row r="426" spans="1:14" x14ac:dyDescent="0.35">
      <c r="A426">
        <v>525</v>
      </c>
      <c r="B426" t="s">
        <v>10</v>
      </c>
      <c r="C426" s="6">
        <v>43597</v>
      </c>
      <c r="D426">
        <f>YEAR(Table1[[#This Row],[Join Date]])</f>
        <v>2019</v>
      </c>
      <c r="E426" s="6" t="s">
        <v>48</v>
      </c>
      <c r="F426" t="str">
        <f>IFERROR(YEAR(Table1[[#This Row],[Exit Date]]), " ")</f>
        <v xml:space="preserve"> </v>
      </c>
      <c r="G426" t="str">
        <f>IFERROR((Table1[[#This Row],[Exit Year]]-Table1[[#This Row],[Join Year]])+1," ")</f>
        <v xml:space="preserve"> </v>
      </c>
      <c r="H426" t="s">
        <v>48</v>
      </c>
      <c r="I426" t="s">
        <v>11</v>
      </c>
      <c r="J426" t="s">
        <v>12</v>
      </c>
      <c r="K426">
        <v>48</v>
      </c>
      <c r="L426" t="str">
        <f>IF(Table1[[#This Row],[Age]]&lt;30,"20-29",
IF(Table1[[#This Row],[Age]]&lt;40,"30-39",
IF(Table1[[#This Row],[Age]]&lt;50,"40-49",
IF(Table1[[#This Row],[Age]]&lt;60,"50-59","60+"))))</f>
        <v>40-49</v>
      </c>
      <c r="M426" t="s">
        <v>13</v>
      </c>
      <c r="N426" t="s">
        <v>14</v>
      </c>
    </row>
    <row r="427" spans="1:14" x14ac:dyDescent="0.35">
      <c r="A427">
        <v>526</v>
      </c>
      <c r="B427" t="s">
        <v>15</v>
      </c>
      <c r="C427" s="6">
        <v>44866</v>
      </c>
      <c r="D427">
        <f>YEAR(Table1[[#This Row],[Join Date]])</f>
        <v>2022</v>
      </c>
      <c r="E427" s="6" t="s">
        <v>48</v>
      </c>
      <c r="F427" t="str">
        <f>IFERROR(YEAR(Table1[[#This Row],[Exit Date]]), " ")</f>
        <v xml:space="preserve"> </v>
      </c>
      <c r="G427" t="str">
        <f>IFERROR((Table1[[#This Row],[Exit Year]]-Table1[[#This Row],[Join Year]])+1," ")</f>
        <v xml:space="preserve"> </v>
      </c>
      <c r="H427" t="s">
        <v>48</v>
      </c>
      <c r="I427" t="s">
        <v>11</v>
      </c>
      <c r="J427" t="s">
        <v>18</v>
      </c>
      <c r="K427">
        <v>52</v>
      </c>
      <c r="L427" t="str">
        <f>IF(Table1[[#This Row],[Age]]&lt;30,"20-29",
IF(Table1[[#This Row],[Age]]&lt;40,"30-39",
IF(Table1[[#This Row],[Age]]&lt;50,"40-49",
IF(Table1[[#This Row],[Age]]&lt;60,"50-59","60+"))))</f>
        <v>50-59</v>
      </c>
      <c r="M427" t="s">
        <v>16</v>
      </c>
      <c r="N427" t="s">
        <v>17</v>
      </c>
    </row>
    <row r="428" spans="1:14" x14ac:dyDescent="0.35">
      <c r="A428">
        <v>527</v>
      </c>
      <c r="B428" t="s">
        <v>34</v>
      </c>
      <c r="C428" s="6">
        <v>44006</v>
      </c>
      <c r="D428">
        <f>YEAR(Table1[[#This Row],[Join Date]])</f>
        <v>2020</v>
      </c>
      <c r="E428" s="6">
        <v>44463</v>
      </c>
      <c r="F428">
        <f>IFERROR(YEAR(Table1[[#This Row],[Exit Date]]), " ")</f>
        <v>2021</v>
      </c>
      <c r="G428">
        <f>IFERROR((Table1[[#This Row],[Exit Year]]-Table1[[#This Row],[Join Year]])+1," ")</f>
        <v>2</v>
      </c>
      <c r="H428" t="s">
        <v>43</v>
      </c>
      <c r="I428" t="s">
        <v>23</v>
      </c>
      <c r="J428" t="s">
        <v>18</v>
      </c>
      <c r="K428">
        <v>33</v>
      </c>
      <c r="L428" t="str">
        <f>IF(Table1[[#This Row],[Age]]&lt;30,"20-29",
IF(Table1[[#This Row],[Age]]&lt;40,"30-39",
IF(Table1[[#This Row],[Age]]&lt;50,"40-49",
IF(Table1[[#This Row],[Age]]&lt;60,"50-59","60+"))))</f>
        <v>30-39</v>
      </c>
      <c r="M428" t="s">
        <v>13</v>
      </c>
      <c r="N428" t="s">
        <v>19</v>
      </c>
    </row>
    <row r="429" spans="1:14" x14ac:dyDescent="0.35">
      <c r="A429">
        <v>528</v>
      </c>
      <c r="B429" t="s">
        <v>26</v>
      </c>
      <c r="C429" s="6">
        <v>45095</v>
      </c>
      <c r="D429">
        <f>YEAR(Table1[[#This Row],[Join Date]])</f>
        <v>2023</v>
      </c>
      <c r="E429" s="6" t="s">
        <v>48</v>
      </c>
      <c r="F429" t="str">
        <f>IFERROR(YEAR(Table1[[#This Row],[Exit Date]]), " ")</f>
        <v xml:space="preserve"> </v>
      </c>
      <c r="G429" t="str">
        <f>IFERROR((Table1[[#This Row],[Exit Year]]-Table1[[#This Row],[Join Year]])+1," ")</f>
        <v xml:space="preserve"> </v>
      </c>
      <c r="H429" t="s">
        <v>48</v>
      </c>
      <c r="I429" t="s">
        <v>11</v>
      </c>
      <c r="J429" t="s">
        <v>12</v>
      </c>
      <c r="K429">
        <v>51</v>
      </c>
      <c r="L429" t="str">
        <f>IF(Table1[[#This Row],[Age]]&lt;30,"20-29",
IF(Table1[[#This Row],[Age]]&lt;40,"30-39",
IF(Table1[[#This Row],[Age]]&lt;50,"40-49",
IF(Table1[[#This Row],[Age]]&lt;60,"50-59","60+"))))</f>
        <v>50-59</v>
      </c>
      <c r="M429" t="s">
        <v>20</v>
      </c>
      <c r="N429" t="s">
        <v>21</v>
      </c>
    </row>
    <row r="430" spans="1:14" x14ac:dyDescent="0.35">
      <c r="A430">
        <v>529</v>
      </c>
      <c r="B430" t="s">
        <v>10</v>
      </c>
      <c r="C430" s="6">
        <v>44360</v>
      </c>
      <c r="D430">
        <f>YEAR(Table1[[#This Row],[Join Date]])</f>
        <v>2021</v>
      </c>
      <c r="E430" s="6">
        <v>44755</v>
      </c>
      <c r="F430">
        <f>IFERROR(YEAR(Table1[[#This Row],[Exit Date]]), " ")</f>
        <v>2022</v>
      </c>
      <c r="G430">
        <f>IFERROR((Table1[[#This Row],[Exit Year]]-Table1[[#This Row],[Join Year]])+1," ")</f>
        <v>2</v>
      </c>
      <c r="H430" t="s">
        <v>38</v>
      </c>
      <c r="I430" t="s">
        <v>23</v>
      </c>
      <c r="J430" t="s">
        <v>18</v>
      </c>
      <c r="K430">
        <v>46</v>
      </c>
      <c r="L430" t="str">
        <f>IF(Table1[[#This Row],[Age]]&lt;30,"20-29",
IF(Table1[[#This Row],[Age]]&lt;40,"30-39",
IF(Table1[[#This Row],[Age]]&lt;50,"40-49",
IF(Table1[[#This Row],[Age]]&lt;60,"50-59","60+"))))</f>
        <v>40-49</v>
      </c>
      <c r="M430" t="s">
        <v>39</v>
      </c>
      <c r="N430" t="s">
        <v>25</v>
      </c>
    </row>
    <row r="431" spans="1:14" x14ac:dyDescent="0.35">
      <c r="A431">
        <v>530</v>
      </c>
      <c r="B431" t="s">
        <v>26</v>
      </c>
      <c r="C431" s="6">
        <v>43419</v>
      </c>
      <c r="D431">
        <f>YEAR(Table1[[#This Row],[Join Date]])</f>
        <v>2018</v>
      </c>
      <c r="E431" s="6">
        <v>44303</v>
      </c>
      <c r="F431">
        <f>IFERROR(YEAR(Table1[[#This Row],[Exit Date]]), " ")</f>
        <v>2021</v>
      </c>
      <c r="G431">
        <f>IFERROR((Table1[[#This Row],[Exit Year]]-Table1[[#This Row],[Join Year]])+1," ")</f>
        <v>4</v>
      </c>
      <c r="H431" t="s">
        <v>22</v>
      </c>
      <c r="I431" t="s">
        <v>23</v>
      </c>
      <c r="J431" t="s">
        <v>18</v>
      </c>
      <c r="K431">
        <v>53</v>
      </c>
      <c r="L431" t="str">
        <f>IF(Table1[[#This Row],[Age]]&lt;30,"20-29",
IF(Table1[[#This Row],[Age]]&lt;40,"30-39",
IF(Table1[[#This Row],[Age]]&lt;50,"40-49",
IF(Table1[[#This Row],[Age]]&lt;60,"50-59","60+"))))</f>
        <v>50-59</v>
      </c>
      <c r="M431" t="s">
        <v>13</v>
      </c>
      <c r="N431" t="s">
        <v>28</v>
      </c>
    </row>
    <row r="432" spans="1:14" x14ac:dyDescent="0.35">
      <c r="A432">
        <v>531</v>
      </c>
      <c r="B432" t="s">
        <v>36</v>
      </c>
      <c r="C432" s="6">
        <v>44249</v>
      </c>
      <c r="D432">
        <f>YEAR(Table1[[#This Row],[Join Date]])</f>
        <v>2021</v>
      </c>
      <c r="E432" s="6" t="s">
        <v>48</v>
      </c>
      <c r="F432" t="str">
        <f>IFERROR(YEAR(Table1[[#This Row],[Exit Date]]), " ")</f>
        <v xml:space="preserve"> </v>
      </c>
      <c r="G432" t="str">
        <f>IFERROR((Table1[[#This Row],[Exit Year]]-Table1[[#This Row],[Join Year]])+1," ")</f>
        <v xml:space="preserve"> </v>
      </c>
      <c r="H432" t="s">
        <v>48</v>
      </c>
      <c r="I432" t="s">
        <v>11</v>
      </c>
      <c r="J432" t="s">
        <v>12</v>
      </c>
      <c r="K432">
        <v>35</v>
      </c>
      <c r="L432" t="str">
        <f>IF(Table1[[#This Row],[Age]]&lt;30,"20-29",
IF(Table1[[#This Row],[Age]]&lt;40,"30-39",
IF(Table1[[#This Row],[Age]]&lt;50,"40-49",
IF(Table1[[#This Row],[Age]]&lt;60,"50-59","60+"))))</f>
        <v>30-39</v>
      </c>
      <c r="M432" t="s">
        <v>16</v>
      </c>
      <c r="N432" t="s">
        <v>31</v>
      </c>
    </row>
    <row r="433" spans="1:14" x14ac:dyDescent="0.35">
      <c r="A433">
        <v>532</v>
      </c>
      <c r="B433" t="s">
        <v>10</v>
      </c>
      <c r="C433" s="6">
        <v>45533</v>
      </c>
      <c r="D433">
        <f>YEAR(Table1[[#This Row],[Join Date]])</f>
        <v>2024</v>
      </c>
      <c r="E433" s="6" t="s">
        <v>48</v>
      </c>
      <c r="F433" t="str">
        <f>IFERROR(YEAR(Table1[[#This Row],[Exit Date]]), " ")</f>
        <v xml:space="preserve"> </v>
      </c>
      <c r="G433" t="str">
        <f>IFERROR((Table1[[#This Row],[Exit Year]]-Table1[[#This Row],[Join Year]])+1," ")</f>
        <v xml:space="preserve"> </v>
      </c>
      <c r="H433" t="s">
        <v>48</v>
      </c>
      <c r="I433" t="s">
        <v>11</v>
      </c>
      <c r="J433" t="s">
        <v>18</v>
      </c>
      <c r="K433">
        <v>32</v>
      </c>
      <c r="L433" t="str">
        <f>IF(Table1[[#This Row],[Age]]&lt;30,"20-29",
IF(Table1[[#This Row],[Age]]&lt;40,"30-39",
IF(Table1[[#This Row],[Age]]&lt;50,"40-49",
IF(Table1[[#This Row],[Age]]&lt;60,"50-59","60+"))))</f>
        <v>30-39</v>
      </c>
      <c r="M433" t="s">
        <v>16</v>
      </c>
      <c r="N433" t="s">
        <v>32</v>
      </c>
    </row>
    <row r="434" spans="1:14" x14ac:dyDescent="0.35">
      <c r="A434">
        <v>533</v>
      </c>
      <c r="B434" t="s">
        <v>36</v>
      </c>
      <c r="C434" s="6">
        <v>44377</v>
      </c>
      <c r="D434">
        <f>YEAR(Table1[[#This Row],[Join Date]])</f>
        <v>2021</v>
      </c>
      <c r="E434" s="6" t="s">
        <v>48</v>
      </c>
      <c r="F434" t="str">
        <f>IFERROR(YEAR(Table1[[#This Row],[Exit Date]]), " ")</f>
        <v xml:space="preserve"> </v>
      </c>
      <c r="G434" t="str">
        <f>IFERROR((Table1[[#This Row],[Exit Year]]-Table1[[#This Row],[Join Year]])+1," ")</f>
        <v xml:space="preserve"> </v>
      </c>
      <c r="H434" t="s">
        <v>48</v>
      </c>
      <c r="I434" t="s">
        <v>11</v>
      </c>
      <c r="J434" t="s">
        <v>12</v>
      </c>
      <c r="K434">
        <v>46</v>
      </c>
      <c r="L434" t="str">
        <f>IF(Table1[[#This Row],[Age]]&lt;30,"20-29",
IF(Table1[[#This Row],[Age]]&lt;40,"30-39",
IF(Table1[[#This Row],[Age]]&lt;50,"40-49",
IF(Table1[[#This Row],[Age]]&lt;60,"50-59","60+"))))</f>
        <v>40-49</v>
      </c>
      <c r="M434" t="s">
        <v>20</v>
      </c>
      <c r="N434" t="s">
        <v>33</v>
      </c>
    </row>
    <row r="435" spans="1:14" x14ac:dyDescent="0.35">
      <c r="A435">
        <v>534</v>
      </c>
      <c r="B435" t="s">
        <v>10</v>
      </c>
      <c r="C435" s="6">
        <v>44088</v>
      </c>
      <c r="D435">
        <f>YEAR(Table1[[#This Row],[Join Date]])</f>
        <v>2020</v>
      </c>
      <c r="E435" s="6" t="s">
        <v>48</v>
      </c>
      <c r="F435" t="str">
        <f>IFERROR(YEAR(Table1[[#This Row],[Exit Date]]), " ")</f>
        <v xml:space="preserve"> </v>
      </c>
      <c r="G435" t="str">
        <f>IFERROR((Table1[[#This Row],[Exit Year]]-Table1[[#This Row],[Join Year]])+1," ")</f>
        <v xml:space="preserve"> </v>
      </c>
      <c r="H435" t="s">
        <v>48</v>
      </c>
      <c r="I435" t="s">
        <v>11</v>
      </c>
      <c r="J435" t="s">
        <v>12</v>
      </c>
      <c r="K435">
        <v>50</v>
      </c>
      <c r="L435" t="str">
        <f>IF(Table1[[#This Row],[Age]]&lt;30,"20-29",
IF(Table1[[#This Row],[Age]]&lt;40,"30-39",
IF(Table1[[#This Row],[Age]]&lt;50,"40-49",
IF(Table1[[#This Row],[Age]]&lt;60,"50-59","60+"))))</f>
        <v>50-59</v>
      </c>
      <c r="M435" t="s">
        <v>24</v>
      </c>
      <c r="N435" t="s">
        <v>35</v>
      </c>
    </row>
    <row r="436" spans="1:14" x14ac:dyDescent="0.35">
      <c r="A436">
        <v>535</v>
      </c>
      <c r="B436" t="s">
        <v>26</v>
      </c>
      <c r="C436" s="6">
        <v>43373</v>
      </c>
      <c r="D436">
        <f>YEAR(Table1[[#This Row],[Join Date]])</f>
        <v>2018</v>
      </c>
      <c r="E436" s="6">
        <v>44825</v>
      </c>
      <c r="F436">
        <f>IFERROR(YEAR(Table1[[#This Row],[Exit Date]]), " ")</f>
        <v>2022</v>
      </c>
      <c r="G436">
        <f>IFERROR((Table1[[#This Row],[Exit Year]]-Table1[[#This Row],[Join Year]])+1," ")</f>
        <v>5</v>
      </c>
      <c r="H436" t="s">
        <v>27</v>
      </c>
      <c r="I436" t="s">
        <v>23</v>
      </c>
      <c r="J436" t="s">
        <v>12</v>
      </c>
      <c r="K436">
        <v>64</v>
      </c>
      <c r="L436" t="str">
        <f>IF(Table1[[#This Row],[Age]]&lt;30,"20-29",
IF(Table1[[#This Row],[Age]]&lt;40,"30-39",
IF(Table1[[#This Row],[Age]]&lt;50,"40-49",
IF(Table1[[#This Row],[Age]]&lt;60,"50-59","60+"))))</f>
        <v>60+</v>
      </c>
      <c r="M436" t="s">
        <v>13</v>
      </c>
      <c r="N436" t="s">
        <v>37</v>
      </c>
    </row>
    <row r="437" spans="1:14" x14ac:dyDescent="0.35">
      <c r="A437">
        <v>536</v>
      </c>
      <c r="B437" t="s">
        <v>26</v>
      </c>
      <c r="C437" s="6">
        <v>43314</v>
      </c>
      <c r="D437">
        <f>YEAR(Table1[[#This Row],[Join Date]])</f>
        <v>2018</v>
      </c>
      <c r="E437" s="6" t="s">
        <v>48</v>
      </c>
      <c r="F437" t="str">
        <f>IFERROR(YEAR(Table1[[#This Row],[Exit Date]]), " ")</f>
        <v xml:space="preserve"> </v>
      </c>
      <c r="G437" t="str">
        <f>IFERROR((Table1[[#This Row],[Exit Year]]-Table1[[#This Row],[Join Year]])+1," ")</f>
        <v xml:space="preserve"> </v>
      </c>
      <c r="H437" t="s">
        <v>48</v>
      </c>
      <c r="I437" t="s">
        <v>11</v>
      </c>
      <c r="J437" t="s">
        <v>18</v>
      </c>
      <c r="K437">
        <v>29</v>
      </c>
      <c r="L437" t="str">
        <f>IF(Table1[[#This Row],[Age]]&lt;30,"20-29",
IF(Table1[[#This Row],[Age]]&lt;40,"30-39",
IF(Table1[[#This Row],[Age]]&lt;50,"40-49",
IF(Table1[[#This Row],[Age]]&lt;60,"50-59","60+"))))</f>
        <v>20-29</v>
      </c>
      <c r="M437" t="s">
        <v>30</v>
      </c>
      <c r="N437" t="s">
        <v>19</v>
      </c>
    </row>
    <row r="438" spans="1:14" x14ac:dyDescent="0.35">
      <c r="A438">
        <v>537</v>
      </c>
      <c r="B438" t="s">
        <v>26</v>
      </c>
      <c r="C438" s="6">
        <v>44418</v>
      </c>
      <c r="D438">
        <f>YEAR(Table1[[#This Row],[Join Date]])</f>
        <v>2021</v>
      </c>
      <c r="E438" s="6">
        <v>45628</v>
      </c>
      <c r="F438">
        <f>IFERROR(YEAR(Table1[[#This Row],[Exit Date]]), " ")</f>
        <v>2024</v>
      </c>
      <c r="G438">
        <f>IFERROR((Table1[[#This Row],[Exit Year]]-Table1[[#This Row],[Join Year]])+1," ")</f>
        <v>4</v>
      </c>
      <c r="H438" t="s">
        <v>22</v>
      </c>
      <c r="I438" t="s">
        <v>23</v>
      </c>
      <c r="J438" t="s">
        <v>12</v>
      </c>
      <c r="K438">
        <v>27</v>
      </c>
      <c r="L438" t="str">
        <f>IF(Table1[[#This Row],[Age]]&lt;30,"20-29",
IF(Table1[[#This Row],[Age]]&lt;40,"30-39",
IF(Table1[[#This Row],[Age]]&lt;50,"40-49",
IF(Table1[[#This Row],[Age]]&lt;60,"50-59","60+"))))</f>
        <v>20-29</v>
      </c>
      <c r="M438" t="s">
        <v>13</v>
      </c>
      <c r="N438" t="s">
        <v>25</v>
      </c>
    </row>
    <row r="439" spans="1:14" x14ac:dyDescent="0.35">
      <c r="A439">
        <v>538</v>
      </c>
      <c r="B439" t="s">
        <v>34</v>
      </c>
      <c r="C439" s="6">
        <v>44324</v>
      </c>
      <c r="D439">
        <f>YEAR(Table1[[#This Row],[Join Date]])</f>
        <v>2021</v>
      </c>
      <c r="E439" s="6">
        <v>45076</v>
      </c>
      <c r="F439">
        <f>IFERROR(YEAR(Table1[[#This Row],[Exit Date]]), " ")</f>
        <v>2023</v>
      </c>
      <c r="G439">
        <f>IFERROR((Table1[[#This Row],[Exit Year]]-Table1[[#This Row],[Join Year]])+1," ")</f>
        <v>3</v>
      </c>
      <c r="H439" t="s">
        <v>40</v>
      </c>
      <c r="I439" t="s">
        <v>23</v>
      </c>
      <c r="J439" t="s">
        <v>18</v>
      </c>
      <c r="K439">
        <v>31</v>
      </c>
      <c r="L439" t="str">
        <f>IF(Table1[[#This Row],[Age]]&lt;30,"20-29",
IF(Table1[[#This Row],[Age]]&lt;40,"30-39",
IF(Table1[[#This Row],[Age]]&lt;50,"40-49",
IF(Table1[[#This Row],[Age]]&lt;60,"50-59","60+"))))</f>
        <v>30-39</v>
      </c>
      <c r="M439" t="s">
        <v>13</v>
      </c>
      <c r="N439" t="s">
        <v>35</v>
      </c>
    </row>
    <row r="440" spans="1:14" x14ac:dyDescent="0.35">
      <c r="A440">
        <v>539</v>
      </c>
      <c r="B440" t="s">
        <v>10</v>
      </c>
      <c r="C440" s="6">
        <v>43513</v>
      </c>
      <c r="D440">
        <f>YEAR(Table1[[#This Row],[Join Date]])</f>
        <v>2019</v>
      </c>
      <c r="E440" s="6">
        <v>44923</v>
      </c>
      <c r="F440">
        <f>IFERROR(YEAR(Table1[[#This Row],[Exit Date]]), " ")</f>
        <v>2022</v>
      </c>
      <c r="G440">
        <f>IFERROR((Table1[[#This Row],[Exit Year]]-Table1[[#This Row],[Join Year]])+1," ")</f>
        <v>4</v>
      </c>
      <c r="H440" t="s">
        <v>38</v>
      </c>
      <c r="I440" t="s">
        <v>23</v>
      </c>
      <c r="J440" t="s">
        <v>12</v>
      </c>
      <c r="K440">
        <v>24</v>
      </c>
      <c r="L440" t="str">
        <f>IF(Table1[[#This Row],[Age]]&lt;30,"20-29",
IF(Table1[[#This Row],[Age]]&lt;40,"30-39",
IF(Table1[[#This Row],[Age]]&lt;50,"40-49",
IF(Table1[[#This Row],[Age]]&lt;60,"50-59","60+"))))</f>
        <v>20-29</v>
      </c>
      <c r="M440" t="s">
        <v>16</v>
      </c>
      <c r="N440" t="s">
        <v>17</v>
      </c>
    </row>
    <row r="441" spans="1:14" x14ac:dyDescent="0.35">
      <c r="A441">
        <v>540</v>
      </c>
      <c r="B441" t="s">
        <v>36</v>
      </c>
      <c r="C441" s="6">
        <v>44180</v>
      </c>
      <c r="D441">
        <f>YEAR(Table1[[#This Row],[Join Date]])</f>
        <v>2020</v>
      </c>
      <c r="E441" s="6" t="s">
        <v>48</v>
      </c>
      <c r="F441" t="str">
        <f>IFERROR(YEAR(Table1[[#This Row],[Exit Date]]), " ")</f>
        <v xml:space="preserve"> </v>
      </c>
      <c r="G441" t="str">
        <f>IFERROR((Table1[[#This Row],[Exit Year]]-Table1[[#This Row],[Join Year]])+1," ")</f>
        <v xml:space="preserve"> </v>
      </c>
      <c r="H441" t="s">
        <v>48</v>
      </c>
      <c r="I441" t="s">
        <v>11</v>
      </c>
      <c r="J441" t="s">
        <v>18</v>
      </c>
      <c r="K441">
        <v>37</v>
      </c>
      <c r="L441" t="str">
        <f>IF(Table1[[#This Row],[Age]]&lt;30,"20-29",
IF(Table1[[#This Row],[Age]]&lt;40,"30-39",
IF(Table1[[#This Row],[Age]]&lt;50,"40-49",
IF(Table1[[#This Row],[Age]]&lt;60,"50-59","60+"))))</f>
        <v>30-39</v>
      </c>
      <c r="M441" t="s">
        <v>13</v>
      </c>
      <c r="N441" t="s">
        <v>19</v>
      </c>
    </row>
    <row r="442" spans="1:14" x14ac:dyDescent="0.35">
      <c r="A442">
        <v>541</v>
      </c>
      <c r="B442" t="s">
        <v>34</v>
      </c>
      <c r="C442" s="6">
        <v>44099</v>
      </c>
      <c r="D442">
        <f>YEAR(Table1[[#This Row],[Join Date]])</f>
        <v>2020</v>
      </c>
      <c r="E442" s="6" t="s">
        <v>48</v>
      </c>
      <c r="F442" t="str">
        <f>IFERROR(YEAR(Table1[[#This Row],[Exit Date]]), " ")</f>
        <v xml:space="preserve"> </v>
      </c>
      <c r="G442" t="str">
        <f>IFERROR((Table1[[#This Row],[Exit Year]]-Table1[[#This Row],[Join Year]])+1," ")</f>
        <v xml:space="preserve"> </v>
      </c>
      <c r="H442" t="s">
        <v>48</v>
      </c>
      <c r="I442" t="s">
        <v>11</v>
      </c>
      <c r="J442" t="s">
        <v>18</v>
      </c>
      <c r="K442">
        <v>23</v>
      </c>
      <c r="L442" t="str">
        <f>IF(Table1[[#This Row],[Age]]&lt;30,"20-29",
IF(Table1[[#This Row],[Age]]&lt;40,"30-39",
IF(Table1[[#This Row],[Age]]&lt;50,"40-49",
IF(Table1[[#This Row],[Age]]&lt;60,"50-59","60+"))))</f>
        <v>20-29</v>
      </c>
      <c r="M442" t="s">
        <v>20</v>
      </c>
      <c r="N442" t="s">
        <v>21</v>
      </c>
    </row>
    <row r="443" spans="1:14" x14ac:dyDescent="0.35">
      <c r="A443">
        <v>542</v>
      </c>
      <c r="B443" t="s">
        <v>34</v>
      </c>
      <c r="C443" s="6">
        <v>45632</v>
      </c>
      <c r="D443">
        <f>YEAR(Table1[[#This Row],[Join Date]])</f>
        <v>2024</v>
      </c>
      <c r="E443" s="6" t="s">
        <v>48</v>
      </c>
      <c r="F443" t="str">
        <f>IFERROR(YEAR(Table1[[#This Row],[Exit Date]]), " ")</f>
        <v xml:space="preserve"> </v>
      </c>
      <c r="G443" t="str">
        <f>IFERROR((Table1[[#This Row],[Exit Year]]-Table1[[#This Row],[Join Year]])+1," ")</f>
        <v xml:space="preserve"> </v>
      </c>
      <c r="H443" t="s">
        <v>48</v>
      </c>
      <c r="I443" t="s">
        <v>11</v>
      </c>
      <c r="J443" t="s">
        <v>12</v>
      </c>
      <c r="K443">
        <v>31</v>
      </c>
      <c r="L443" t="str">
        <f>IF(Table1[[#This Row],[Age]]&lt;30,"20-29",
IF(Table1[[#This Row],[Age]]&lt;40,"30-39",
IF(Table1[[#This Row],[Age]]&lt;50,"40-49",
IF(Table1[[#This Row],[Age]]&lt;60,"50-59","60+"))))</f>
        <v>30-39</v>
      </c>
      <c r="M443" t="s">
        <v>44</v>
      </c>
      <c r="N443" t="s">
        <v>25</v>
      </c>
    </row>
    <row r="444" spans="1:14" x14ac:dyDescent="0.35">
      <c r="A444">
        <v>543</v>
      </c>
      <c r="B444" t="s">
        <v>36</v>
      </c>
      <c r="C444" s="6">
        <v>45294</v>
      </c>
      <c r="D444">
        <f>YEAR(Table1[[#This Row],[Join Date]])</f>
        <v>2024</v>
      </c>
      <c r="E444" s="6" t="s">
        <v>48</v>
      </c>
      <c r="F444" t="str">
        <f>IFERROR(YEAR(Table1[[#This Row],[Exit Date]]), " ")</f>
        <v xml:space="preserve"> </v>
      </c>
      <c r="G444" t="str">
        <f>IFERROR((Table1[[#This Row],[Exit Year]]-Table1[[#This Row],[Join Year]])+1," ")</f>
        <v xml:space="preserve"> </v>
      </c>
      <c r="H444" t="s">
        <v>48</v>
      </c>
      <c r="I444" t="s">
        <v>11</v>
      </c>
      <c r="J444" t="s">
        <v>18</v>
      </c>
      <c r="K444">
        <v>52</v>
      </c>
      <c r="L444" t="str">
        <f>IF(Table1[[#This Row],[Age]]&lt;30,"20-29",
IF(Table1[[#This Row],[Age]]&lt;40,"30-39",
IF(Table1[[#This Row],[Age]]&lt;50,"40-49",
IF(Table1[[#This Row],[Age]]&lt;60,"50-59","60+"))))</f>
        <v>50-59</v>
      </c>
      <c r="M444" t="s">
        <v>13</v>
      </c>
      <c r="N444" t="s">
        <v>35</v>
      </c>
    </row>
    <row r="445" spans="1:14" x14ac:dyDescent="0.35">
      <c r="A445">
        <v>544</v>
      </c>
      <c r="B445" t="s">
        <v>26</v>
      </c>
      <c r="C445" s="6">
        <v>44590</v>
      </c>
      <c r="D445">
        <f>YEAR(Table1[[#This Row],[Join Date]])</f>
        <v>2022</v>
      </c>
      <c r="E445" s="6" t="s">
        <v>48</v>
      </c>
      <c r="F445" t="str">
        <f>IFERROR(YEAR(Table1[[#This Row],[Exit Date]]), " ")</f>
        <v xml:space="preserve"> </v>
      </c>
      <c r="G445" t="str">
        <f>IFERROR((Table1[[#This Row],[Exit Year]]-Table1[[#This Row],[Join Year]])+1," ")</f>
        <v xml:space="preserve"> </v>
      </c>
      <c r="H445" t="s">
        <v>48</v>
      </c>
      <c r="I445" t="s">
        <v>11</v>
      </c>
      <c r="J445" t="s">
        <v>18</v>
      </c>
      <c r="K445">
        <v>25</v>
      </c>
      <c r="L445" t="str">
        <f>IF(Table1[[#This Row],[Age]]&lt;30,"20-29",
IF(Table1[[#This Row],[Age]]&lt;40,"30-39",
IF(Table1[[#This Row],[Age]]&lt;50,"40-49",
IF(Table1[[#This Row],[Age]]&lt;60,"50-59","60+"))))</f>
        <v>20-29</v>
      </c>
      <c r="M445" t="s">
        <v>16</v>
      </c>
      <c r="N445" t="s">
        <v>14</v>
      </c>
    </row>
    <row r="446" spans="1:14" x14ac:dyDescent="0.35">
      <c r="A446">
        <v>545</v>
      </c>
      <c r="B446" t="s">
        <v>15</v>
      </c>
      <c r="C446" s="6">
        <v>45215</v>
      </c>
      <c r="D446">
        <f>YEAR(Table1[[#This Row],[Join Date]])</f>
        <v>2023</v>
      </c>
      <c r="E446" s="6" t="s">
        <v>48</v>
      </c>
      <c r="F446" t="str">
        <f>IFERROR(YEAR(Table1[[#This Row],[Exit Date]]), " ")</f>
        <v xml:space="preserve"> </v>
      </c>
      <c r="G446" t="str">
        <f>IFERROR((Table1[[#This Row],[Exit Year]]-Table1[[#This Row],[Join Year]])+1," ")</f>
        <v xml:space="preserve"> </v>
      </c>
      <c r="H446" t="s">
        <v>48</v>
      </c>
      <c r="I446" t="s">
        <v>11</v>
      </c>
      <c r="J446" t="s">
        <v>12</v>
      </c>
      <c r="K446">
        <v>46</v>
      </c>
      <c r="L446" t="str">
        <f>IF(Table1[[#This Row],[Age]]&lt;30,"20-29",
IF(Table1[[#This Row],[Age]]&lt;40,"30-39",
IF(Table1[[#This Row],[Age]]&lt;50,"40-49",
IF(Table1[[#This Row],[Age]]&lt;60,"50-59","60+"))))</f>
        <v>40-49</v>
      </c>
      <c r="M446" t="s">
        <v>16</v>
      </c>
      <c r="N446" t="s">
        <v>19</v>
      </c>
    </row>
    <row r="447" spans="1:14" x14ac:dyDescent="0.35">
      <c r="A447">
        <v>546</v>
      </c>
      <c r="B447" t="s">
        <v>15</v>
      </c>
      <c r="C447" s="6">
        <v>43624</v>
      </c>
      <c r="D447">
        <f>YEAR(Table1[[#This Row],[Join Date]])</f>
        <v>2019</v>
      </c>
      <c r="E447" s="6">
        <v>44228</v>
      </c>
      <c r="F447">
        <f>IFERROR(YEAR(Table1[[#This Row],[Exit Date]]), " ")</f>
        <v>2021</v>
      </c>
      <c r="G447">
        <f>IFERROR((Table1[[#This Row],[Exit Year]]-Table1[[#This Row],[Join Year]])+1," ")</f>
        <v>3</v>
      </c>
      <c r="H447" t="s">
        <v>41</v>
      </c>
      <c r="I447" t="s">
        <v>23</v>
      </c>
      <c r="J447" t="s">
        <v>18</v>
      </c>
      <c r="K447">
        <v>24</v>
      </c>
      <c r="L447" t="str">
        <f>IF(Table1[[#This Row],[Age]]&lt;30,"20-29",
IF(Table1[[#This Row],[Age]]&lt;40,"30-39",
IF(Table1[[#This Row],[Age]]&lt;50,"40-49",
IF(Table1[[#This Row],[Age]]&lt;60,"50-59","60+"))))</f>
        <v>20-29</v>
      </c>
      <c r="M447" t="s">
        <v>20</v>
      </c>
      <c r="N447" t="s">
        <v>21</v>
      </c>
    </row>
    <row r="448" spans="1:14" x14ac:dyDescent="0.35">
      <c r="A448">
        <v>547</v>
      </c>
      <c r="B448" t="s">
        <v>15</v>
      </c>
      <c r="C448" s="6">
        <v>44514</v>
      </c>
      <c r="D448">
        <f>YEAR(Table1[[#This Row],[Join Date]])</f>
        <v>2021</v>
      </c>
      <c r="E448" s="6">
        <v>45529</v>
      </c>
      <c r="F448">
        <f>IFERROR(YEAR(Table1[[#This Row],[Exit Date]]), " ")</f>
        <v>2024</v>
      </c>
      <c r="G448">
        <f>IFERROR((Table1[[#This Row],[Exit Year]]-Table1[[#This Row],[Join Year]])+1," ")</f>
        <v>4</v>
      </c>
      <c r="H448" t="s">
        <v>46</v>
      </c>
      <c r="I448" t="s">
        <v>23</v>
      </c>
      <c r="J448" t="s">
        <v>18</v>
      </c>
      <c r="K448">
        <v>38</v>
      </c>
      <c r="L448" t="str">
        <f>IF(Table1[[#This Row],[Age]]&lt;30,"20-29",
IF(Table1[[#This Row],[Age]]&lt;40,"30-39",
IF(Table1[[#This Row],[Age]]&lt;50,"40-49",
IF(Table1[[#This Row],[Age]]&lt;60,"50-59","60+"))))</f>
        <v>30-39</v>
      </c>
      <c r="M448" t="s">
        <v>24</v>
      </c>
      <c r="N448" t="s">
        <v>37</v>
      </c>
    </row>
    <row r="449" spans="1:14" x14ac:dyDescent="0.35">
      <c r="A449">
        <v>548</v>
      </c>
      <c r="B449" t="s">
        <v>29</v>
      </c>
      <c r="C449" s="6">
        <v>43700</v>
      </c>
      <c r="D449">
        <f>YEAR(Table1[[#This Row],[Join Date]])</f>
        <v>2019</v>
      </c>
      <c r="E449" s="6" t="s">
        <v>48</v>
      </c>
      <c r="F449" t="str">
        <f>IFERROR(YEAR(Table1[[#This Row],[Exit Date]]), " ")</f>
        <v xml:space="preserve"> </v>
      </c>
      <c r="G449" t="str">
        <f>IFERROR((Table1[[#This Row],[Exit Year]]-Table1[[#This Row],[Join Year]])+1," ")</f>
        <v xml:space="preserve"> </v>
      </c>
      <c r="H449" t="s">
        <v>48</v>
      </c>
      <c r="I449" t="s">
        <v>11</v>
      </c>
      <c r="J449" t="s">
        <v>18</v>
      </c>
      <c r="K449">
        <v>49</v>
      </c>
      <c r="L449" t="str">
        <f>IF(Table1[[#This Row],[Age]]&lt;30,"20-29",
IF(Table1[[#This Row],[Age]]&lt;40,"30-39",
IF(Table1[[#This Row],[Age]]&lt;50,"40-49",
IF(Table1[[#This Row],[Age]]&lt;60,"50-59","60+"))))</f>
        <v>40-49</v>
      </c>
      <c r="M449" t="s">
        <v>13</v>
      </c>
      <c r="N449" t="s">
        <v>25</v>
      </c>
    </row>
    <row r="450" spans="1:14" x14ac:dyDescent="0.35">
      <c r="A450">
        <v>549</v>
      </c>
      <c r="B450" t="s">
        <v>34</v>
      </c>
      <c r="C450" s="6">
        <v>45540</v>
      </c>
      <c r="D450">
        <f>YEAR(Table1[[#This Row],[Join Date]])</f>
        <v>2024</v>
      </c>
      <c r="E450" s="6" t="s">
        <v>48</v>
      </c>
      <c r="F450" t="str">
        <f>IFERROR(YEAR(Table1[[#This Row],[Exit Date]]), " ")</f>
        <v xml:space="preserve"> </v>
      </c>
      <c r="G450" t="str">
        <f>IFERROR((Table1[[#This Row],[Exit Year]]-Table1[[#This Row],[Join Year]])+1," ")</f>
        <v xml:space="preserve"> </v>
      </c>
      <c r="H450" t="s">
        <v>48</v>
      </c>
      <c r="I450" t="s">
        <v>11</v>
      </c>
      <c r="J450" t="s">
        <v>12</v>
      </c>
      <c r="K450">
        <v>31</v>
      </c>
      <c r="L450" t="str">
        <f>IF(Table1[[#This Row],[Age]]&lt;30,"20-29",
IF(Table1[[#This Row],[Age]]&lt;40,"30-39",
IF(Table1[[#This Row],[Age]]&lt;50,"40-49",
IF(Table1[[#This Row],[Age]]&lt;60,"50-59","60+"))))</f>
        <v>30-39</v>
      </c>
      <c r="M450" t="s">
        <v>30</v>
      </c>
      <c r="N450" t="s">
        <v>35</v>
      </c>
    </row>
    <row r="451" spans="1:14" x14ac:dyDescent="0.35">
      <c r="A451">
        <v>550</v>
      </c>
      <c r="B451" t="s">
        <v>10</v>
      </c>
      <c r="C451" s="6">
        <v>43297</v>
      </c>
      <c r="D451">
        <f>YEAR(Table1[[#This Row],[Join Date]])</f>
        <v>2018</v>
      </c>
      <c r="E451" s="6">
        <v>44682</v>
      </c>
      <c r="F451">
        <f>IFERROR(YEAR(Table1[[#This Row],[Exit Date]]), " ")</f>
        <v>2022</v>
      </c>
      <c r="G451">
        <f>IFERROR((Table1[[#This Row],[Exit Year]]-Table1[[#This Row],[Join Year]])+1," ")</f>
        <v>5</v>
      </c>
      <c r="H451" t="s">
        <v>40</v>
      </c>
      <c r="I451" t="s">
        <v>23</v>
      </c>
      <c r="J451" t="s">
        <v>18</v>
      </c>
      <c r="K451">
        <v>51</v>
      </c>
      <c r="L451" t="str">
        <f>IF(Table1[[#This Row],[Age]]&lt;30,"20-29",
IF(Table1[[#This Row],[Age]]&lt;40,"30-39",
IF(Table1[[#This Row],[Age]]&lt;50,"40-49",
IF(Table1[[#This Row],[Age]]&lt;60,"50-59","60+"))))</f>
        <v>50-59</v>
      </c>
      <c r="M451" t="s">
        <v>13</v>
      </c>
      <c r="N451" t="s">
        <v>25</v>
      </c>
    </row>
    <row r="452" spans="1:14" x14ac:dyDescent="0.35">
      <c r="A452">
        <v>551</v>
      </c>
      <c r="B452" t="s">
        <v>10</v>
      </c>
      <c r="C452" s="6">
        <v>43407</v>
      </c>
      <c r="D452">
        <f>YEAR(Table1[[#This Row],[Join Date]])</f>
        <v>2018</v>
      </c>
      <c r="E452" s="6" t="s">
        <v>48</v>
      </c>
      <c r="F452" t="str">
        <f>IFERROR(YEAR(Table1[[#This Row],[Exit Date]]), " ")</f>
        <v xml:space="preserve"> </v>
      </c>
      <c r="G452" t="str">
        <f>IFERROR((Table1[[#This Row],[Exit Year]]-Table1[[#This Row],[Join Year]])+1," ")</f>
        <v xml:space="preserve"> </v>
      </c>
      <c r="H452" t="s">
        <v>48</v>
      </c>
      <c r="I452" t="s">
        <v>11</v>
      </c>
      <c r="J452" t="s">
        <v>12</v>
      </c>
      <c r="K452">
        <v>27</v>
      </c>
      <c r="L452" t="str">
        <f>IF(Table1[[#This Row],[Age]]&lt;30,"20-29",
IF(Table1[[#This Row],[Age]]&lt;40,"30-39",
IF(Table1[[#This Row],[Age]]&lt;50,"40-49",
IF(Table1[[#This Row],[Age]]&lt;60,"50-59","60+"))))</f>
        <v>20-29</v>
      </c>
      <c r="M452" t="s">
        <v>13</v>
      </c>
      <c r="N452" t="s">
        <v>35</v>
      </c>
    </row>
    <row r="453" spans="1:14" x14ac:dyDescent="0.35">
      <c r="A453">
        <v>552</v>
      </c>
      <c r="B453" t="s">
        <v>15</v>
      </c>
      <c r="C453" s="6">
        <v>44121</v>
      </c>
      <c r="D453">
        <f>YEAR(Table1[[#This Row],[Join Date]])</f>
        <v>2020</v>
      </c>
      <c r="E453" s="6" t="s">
        <v>48</v>
      </c>
      <c r="F453" t="str">
        <f>IFERROR(YEAR(Table1[[#This Row],[Exit Date]]), " ")</f>
        <v xml:space="preserve"> </v>
      </c>
      <c r="G453" t="str">
        <f>IFERROR((Table1[[#This Row],[Exit Year]]-Table1[[#This Row],[Join Year]])+1," ")</f>
        <v xml:space="preserve"> </v>
      </c>
      <c r="H453" t="s">
        <v>48</v>
      </c>
      <c r="I453" t="s">
        <v>11</v>
      </c>
      <c r="J453" t="s">
        <v>12</v>
      </c>
      <c r="K453">
        <v>22</v>
      </c>
      <c r="L453" t="str">
        <f>IF(Table1[[#This Row],[Age]]&lt;30,"20-29",
IF(Table1[[#This Row],[Age]]&lt;40,"30-39",
IF(Table1[[#This Row],[Age]]&lt;50,"40-49",
IF(Table1[[#This Row],[Age]]&lt;60,"50-59","60+"))))</f>
        <v>20-29</v>
      </c>
      <c r="M453" t="s">
        <v>16</v>
      </c>
      <c r="N453" t="s">
        <v>14</v>
      </c>
    </row>
    <row r="454" spans="1:14" x14ac:dyDescent="0.35">
      <c r="A454">
        <v>553</v>
      </c>
      <c r="B454" t="s">
        <v>15</v>
      </c>
      <c r="C454" s="6">
        <v>44423</v>
      </c>
      <c r="D454">
        <f>YEAR(Table1[[#This Row],[Join Date]])</f>
        <v>2021</v>
      </c>
      <c r="E454" s="6" t="s">
        <v>48</v>
      </c>
      <c r="F454" t="str">
        <f>IFERROR(YEAR(Table1[[#This Row],[Exit Date]]), " ")</f>
        <v xml:space="preserve"> </v>
      </c>
      <c r="G454" t="str">
        <f>IFERROR((Table1[[#This Row],[Exit Year]]-Table1[[#This Row],[Join Year]])+1," ")</f>
        <v xml:space="preserve"> </v>
      </c>
      <c r="H454" t="s">
        <v>48</v>
      </c>
      <c r="I454" t="s">
        <v>11</v>
      </c>
      <c r="J454" t="s">
        <v>12</v>
      </c>
      <c r="K454">
        <v>50</v>
      </c>
      <c r="L454" t="str">
        <f>IF(Table1[[#This Row],[Age]]&lt;30,"20-29",
IF(Table1[[#This Row],[Age]]&lt;40,"30-39",
IF(Table1[[#This Row],[Age]]&lt;50,"40-49",
IF(Table1[[#This Row],[Age]]&lt;60,"50-59","60+"))))</f>
        <v>50-59</v>
      </c>
      <c r="M454" t="s">
        <v>13</v>
      </c>
      <c r="N454" t="s">
        <v>19</v>
      </c>
    </row>
    <row r="455" spans="1:14" x14ac:dyDescent="0.35">
      <c r="A455">
        <v>554</v>
      </c>
      <c r="B455" t="s">
        <v>15</v>
      </c>
      <c r="C455" s="6">
        <v>45087</v>
      </c>
      <c r="D455">
        <f>YEAR(Table1[[#This Row],[Join Date]])</f>
        <v>2023</v>
      </c>
      <c r="E455" s="6" t="s">
        <v>48</v>
      </c>
      <c r="F455" t="str">
        <f>IFERROR(YEAR(Table1[[#This Row],[Exit Date]]), " ")</f>
        <v xml:space="preserve"> </v>
      </c>
      <c r="G455" t="str">
        <f>IFERROR((Table1[[#This Row],[Exit Year]]-Table1[[#This Row],[Join Year]])+1," ")</f>
        <v xml:space="preserve"> </v>
      </c>
      <c r="H455" t="s">
        <v>48</v>
      </c>
      <c r="I455" t="s">
        <v>11</v>
      </c>
      <c r="J455" t="s">
        <v>18</v>
      </c>
      <c r="K455">
        <v>24</v>
      </c>
      <c r="L455" t="str">
        <f>IF(Table1[[#This Row],[Age]]&lt;30,"20-29",
IF(Table1[[#This Row],[Age]]&lt;40,"30-39",
IF(Table1[[#This Row],[Age]]&lt;50,"40-49",
IF(Table1[[#This Row],[Age]]&lt;60,"50-59","60+"))))</f>
        <v>20-29</v>
      </c>
      <c r="M455" t="s">
        <v>20</v>
      </c>
      <c r="N455" t="s">
        <v>21</v>
      </c>
    </row>
    <row r="456" spans="1:14" x14ac:dyDescent="0.35">
      <c r="A456">
        <v>555</v>
      </c>
      <c r="B456" t="s">
        <v>15</v>
      </c>
      <c r="C456" s="6">
        <v>43479</v>
      </c>
      <c r="D456">
        <f>YEAR(Table1[[#This Row],[Join Date]])</f>
        <v>2019</v>
      </c>
      <c r="E456" s="6">
        <v>44449</v>
      </c>
      <c r="F456">
        <f>IFERROR(YEAR(Table1[[#This Row],[Exit Date]]), " ")</f>
        <v>2021</v>
      </c>
      <c r="G456">
        <f>IFERROR((Table1[[#This Row],[Exit Year]]-Table1[[#This Row],[Join Year]])+1," ")</f>
        <v>3</v>
      </c>
      <c r="H456" t="s">
        <v>22</v>
      </c>
      <c r="I456" t="s">
        <v>23</v>
      </c>
      <c r="J456" t="s">
        <v>12</v>
      </c>
      <c r="K456">
        <v>50</v>
      </c>
      <c r="L456" t="str">
        <f>IF(Table1[[#This Row],[Age]]&lt;30,"20-29",
IF(Table1[[#This Row],[Age]]&lt;40,"30-39",
IF(Table1[[#This Row],[Age]]&lt;50,"40-49",
IF(Table1[[#This Row],[Age]]&lt;60,"50-59","60+"))))</f>
        <v>50-59</v>
      </c>
      <c r="M456" t="s">
        <v>39</v>
      </c>
      <c r="N456" t="s">
        <v>37</v>
      </c>
    </row>
    <row r="457" spans="1:14" x14ac:dyDescent="0.35">
      <c r="A457">
        <v>556</v>
      </c>
      <c r="B457" t="s">
        <v>26</v>
      </c>
      <c r="C457" s="6">
        <v>44749</v>
      </c>
      <c r="D457">
        <f>YEAR(Table1[[#This Row],[Join Date]])</f>
        <v>2022</v>
      </c>
      <c r="E457" s="6">
        <v>44972</v>
      </c>
      <c r="F457">
        <f>IFERROR(YEAR(Table1[[#This Row],[Exit Date]]), " ")</f>
        <v>2023</v>
      </c>
      <c r="G457">
        <f>IFERROR((Table1[[#This Row],[Exit Year]]-Table1[[#This Row],[Join Year]])+1," ")</f>
        <v>2</v>
      </c>
      <c r="H457" t="s">
        <v>46</v>
      </c>
      <c r="I457" t="s">
        <v>23</v>
      </c>
      <c r="J457" t="s">
        <v>18</v>
      </c>
      <c r="K457">
        <v>28</v>
      </c>
      <c r="L457" t="str">
        <f>IF(Table1[[#This Row],[Age]]&lt;30,"20-29",
IF(Table1[[#This Row],[Age]]&lt;40,"30-39",
IF(Table1[[#This Row],[Age]]&lt;50,"40-49",
IF(Table1[[#This Row],[Age]]&lt;60,"50-59","60+"))))</f>
        <v>20-29</v>
      </c>
      <c r="M457" t="s">
        <v>13</v>
      </c>
      <c r="N457" t="s">
        <v>25</v>
      </c>
    </row>
    <row r="458" spans="1:14" x14ac:dyDescent="0.35">
      <c r="A458">
        <v>557</v>
      </c>
      <c r="B458" t="s">
        <v>29</v>
      </c>
      <c r="C458" s="6">
        <v>45457</v>
      </c>
      <c r="D458">
        <f>YEAR(Table1[[#This Row],[Join Date]])</f>
        <v>2024</v>
      </c>
      <c r="E458" s="6" t="s">
        <v>48</v>
      </c>
      <c r="F458" t="str">
        <f>IFERROR(YEAR(Table1[[#This Row],[Exit Date]]), " ")</f>
        <v xml:space="preserve"> </v>
      </c>
      <c r="G458" t="str">
        <f>IFERROR((Table1[[#This Row],[Exit Year]]-Table1[[#This Row],[Join Year]])+1," ")</f>
        <v xml:space="preserve"> </v>
      </c>
      <c r="H458" t="s">
        <v>48</v>
      </c>
      <c r="I458" t="s">
        <v>11</v>
      </c>
      <c r="J458" t="s">
        <v>12</v>
      </c>
      <c r="K458">
        <v>40</v>
      </c>
      <c r="L458" t="str">
        <f>IF(Table1[[#This Row],[Age]]&lt;30,"20-29",
IF(Table1[[#This Row],[Age]]&lt;40,"30-39",
IF(Table1[[#This Row],[Age]]&lt;50,"40-49",
IF(Table1[[#This Row],[Age]]&lt;60,"50-59","60+"))))</f>
        <v>40-49</v>
      </c>
      <c r="M458" t="s">
        <v>16</v>
      </c>
      <c r="N458" t="s">
        <v>35</v>
      </c>
    </row>
    <row r="459" spans="1:14" x14ac:dyDescent="0.35">
      <c r="A459">
        <v>558</v>
      </c>
      <c r="B459" t="s">
        <v>10</v>
      </c>
      <c r="C459" s="6">
        <v>43304</v>
      </c>
      <c r="D459">
        <f>YEAR(Table1[[#This Row],[Join Date]])</f>
        <v>2018</v>
      </c>
      <c r="E459" s="6" t="s">
        <v>48</v>
      </c>
      <c r="F459" t="str">
        <f>IFERROR(YEAR(Table1[[#This Row],[Exit Date]]), " ")</f>
        <v xml:space="preserve"> </v>
      </c>
      <c r="G459" t="str">
        <f>IFERROR((Table1[[#This Row],[Exit Year]]-Table1[[#This Row],[Join Year]])+1," ")</f>
        <v xml:space="preserve"> </v>
      </c>
      <c r="H459" t="s">
        <v>48</v>
      </c>
      <c r="I459" t="s">
        <v>11</v>
      </c>
      <c r="J459" t="s">
        <v>18</v>
      </c>
      <c r="K459">
        <v>32</v>
      </c>
      <c r="L459" t="str">
        <f>IF(Table1[[#This Row],[Age]]&lt;30,"20-29",
IF(Table1[[#This Row],[Age]]&lt;40,"30-39",
IF(Table1[[#This Row],[Age]]&lt;50,"40-49",
IF(Table1[[#This Row],[Age]]&lt;60,"50-59","60+"))))</f>
        <v>30-39</v>
      </c>
      <c r="M459" t="s">
        <v>16</v>
      </c>
      <c r="N459" t="s">
        <v>14</v>
      </c>
    </row>
    <row r="460" spans="1:14" x14ac:dyDescent="0.35">
      <c r="A460">
        <v>559</v>
      </c>
      <c r="B460" t="s">
        <v>15</v>
      </c>
      <c r="C460" s="6">
        <v>44987</v>
      </c>
      <c r="D460">
        <f>YEAR(Table1[[#This Row],[Join Date]])</f>
        <v>2023</v>
      </c>
      <c r="E460" s="6" t="s">
        <v>48</v>
      </c>
      <c r="F460" t="str">
        <f>IFERROR(YEAR(Table1[[#This Row],[Exit Date]]), " ")</f>
        <v xml:space="preserve"> </v>
      </c>
      <c r="G460" t="str">
        <f>IFERROR((Table1[[#This Row],[Exit Year]]-Table1[[#This Row],[Join Year]])+1," ")</f>
        <v xml:space="preserve"> </v>
      </c>
      <c r="H460" t="s">
        <v>48</v>
      </c>
      <c r="I460" t="s">
        <v>11</v>
      </c>
      <c r="J460" t="s">
        <v>18</v>
      </c>
      <c r="K460">
        <v>50</v>
      </c>
      <c r="L460" t="str">
        <f>IF(Table1[[#This Row],[Age]]&lt;30,"20-29",
IF(Table1[[#This Row],[Age]]&lt;40,"30-39",
IF(Table1[[#This Row],[Age]]&lt;50,"40-49",
IF(Table1[[#This Row],[Age]]&lt;60,"50-59","60+"))))</f>
        <v>50-59</v>
      </c>
      <c r="M460" t="s">
        <v>20</v>
      </c>
      <c r="N460" t="s">
        <v>17</v>
      </c>
    </row>
    <row r="461" spans="1:14" x14ac:dyDescent="0.35">
      <c r="A461">
        <v>560</v>
      </c>
      <c r="B461" t="s">
        <v>34</v>
      </c>
      <c r="C461" s="6">
        <v>45326</v>
      </c>
      <c r="D461">
        <f>YEAR(Table1[[#This Row],[Join Date]])</f>
        <v>2024</v>
      </c>
      <c r="E461" s="6" t="s">
        <v>48</v>
      </c>
      <c r="F461" t="str">
        <f>IFERROR(YEAR(Table1[[#This Row],[Exit Date]]), " ")</f>
        <v xml:space="preserve"> </v>
      </c>
      <c r="G461" t="str">
        <f>IFERROR((Table1[[#This Row],[Exit Year]]-Table1[[#This Row],[Join Year]])+1," ")</f>
        <v xml:space="preserve"> </v>
      </c>
      <c r="H461" t="s">
        <v>48</v>
      </c>
      <c r="I461" t="s">
        <v>11</v>
      </c>
      <c r="J461" t="s">
        <v>12</v>
      </c>
      <c r="K461">
        <v>24</v>
      </c>
      <c r="L461" t="str">
        <f>IF(Table1[[#This Row],[Age]]&lt;30,"20-29",
IF(Table1[[#This Row],[Age]]&lt;40,"30-39",
IF(Table1[[#This Row],[Age]]&lt;50,"40-49",
IF(Table1[[#This Row],[Age]]&lt;60,"50-59","60+"))))</f>
        <v>20-29</v>
      </c>
      <c r="M461" t="s">
        <v>24</v>
      </c>
      <c r="N461" t="s">
        <v>19</v>
      </c>
    </row>
    <row r="462" spans="1:14" x14ac:dyDescent="0.35">
      <c r="A462">
        <v>561</v>
      </c>
      <c r="B462" t="s">
        <v>36</v>
      </c>
      <c r="C462" s="6">
        <v>45474</v>
      </c>
      <c r="D462">
        <f>YEAR(Table1[[#This Row],[Join Date]])</f>
        <v>2024</v>
      </c>
      <c r="E462" s="6" t="s">
        <v>48</v>
      </c>
      <c r="F462" t="str">
        <f>IFERROR(YEAR(Table1[[#This Row],[Exit Date]]), " ")</f>
        <v xml:space="preserve"> </v>
      </c>
      <c r="G462" t="str">
        <f>IFERROR((Table1[[#This Row],[Exit Year]]-Table1[[#This Row],[Join Year]])+1," ")</f>
        <v xml:space="preserve"> </v>
      </c>
      <c r="H462" t="s">
        <v>48</v>
      </c>
      <c r="I462" t="s">
        <v>11</v>
      </c>
      <c r="J462" t="s">
        <v>18</v>
      </c>
      <c r="K462">
        <v>36</v>
      </c>
      <c r="L462" t="str">
        <f>IF(Table1[[#This Row],[Age]]&lt;30,"20-29",
IF(Table1[[#This Row],[Age]]&lt;40,"30-39",
IF(Table1[[#This Row],[Age]]&lt;50,"40-49",
IF(Table1[[#This Row],[Age]]&lt;60,"50-59","60+"))))</f>
        <v>30-39</v>
      </c>
      <c r="M462" t="s">
        <v>13</v>
      </c>
      <c r="N462" t="s">
        <v>21</v>
      </c>
    </row>
    <row r="463" spans="1:14" x14ac:dyDescent="0.35">
      <c r="A463">
        <v>562</v>
      </c>
      <c r="B463" t="s">
        <v>29</v>
      </c>
      <c r="C463" s="6">
        <v>44227</v>
      </c>
      <c r="D463">
        <f>YEAR(Table1[[#This Row],[Join Date]])</f>
        <v>2021</v>
      </c>
      <c r="E463" s="6">
        <v>45322</v>
      </c>
      <c r="F463">
        <f>IFERROR(YEAR(Table1[[#This Row],[Exit Date]]), " ")</f>
        <v>2024</v>
      </c>
      <c r="G463">
        <f>IFERROR((Table1[[#This Row],[Exit Year]]-Table1[[#This Row],[Join Year]])+1," ")</f>
        <v>4</v>
      </c>
      <c r="H463" t="s">
        <v>46</v>
      </c>
      <c r="I463" t="s">
        <v>23</v>
      </c>
      <c r="J463" t="s">
        <v>18</v>
      </c>
      <c r="K463">
        <v>49</v>
      </c>
      <c r="L463" t="str">
        <f>IF(Table1[[#This Row],[Age]]&lt;30,"20-29",
IF(Table1[[#This Row],[Age]]&lt;40,"30-39",
IF(Table1[[#This Row],[Age]]&lt;50,"40-49",
IF(Table1[[#This Row],[Age]]&lt;60,"50-59","60+"))))</f>
        <v>40-49</v>
      </c>
      <c r="M463" t="s">
        <v>42</v>
      </c>
      <c r="N463" t="s">
        <v>25</v>
      </c>
    </row>
    <row r="464" spans="1:14" x14ac:dyDescent="0.35">
      <c r="A464">
        <v>563</v>
      </c>
      <c r="B464" t="s">
        <v>10</v>
      </c>
      <c r="C464" s="6">
        <v>43446</v>
      </c>
      <c r="D464">
        <f>YEAR(Table1[[#This Row],[Join Date]])</f>
        <v>2018</v>
      </c>
      <c r="E464" s="6">
        <v>43936</v>
      </c>
      <c r="F464">
        <f>IFERROR(YEAR(Table1[[#This Row],[Exit Date]]), " ")</f>
        <v>2020</v>
      </c>
      <c r="G464">
        <f>IFERROR((Table1[[#This Row],[Exit Year]]-Table1[[#This Row],[Join Year]])+1," ")</f>
        <v>3</v>
      </c>
      <c r="H464" t="s">
        <v>46</v>
      </c>
      <c r="I464" t="s">
        <v>23</v>
      </c>
      <c r="J464" t="s">
        <v>12</v>
      </c>
      <c r="K464">
        <v>43</v>
      </c>
      <c r="L464" t="str">
        <f>IF(Table1[[#This Row],[Age]]&lt;30,"20-29",
IF(Table1[[#This Row],[Age]]&lt;40,"30-39",
IF(Table1[[#This Row],[Age]]&lt;50,"40-49",
IF(Table1[[#This Row],[Age]]&lt;60,"50-59","60+"))))</f>
        <v>40-49</v>
      </c>
      <c r="M464" t="s">
        <v>13</v>
      </c>
      <c r="N464" t="s">
        <v>28</v>
      </c>
    </row>
    <row r="465" spans="1:14" x14ac:dyDescent="0.35">
      <c r="A465">
        <v>564</v>
      </c>
      <c r="B465" t="s">
        <v>15</v>
      </c>
      <c r="C465" s="6">
        <v>45314</v>
      </c>
      <c r="D465">
        <f>YEAR(Table1[[#This Row],[Join Date]])</f>
        <v>2024</v>
      </c>
      <c r="E465" s="6" t="s">
        <v>48</v>
      </c>
      <c r="F465" t="str">
        <f>IFERROR(YEAR(Table1[[#This Row],[Exit Date]]), " ")</f>
        <v xml:space="preserve"> </v>
      </c>
      <c r="G465" t="str">
        <f>IFERROR((Table1[[#This Row],[Exit Year]]-Table1[[#This Row],[Join Year]])+1," ")</f>
        <v xml:space="preserve"> </v>
      </c>
      <c r="H465" t="s">
        <v>48</v>
      </c>
      <c r="I465" t="s">
        <v>11</v>
      </c>
      <c r="J465" t="s">
        <v>18</v>
      </c>
      <c r="K465">
        <v>40</v>
      </c>
      <c r="L465" t="str">
        <f>IF(Table1[[#This Row],[Age]]&lt;30,"20-29",
IF(Table1[[#This Row],[Age]]&lt;40,"30-39",
IF(Table1[[#This Row],[Age]]&lt;50,"40-49",
IF(Table1[[#This Row],[Age]]&lt;60,"50-59","60+"))))</f>
        <v>40-49</v>
      </c>
      <c r="M465" t="s">
        <v>13</v>
      </c>
      <c r="N465" t="s">
        <v>31</v>
      </c>
    </row>
    <row r="466" spans="1:14" x14ac:dyDescent="0.35">
      <c r="A466">
        <v>565</v>
      </c>
      <c r="B466" t="s">
        <v>15</v>
      </c>
      <c r="C466" s="6">
        <v>43123</v>
      </c>
      <c r="D466">
        <f>YEAR(Table1[[#This Row],[Join Date]])</f>
        <v>2018</v>
      </c>
      <c r="E466" s="6" t="s">
        <v>48</v>
      </c>
      <c r="F466" t="str">
        <f>IFERROR(YEAR(Table1[[#This Row],[Exit Date]]), " ")</f>
        <v xml:space="preserve"> </v>
      </c>
      <c r="G466" t="str">
        <f>IFERROR((Table1[[#This Row],[Exit Year]]-Table1[[#This Row],[Join Year]])+1," ")</f>
        <v xml:space="preserve"> </v>
      </c>
      <c r="H466" t="s">
        <v>48</v>
      </c>
      <c r="I466" t="s">
        <v>11</v>
      </c>
      <c r="J466" t="s">
        <v>18</v>
      </c>
      <c r="K466">
        <v>42</v>
      </c>
      <c r="L466" t="str">
        <f>IF(Table1[[#This Row],[Age]]&lt;30,"20-29",
IF(Table1[[#This Row],[Age]]&lt;40,"30-39",
IF(Table1[[#This Row],[Age]]&lt;50,"40-49",
IF(Table1[[#This Row],[Age]]&lt;60,"50-59","60+"))))</f>
        <v>40-49</v>
      </c>
      <c r="M466" t="s">
        <v>16</v>
      </c>
      <c r="N466" t="s">
        <v>32</v>
      </c>
    </row>
    <row r="467" spans="1:14" x14ac:dyDescent="0.35">
      <c r="A467">
        <v>566</v>
      </c>
      <c r="B467" t="s">
        <v>10</v>
      </c>
      <c r="C467" s="6">
        <v>43717</v>
      </c>
      <c r="D467">
        <f>YEAR(Table1[[#This Row],[Join Date]])</f>
        <v>2019</v>
      </c>
      <c r="E467" s="6">
        <v>44677</v>
      </c>
      <c r="F467">
        <f>IFERROR(YEAR(Table1[[#This Row],[Exit Date]]), " ")</f>
        <v>2022</v>
      </c>
      <c r="G467">
        <f>IFERROR((Table1[[#This Row],[Exit Year]]-Table1[[#This Row],[Join Year]])+1," ")</f>
        <v>4</v>
      </c>
      <c r="H467" t="s">
        <v>40</v>
      </c>
      <c r="I467" t="s">
        <v>23</v>
      </c>
      <c r="J467" t="s">
        <v>18</v>
      </c>
      <c r="K467">
        <v>35</v>
      </c>
      <c r="L467" t="str">
        <f>IF(Table1[[#This Row],[Age]]&lt;30,"20-29",
IF(Table1[[#This Row],[Age]]&lt;40,"30-39",
IF(Table1[[#This Row],[Age]]&lt;50,"40-49",
IF(Table1[[#This Row],[Age]]&lt;60,"50-59","60+"))))</f>
        <v>30-39</v>
      </c>
      <c r="M467" t="s">
        <v>13</v>
      </c>
      <c r="N467" t="s">
        <v>33</v>
      </c>
    </row>
    <row r="468" spans="1:14" x14ac:dyDescent="0.35">
      <c r="A468">
        <v>567</v>
      </c>
      <c r="B468" t="s">
        <v>29</v>
      </c>
      <c r="C468" s="6">
        <v>43534</v>
      </c>
      <c r="D468">
        <f>YEAR(Table1[[#This Row],[Join Date]])</f>
        <v>2019</v>
      </c>
      <c r="E468" s="6">
        <v>44117</v>
      </c>
      <c r="F468">
        <f>IFERROR(YEAR(Table1[[#This Row],[Exit Date]]), " ")</f>
        <v>2020</v>
      </c>
      <c r="G468">
        <f>IFERROR((Table1[[#This Row],[Exit Year]]-Table1[[#This Row],[Join Year]])+1," ")</f>
        <v>2</v>
      </c>
      <c r="H468" t="s">
        <v>38</v>
      </c>
      <c r="I468" t="s">
        <v>23</v>
      </c>
      <c r="J468" t="s">
        <v>12</v>
      </c>
      <c r="K468">
        <v>31</v>
      </c>
      <c r="L468" t="str">
        <f>IF(Table1[[#This Row],[Age]]&lt;30,"20-29",
IF(Table1[[#This Row],[Age]]&lt;40,"30-39",
IF(Table1[[#This Row],[Age]]&lt;50,"40-49",
IF(Table1[[#This Row],[Age]]&lt;60,"50-59","60+"))))</f>
        <v>30-39</v>
      </c>
      <c r="M468" t="s">
        <v>20</v>
      </c>
      <c r="N468" t="s">
        <v>35</v>
      </c>
    </row>
    <row r="469" spans="1:14" x14ac:dyDescent="0.35">
      <c r="A469">
        <v>568</v>
      </c>
      <c r="B469" t="s">
        <v>36</v>
      </c>
      <c r="C469" s="6">
        <v>44619</v>
      </c>
      <c r="D469">
        <f>YEAR(Table1[[#This Row],[Join Date]])</f>
        <v>2022</v>
      </c>
      <c r="E469" s="6" t="s">
        <v>48</v>
      </c>
      <c r="F469" t="str">
        <f>IFERROR(YEAR(Table1[[#This Row],[Exit Date]]), " ")</f>
        <v xml:space="preserve"> </v>
      </c>
      <c r="G469" t="str">
        <f>IFERROR((Table1[[#This Row],[Exit Year]]-Table1[[#This Row],[Join Year]])+1," ")</f>
        <v xml:space="preserve"> </v>
      </c>
      <c r="H469" t="s">
        <v>48</v>
      </c>
      <c r="I469" t="s">
        <v>11</v>
      </c>
      <c r="J469" t="s">
        <v>18</v>
      </c>
      <c r="K469">
        <v>51</v>
      </c>
      <c r="L469" t="str">
        <f>IF(Table1[[#This Row],[Age]]&lt;30,"20-29",
IF(Table1[[#This Row],[Age]]&lt;40,"30-39",
IF(Table1[[#This Row],[Age]]&lt;50,"40-49",
IF(Table1[[#This Row],[Age]]&lt;60,"50-59","60+"))))</f>
        <v>50-59</v>
      </c>
      <c r="M469" t="s">
        <v>39</v>
      </c>
      <c r="N469" t="s">
        <v>37</v>
      </c>
    </row>
    <row r="470" spans="1:14" x14ac:dyDescent="0.35">
      <c r="A470">
        <v>569</v>
      </c>
      <c r="B470" t="s">
        <v>10</v>
      </c>
      <c r="C470" s="6">
        <v>45485</v>
      </c>
      <c r="D470">
        <f>YEAR(Table1[[#This Row],[Join Date]])</f>
        <v>2024</v>
      </c>
      <c r="E470" s="6" t="s">
        <v>48</v>
      </c>
      <c r="F470" t="str">
        <f>IFERROR(YEAR(Table1[[#This Row],[Exit Date]]), " ")</f>
        <v xml:space="preserve"> </v>
      </c>
      <c r="G470" t="str">
        <f>IFERROR((Table1[[#This Row],[Exit Year]]-Table1[[#This Row],[Join Year]])+1," ")</f>
        <v xml:space="preserve"> </v>
      </c>
      <c r="H470" t="s">
        <v>48</v>
      </c>
      <c r="I470" t="s">
        <v>11</v>
      </c>
      <c r="J470" t="s">
        <v>12</v>
      </c>
      <c r="K470">
        <v>48</v>
      </c>
      <c r="L470" t="str">
        <f>IF(Table1[[#This Row],[Age]]&lt;30,"20-29",
IF(Table1[[#This Row],[Age]]&lt;40,"30-39",
IF(Table1[[#This Row],[Age]]&lt;50,"40-49",
IF(Table1[[#This Row],[Age]]&lt;60,"50-59","60+"))))</f>
        <v>40-49</v>
      </c>
      <c r="M470" t="s">
        <v>13</v>
      </c>
      <c r="N470" t="s">
        <v>19</v>
      </c>
    </row>
    <row r="471" spans="1:14" x14ac:dyDescent="0.35">
      <c r="A471">
        <v>570</v>
      </c>
      <c r="B471" t="s">
        <v>29</v>
      </c>
      <c r="C471" s="6">
        <v>43588</v>
      </c>
      <c r="D471">
        <f>YEAR(Table1[[#This Row],[Join Date]])</f>
        <v>2019</v>
      </c>
      <c r="E471" s="6">
        <v>44896</v>
      </c>
      <c r="F471">
        <f>IFERROR(YEAR(Table1[[#This Row],[Exit Date]]), " ")</f>
        <v>2022</v>
      </c>
      <c r="G471">
        <f>IFERROR((Table1[[#This Row],[Exit Year]]-Table1[[#This Row],[Join Year]])+1," ")</f>
        <v>4</v>
      </c>
      <c r="H471" t="s">
        <v>41</v>
      </c>
      <c r="I471" t="s">
        <v>23</v>
      </c>
      <c r="J471" t="s">
        <v>12</v>
      </c>
      <c r="K471">
        <v>41</v>
      </c>
      <c r="L471" t="str">
        <f>IF(Table1[[#This Row],[Age]]&lt;30,"20-29",
IF(Table1[[#This Row],[Age]]&lt;40,"30-39",
IF(Table1[[#This Row],[Age]]&lt;50,"40-49",
IF(Table1[[#This Row],[Age]]&lt;60,"50-59","60+"))))</f>
        <v>40-49</v>
      </c>
      <c r="M471" t="s">
        <v>16</v>
      </c>
      <c r="N471" t="s">
        <v>25</v>
      </c>
    </row>
    <row r="472" spans="1:14" x14ac:dyDescent="0.35">
      <c r="A472">
        <v>571</v>
      </c>
      <c r="B472" t="s">
        <v>36</v>
      </c>
      <c r="C472" s="6">
        <v>44250</v>
      </c>
      <c r="D472">
        <f>YEAR(Table1[[#This Row],[Join Date]])</f>
        <v>2021</v>
      </c>
      <c r="E472" s="6">
        <v>45392</v>
      </c>
      <c r="F472">
        <f>IFERROR(YEAR(Table1[[#This Row],[Exit Date]]), " ")</f>
        <v>2024</v>
      </c>
      <c r="G472">
        <f>IFERROR((Table1[[#This Row],[Exit Year]]-Table1[[#This Row],[Join Year]])+1," ")</f>
        <v>4</v>
      </c>
      <c r="H472" t="s">
        <v>46</v>
      </c>
      <c r="I472" t="s">
        <v>23</v>
      </c>
      <c r="J472" t="s">
        <v>12</v>
      </c>
      <c r="K472">
        <v>35</v>
      </c>
      <c r="L472" t="str">
        <f>IF(Table1[[#This Row],[Age]]&lt;30,"20-29",
IF(Table1[[#This Row],[Age]]&lt;40,"30-39",
IF(Table1[[#This Row],[Age]]&lt;50,"40-49",
IF(Table1[[#This Row],[Age]]&lt;60,"50-59","60+"))))</f>
        <v>30-39</v>
      </c>
      <c r="M472" t="s">
        <v>16</v>
      </c>
      <c r="N472" t="s">
        <v>35</v>
      </c>
    </row>
    <row r="473" spans="1:14" x14ac:dyDescent="0.35">
      <c r="A473">
        <v>572</v>
      </c>
      <c r="B473" t="s">
        <v>26</v>
      </c>
      <c r="C473" s="6">
        <v>45244</v>
      </c>
      <c r="D473">
        <f>YEAR(Table1[[#This Row],[Join Date]])</f>
        <v>2023</v>
      </c>
      <c r="E473" s="6">
        <v>45446</v>
      </c>
      <c r="F473">
        <f>IFERROR(YEAR(Table1[[#This Row],[Exit Date]]), " ")</f>
        <v>2024</v>
      </c>
      <c r="G473">
        <f>IFERROR((Table1[[#This Row],[Exit Year]]-Table1[[#This Row],[Join Year]])+1," ")</f>
        <v>2</v>
      </c>
      <c r="H473" t="s">
        <v>40</v>
      </c>
      <c r="I473" t="s">
        <v>23</v>
      </c>
      <c r="J473" t="s">
        <v>12</v>
      </c>
      <c r="K473">
        <v>24</v>
      </c>
      <c r="L473" t="str">
        <f>IF(Table1[[#This Row],[Age]]&lt;30,"20-29",
IF(Table1[[#This Row],[Age]]&lt;40,"30-39",
IF(Table1[[#This Row],[Age]]&lt;50,"40-49",
IF(Table1[[#This Row],[Age]]&lt;60,"50-59","60+"))))</f>
        <v>20-29</v>
      </c>
      <c r="M473" t="s">
        <v>20</v>
      </c>
      <c r="N473" t="s">
        <v>17</v>
      </c>
    </row>
    <row r="474" spans="1:14" x14ac:dyDescent="0.35">
      <c r="A474">
        <v>573</v>
      </c>
      <c r="B474" t="s">
        <v>15</v>
      </c>
      <c r="C474" s="6">
        <v>45256</v>
      </c>
      <c r="D474">
        <f>YEAR(Table1[[#This Row],[Join Date]])</f>
        <v>2023</v>
      </c>
      <c r="E474" s="6" t="s">
        <v>48</v>
      </c>
      <c r="F474" t="str">
        <f>IFERROR(YEAR(Table1[[#This Row],[Exit Date]]), " ")</f>
        <v xml:space="preserve"> </v>
      </c>
      <c r="G474" t="str">
        <f>IFERROR((Table1[[#This Row],[Exit Year]]-Table1[[#This Row],[Join Year]])+1," ")</f>
        <v xml:space="preserve"> </v>
      </c>
      <c r="H474" t="s">
        <v>48</v>
      </c>
      <c r="I474" t="s">
        <v>11</v>
      </c>
      <c r="J474" t="s">
        <v>18</v>
      </c>
      <c r="K474">
        <v>41</v>
      </c>
      <c r="L474" t="str">
        <f>IF(Table1[[#This Row],[Age]]&lt;30,"20-29",
IF(Table1[[#This Row],[Age]]&lt;40,"30-39",
IF(Table1[[#This Row],[Age]]&lt;50,"40-49",
IF(Table1[[#This Row],[Age]]&lt;60,"50-59","60+"))))</f>
        <v>40-49</v>
      </c>
      <c r="M474" t="s">
        <v>24</v>
      </c>
      <c r="N474" t="s">
        <v>19</v>
      </c>
    </row>
    <row r="475" spans="1:14" x14ac:dyDescent="0.35">
      <c r="A475">
        <v>574</v>
      </c>
      <c r="B475" t="s">
        <v>26</v>
      </c>
      <c r="C475" s="6">
        <v>45465</v>
      </c>
      <c r="D475">
        <f>YEAR(Table1[[#This Row],[Join Date]])</f>
        <v>2024</v>
      </c>
      <c r="E475" s="6" t="s">
        <v>48</v>
      </c>
      <c r="F475" t="str">
        <f>IFERROR(YEAR(Table1[[#This Row],[Exit Date]]), " ")</f>
        <v xml:space="preserve"> </v>
      </c>
      <c r="G475" t="str">
        <f>IFERROR((Table1[[#This Row],[Exit Year]]-Table1[[#This Row],[Join Year]])+1," ")</f>
        <v xml:space="preserve"> </v>
      </c>
      <c r="H475" t="s">
        <v>48</v>
      </c>
      <c r="I475" t="s">
        <v>11</v>
      </c>
      <c r="J475" t="s">
        <v>18</v>
      </c>
      <c r="K475">
        <v>40</v>
      </c>
      <c r="L475" t="str">
        <f>IF(Table1[[#This Row],[Age]]&lt;30,"20-29",
IF(Table1[[#This Row],[Age]]&lt;40,"30-39",
IF(Table1[[#This Row],[Age]]&lt;50,"40-49",
IF(Table1[[#This Row],[Age]]&lt;60,"50-59","60+"))))</f>
        <v>40-49</v>
      </c>
      <c r="M475" t="s">
        <v>13</v>
      </c>
      <c r="N475" t="s">
        <v>21</v>
      </c>
    </row>
    <row r="476" spans="1:14" x14ac:dyDescent="0.35">
      <c r="A476">
        <v>575</v>
      </c>
      <c r="B476" t="s">
        <v>10</v>
      </c>
      <c r="C476" s="6">
        <v>43597</v>
      </c>
      <c r="D476">
        <f>YEAR(Table1[[#This Row],[Join Date]])</f>
        <v>2019</v>
      </c>
      <c r="E476" s="6" t="s">
        <v>48</v>
      </c>
      <c r="F476" t="str">
        <f>IFERROR(YEAR(Table1[[#This Row],[Exit Date]]), " ")</f>
        <v xml:space="preserve"> </v>
      </c>
      <c r="G476" t="str">
        <f>IFERROR((Table1[[#This Row],[Exit Year]]-Table1[[#This Row],[Join Year]])+1," ")</f>
        <v xml:space="preserve"> </v>
      </c>
      <c r="H476" t="s">
        <v>48</v>
      </c>
      <c r="I476" t="s">
        <v>11</v>
      </c>
      <c r="J476" t="s">
        <v>12</v>
      </c>
      <c r="K476">
        <v>48</v>
      </c>
      <c r="L476" t="str">
        <f>IF(Table1[[#This Row],[Age]]&lt;30,"20-29",
IF(Table1[[#This Row],[Age]]&lt;40,"30-39",
IF(Table1[[#This Row],[Age]]&lt;50,"40-49",
IF(Table1[[#This Row],[Age]]&lt;60,"50-59","60+"))))</f>
        <v>40-49</v>
      </c>
      <c r="M476" t="s">
        <v>42</v>
      </c>
      <c r="N476" t="s">
        <v>25</v>
      </c>
    </row>
    <row r="477" spans="1:14" x14ac:dyDescent="0.35">
      <c r="A477">
        <v>576</v>
      </c>
      <c r="B477" t="s">
        <v>15</v>
      </c>
      <c r="C477" s="6">
        <v>44866</v>
      </c>
      <c r="D477">
        <f>YEAR(Table1[[#This Row],[Join Date]])</f>
        <v>2022</v>
      </c>
      <c r="E477" s="6" t="s">
        <v>48</v>
      </c>
      <c r="F477" t="str">
        <f>IFERROR(YEAR(Table1[[#This Row],[Exit Date]]), " ")</f>
        <v xml:space="preserve"> </v>
      </c>
      <c r="G477" t="str">
        <f>IFERROR((Table1[[#This Row],[Exit Year]]-Table1[[#This Row],[Join Year]])+1," ")</f>
        <v xml:space="preserve"> </v>
      </c>
      <c r="H477" t="s">
        <v>48</v>
      </c>
      <c r="I477" t="s">
        <v>11</v>
      </c>
      <c r="J477" t="s">
        <v>12</v>
      </c>
      <c r="K477">
        <v>52</v>
      </c>
      <c r="L477" t="str">
        <f>IF(Table1[[#This Row],[Age]]&lt;30,"20-29",
IF(Table1[[#This Row],[Age]]&lt;40,"30-39",
IF(Table1[[#This Row],[Age]]&lt;50,"40-49",
IF(Table1[[#This Row],[Age]]&lt;60,"50-59","60+"))))</f>
        <v>50-59</v>
      </c>
      <c r="M477" t="s">
        <v>13</v>
      </c>
      <c r="N477" t="s">
        <v>35</v>
      </c>
    </row>
    <row r="478" spans="1:14" x14ac:dyDescent="0.35">
      <c r="A478">
        <v>577</v>
      </c>
      <c r="B478" t="s">
        <v>34</v>
      </c>
      <c r="C478" s="6">
        <v>44006</v>
      </c>
      <c r="D478">
        <f>YEAR(Table1[[#This Row],[Join Date]])</f>
        <v>2020</v>
      </c>
      <c r="E478" s="6">
        <v>44463</v>
      </c>
      <c r="F478">
        <f>IFERROR(YEAR(Table1[[#This Row],[Exit Date]]), " ")</f>
        <v>2021</v>
      </c>
      <c r="G478">
        <f>IFERROR((Table1[[#This Row],[Exit Year]]-Table1[[#This Row],[Join Year]])+1," ")</f>
        <v>2</v>
      </c>
      <c r="H478" t="s">
        <v>43</v>
      </c>
      <c r="I478" t="s">
        <v>23</v>
      </c>
      <c r="J478" t="s">
        <v>12</v>
      </c>
      <c r="K478">
        <v>33</v>
      </c>
      <c r="L478" t="str">
        <f>IF(Table1[[#This Row],[Age]]&lt;30,"20-29",
IF(Table1[[#This Row],[Age]]&lt;40,"30-39",
IF(Table1[[#This Row],[Age]]&lt;50,"40-49",
IF(Table1[[#This Row],[Age]]&lt;60,"50-59","60+"))))</f>
        <v>30-39</v>
      </c>
      <c r="M478" t="s">
        <v>13</v>
      </c>
      <c r="N478" t="s">
        <v>14</v>
      </c>
    </row>
    <row r="479" spans="1:14" x14ac:dyDescent="0.35">
      <c r="A479">
        <v>578</v>
      </c>
      <c r="B479" t="s">
        <v>26</v>
      </c>
      <c r="C479" s="6">
        <v>45095</v>
      </c>
      <c r="D479">
        <f>YEAR(Table1[[#This Row],[Join Date]])</f>
        <v>2023</v>
      </c>
      <c r="E479" s="6" t="s">
        <v>48</v>
      </c>
      <c r="F479" t="str">
        <f>IFERROR(YEAR(Table1[[#This Row],[Exit Date]]), " ")</f>
        <v xml:space="preserve"> </v>
      </c>
      <c r="G479" t="str">
        <f>IFERROR((Table1[[#This Row],[Exit Year]]-Table1[[#This Row],[Join Year]])+1," ")</f>
        <v xml:space="preserve"> </v>
      </c>
      <c r="H479" t="s">
        <v>48</v>
      </c>
      <c r="I479" t="s">
        <v>11</v>
      </c>
      <c r="J479" t="s">
        <v>18</v>
      </c>
      <c r="K479">
        <v>51</v>
      </c>
      <c r="L479" t="str">
        <f>IF(Table1[[#This Row],[Age]]&lt;30,"20-29",
IF(Table1[[#This Row],[Age]]&lt;40,"30-39",
IF(Table1[[#This Row],[Age]]&lt;50,"40-49",
IF(Table1[[#This Row],[Age]]&lt;60,"50-59","60+"))))</f>
        <v>50-59</v>
      </c>
      <c r="M479" t="s">
        <v>16</v>
      </c>
      <c r="N479" t="s">
        <v>19</v>
      </c>
    </row>
    <row r="480" spans="1:14" x14ac:dyDescent="0.35">
      <c r="A480">
        <v>579</v>
      </c>
      <c r="B480" t="s">
        <v>10</v>
      </c>
      <c r="C480" s="6">
        <v>44360</v>
      </c>
      <c r="D480">
        <f>YEAR(Table1[[#This Row],[Join Date]])</f>
        <v>2021</v>
      </c>
      <c r="E480" s="6">
        <v>44755</v>
      </c>
      <c r="F480">
        <f>IFERROR(YEAR(Table1[[#This Row],[Exit Date]]), " ")</f>
        <v>2022</v>
      </c>
      <c r="G480">
        <f>IFERROR((Table1[[#This Row],[Exit Year]]-Table1[[#This Row],[Join Year]])+1," ")</f>
        <v>2</v>
      </c>
      <c r="H480" t="s">
        <v>46</v>
      </c>
      <c r="I480" t="s">
        <v>23</v>
      </c>
      <c r="J480" t="s">
        <v>12</v>
      </c>
      <c r="K480">
        <v>46</v>
      </c>
      <c r="L480" t="str">
        <f>IF(Table1[[#This Row],[Age]]&lt;30,"20-29",
IF(Table1[[#This Row],[Age]]&lt;40,"30-39",
IF(Table1[[#This Row],[Age]]&lt;50,"40-49",
IF(Table1[[#This Row],[Age]]&lt;60,"50-59","60+"))))</f>
        <v>40-49</v>
      </c>
      <c r="M480" t="s">
        <v>13</v>
      </c>
      <c r="N480" t="s">
        <v>21</v>
      </c>
    </row>
    <row r="481" spans="1:14" x14ac:dyDescent="0.35">
      <c r="A481">
        <v>580</v>
      </c>
      <c r="B481" t="s">
        <v>26</v>
      </c>
      <c r="C481" s="6">
        <v>43419</v>
      </c>
      <c r="D481">
        <f>YEAR(Table1[[#This Row],[Join Date]])</f>
        <v>2018</v>
      </c>
      <c r="E481" s="6">
        <v>44303</v>
      </c>
      <c r="F481">
        <f>IFERROR(YEAR(Table1[[#This Row],[Exit Date]]), " ")</f>
        <v>2021</v>
      </c>
      <c r="G481">
        <f>IFERROR((Table1[[#This Row],[Exit Year]]-Table1[[#This Row],[Join Year]])+1," ")</f>
        <v>4</v>
      </c>
      <c r="H481" t="s">
        <v>22</v>
      </c>
      <c r="I481" t="s">
        <v>23</v>
      </c>
      <c r="J481" t="s">
        <v>12</v>
      </c>
      <c r="K481">
        <v>53</v>
      </c>
      <c r="L481" t="str">
        <f>IF(Table1[[#This Row],[Age]]&lt;30,"20-29",
IF(Table1[[#This Row],[Age]]&lt;40,"30-39",
IF(Table1[[#This Row],[Age]]&lt;50,"40-49",
IF(Table1[[#This Row],[Age]]&lt;60,"50-59","60+"))))</f>
        <v>50-59</v>
      </c>
      <c r="M481" t="s">
        <v>20</v>
      </c>
      <c r="N481" t="s">
        <v>37</v>
      </c>
    </row>
    <row r="482" spans="1:14" x14ac:dyDescent="0.35">
      <c r="A482">
        <v>581</v>
      </c>
      <c r="B482" t="s">
        <v>36</v>
      </c>
      <c r="C482" s="6">
        <v>44249</v>
      </c>
      <c r="D482">
        <f>YEAR(Table1[[#This Row],[Join Date]])</f>
        <v>2021</v>
      </c>
      <c r="E482" s="6" t="s">
        <v>48</v>
      </c>
      <c r="F482" t="str">
        <f>IFERROR(YEAR(Table1[[#This Row],[Exit Date]]), " ")</f>
        <v xml:space="preserve"> </v>
      </c>
      <c r="G482" t="str">
        <f>IFERROR((Table1[[#This Row],[Exit Year]]-Table1[[#This Row],[Join Year]])+1," ")</f>
        <v xml:space="preserve"> </v>
      </c>
      <c r="H482" t="s">
        <v>48</v>
      </c>
      <c r="I482" t="s">
        <v>11</v>
      </c>
      <c r="J482" t="s">
        <v>18</v>
      </c>
      <c r="K482">
        <v>35</v>
      </c>
      <c r="L482" t="str">
        <f>IF(Table1[[#This Row],[Age]]&lt;30,"20-29",
IF(Table1[[#This Row],[Age]]&lt;40,"30-39",
IF(Table1[[#This Row],[Age]]&lt;50,"40-49",
IF(Table1[[#This Row],[Age]]&lt;60,"50-59","60+"))))</f>
        <v>30-39</v>
      </c>
      <c r="M482" t="s">
        <v>44</v>
      </c>
      <c r="N482" t="s">
        <v>25</v>
      </c>
    </row>
    <row r="483" spans="1:14" x14ac:dyDescent="0.35">
      <c r="A483">
        <v>582</v>
      </c>
      <c r="B483" t="s">
        <v>10</v>
      </c>
      <c r="C483" s="6">
        <v>45533</v>
      </c>
      <c r="D483">
        <f>YEAR(Table1[[#This Row],[Join Date]])</f>
        <v>2024</v>
      </c>
      <c r="E483" s="6" t="s">
        <v>48</v>
      </c>
      <c r="F483" t="str">
        <f>IFERROR(YEAR(Table1[[#This Row],[Exit Date]]), " ")</f>
        <v xml:space="preserve"> </v>
      </c>
      <c r="G483" t="str">
        <f>IFERROR((Table1[[#This Row],[Exit Year]]-Table1[[#This Row],[Join Year]])+1," ")</f>
        <v xml:space="preserve"> </v>
      </c>
      <c r="H483" t="s">
        <v>48</v>
      </c>
      <c r="I483" t="s">
        <v>11</v>
      </c>
      <c r="J483" t="s">
        <v>12</v>
      </c>
      <c r="K483">
        <v>32</v>
      </c>
      <c r="L483" t="str">
        <f>IF(Table1[[#This Row],[Age]]&lt;30,"20-29",
IF(Table1[[#This Row],[Age]]&lt;40,"30-39",
IF(Table1[[#This Row],[Age]]&lt;50,"40-49",
IF(Table1[[#This Row],[Age]]&lt;60,"50-59","60+"))))</f>
        <v>30-39</v>
      </c>
      <c r="M483" t="s">
        <v>13</v>
      </c>
      <c r="N483" t="s">
        <v>35</v>
      </c>
    </row>
    <row r="484" spans="1:14" x14ac:dyDescent="0.35">
      <c r="A484">
        <v>583</v>
      </c>
      <c r="B484" t="s">
        <v>36</v>
      </c>
      <c r="C484" s="6">
        <v>44377</v>
      </c>
      <c r="D484">
        <f>YEAR(Table1[[#This Row],[Join Date]])</f>
        <v>2021</v>
      </c>
      <c r="E484" s="6" t="s">
        <v>48</v>
      </c>
      <c r="F484" t="str">
        <f>IFERROR(YEAR(Table1[[#This Row],[Exit Date]]), " ")</f>
        <v xml:space="preserve"> </v>
      </c>
      <c r="G484" t="str">
        <f>IFERROR((Table1[[#This Row],[Exit Year]]-Table1[[#This Row],[Join Year]])+1," ")</f>
        <v xml:space="preserve"> </v>
      </c>
      <c r="H484" t="s">
        <v>48</v>
      </c>
      <c r="I484" t="s">
        <v>11</v>
      </c>
      <c r="J484" t="s">
        <v>18</v>
      </c>
      <c r="K484">
        <v>46</v>
      </c>
      <c r="L484" t="str">
        <f>IF(Table1[[#This Row],[Age]]&lt;30,"20-29",
IF(Table1[[#This Row],[Age]]&lt;40,"30-39",
IF(Table1[[#This Row],[Age]]&lt;50,"40-49",
IF(Table1[[#This Row],[Age]]&lt;60,"50-59","60+"))))</f>
        <v>40-49</v>
      </c>
      <c r="M484" t="s">
        <v>16</v>
      </c>
      <c r="N484" t="s">
        <v>19</v>
      </c>
    </row>
    <row r="485" spans="1:14" x14ac:dyDescent="0.35">
      <c r="A485">
        <v>584</v>
      </c>
      <c r="B485" t="s">
        <v>10</v>
      </c>
      <c r="C485" s="6">
        <v>44088</v>
      </c>
      <c r="D485">
        <f>YEAR(Table1[[#This Row],[Join Date]])</f>
        <v>2020</v>
      </c>
      <c r="E485" s="6" t="s">
        <v>48</v>
      </c>
      <c r="F485" t="str">
        <f>IFERROR(YEAR(Table1[[#This Row],[Exit Date]]), " ")</f>
        <v xml:space="preserve"> </v>
      </c>
      <c r="G485" t="str">
        <f>IFERROR((Table1[[#This Row],[Exit Year]]-Table1[[#This Row],[Join Year]])+1," ")</f>
        <v xml:space="preserve"> </v>
      </c>
      <c r="H485" t="s">
        <v>48</v>
      </c>
      <c r="I485" t="s">
        <v>11</v>
      </c>
      <c r="J485" t="s">
        <v>18</v>
      </c>
      <c r="K485">
        <v>50</v>
      </c>
      <c r="L485" t="str">
        <f>IF(Table1[[#This Row],[Age]]&lt;30,"20-29",
IF(Table1[[#This Row],[Age]]&lt;40,"30-39",
IF(Table1[[#This Row],[Age]]&lt;50,"40-49",
IF(Table1[[#This Row],[Age]]&lt;60,"50-59","60+"))))</f>
        <v>50-59</v>
      </c>
      <c r="M485" t="s">
        <v>16</v>
      </c>
      <c r="N485" t="s">
        <v>25</v>
      </c>
    </row>
    <row r="486" spans="1:14" x14ac:dyDescent="0.35">
      <c r="A486">
        <v>585</v>
      </c>
      <c r="B486" t="s">
        <v>26</v>
      </c>
      <c r="C486" s="6">
        <v>43373</v>
      </c>
      <c r="D486">
        <f>YEAR(Table1[[#This Row],[Join Date]])</f>
        <v>2018</v>
      </c>
      <c r="E486" s="6">
        <v>44825</v>
      </c>
      <c r="F486">
        <f>IFERROR(YEAR(Table1[[#This Row],[Exit Date]]), " ")</f>
        <v>2022</v>
      </c>
      <c r="G486">
        <f>IFERROR((Table1[[#This Row],[Exit Year]]-Table1[[#This Row],[Join Year]])+1," ")</f>
        <v>5</v>
      </c>
      <c r="H486" t="s">
        <v>27</v>
      </c>
      <c r="I486" t="s">
        <v>23</v>
      </c>
      <c r="J486" t="s">
        <v>12</v>
      </c>
      <c r="K486">
        <v>65</v>
      </c>
      <c r="L486" t="str">
        <f>IF(Table1[[#This Row],[Age]]&lt;30,"20-29",
IF(Table1[[#This Row],[Age]]&lt;40,"30-39",
IF(Table1[[#This Row],[Age]]&lt;50,"40-49",
IF(Table1[[#This Row],[Age]]&lt;60,"50-59","60+"))))</f>
        <v>60+</v>
      </c>
      <c r="M486" t="s">
        <v>20</v>
      </c>
      <c r="N486" t="s">
        <v>35</v>
      </c>
    </row>
    <row r="487" spans="1:14" x14ac:dyDescent="0.35">
      <c r="A487">
        <v>586</v>
      </c>
      <c r="B487" t="s">
        <v>26</v>
      </c>
      <c r="C487" s="6">
        <v>43314</v>
      </c>
      <c r="D487">
        <f>YEAR(Table1[[#This Row],[Join Date]])</f>
        <v>2018</v>
      </c>
      <c r="E487" s="6" t="s">
        <v>48</v>
      </c>
      <c r="F487" t="str">
        <f>IFERROR(YEAR(Table1[[#This Row],[Exit Date]]), " ")</f>
        <v xml:space="preserve"> </v>
      </c>
      <c r="G487" t="str">
        <f>IFERROR((Table1[[#This Row],[Exit Year]]-Table1[[#This Row],[Join Year]])+1," ")</f>
        <v xml:space="preserve"> </v>
      </c>
      <c r="H487" t="s">
        <v>48</v>
      </c>
      <c r="I487" t="s">
        <v>11</v>
      </c>
      <c r="J487" t="s">
        <v>12</v>
      </c>
      <c r="K487">
        <v>29</v>
      </c>
      <c r="L487" t="str">
        <f>IF(Table1[[#This Row],[Age]]&lt;30,"20-29",
IF(Table1[[#This Row],[Age]]&lt;40,"30-39",
IF(Table1[[#This Row],[Age]]&lt;50,"40-49",
IF(Table1[[#This Row],[Age]]&lt;60,"50-59","60+"))))</f>
        <v>20-29</v>
      </c>
      <c r="M487" t="s">
        <v>24</v>
      </c>
      <c r="N487" t="s">
        <v>17</v>
      </c>
    </row>
    <row r="488" spans="1:14" x14ac:dyDescent="0.35">
      <c r="A488">
        <v>587</v>
      </c>
      <c r="B488" t="s">
        <v>26</v>
      </c>
      <c r="C488" s="6">
        <v>44418</v>
      </c>
      <c r="D488">
        <f>YEAR(Table1[[#This Row],[Join Date]])</f>
        <v>2021</v>
      </c>
      <c r="E488" s="6">
        <v>45628</v>
      </c>
      <c r="F488">
        <f>IFERROR(YEAR(Table1[[#This Row],[Exit Date]]), " ")</f>
        <v>2024</v>
      </c>
      <c r="G488">
        <f>IFERROR((Table1[[#This Row],[Exit Year]]-Table1[[#This Row],[Join Year]])+1," ")</f>
        <v>4</v>
      </c>
      <c r="H488" t="s">
        <v>22</v>
      </c>
      <c r="I488" t="s">
        <v>23</v>
      </c>
      <c r="J488" t="s">
        <v>12</v>
      </c>
      <c r="K488">
        <v>27</v>
      </c>
      <c r="L488" t="str">
        <f>IF(Table1[[#This Row],[Age]]&lt;30,"20-29",
IF(Table1[[#This Row],[Age]]&lt;40,"30-39",
IF(Table1[[#This Row],[Age]]&lt;50,"40-49",
IF(Table1[[#This Row],[Age]]&lt;60,"50-59","60+"))))</f>
        <v>20-29</v>
      </c>
      <c r="M488" t="s">
        <v>13</v>
      </c>
      <c r="N488" t="s">
        <v>19</v>
      </c>
    </row>
    <row r="489" spans="1:14" x14ac:dyDescent="0.35">
      <c r="A489">
        <v>588</v>
      </c>
      <c r="B489" t="s">
        <v>34</v>
      </c>
      <c r="C489" s="6">
        <v>44324</v>
      </c>
      <c r="D489">
        <f>YEAR(Table1[[#This Row],[Join Date]])</f>
        <v>2021</v>
      </c>
      <c r="E489" s="6">
        <v>45076</v>
      </c>
      <c r="F489">
        <f>IFERROR(YEAR(Table1[[#This Row],[Exit Date]]), " ")</f>
        <v>2023</v>
      </c>
      <c r="G489">
        <f>IFERROR((Table1[[#This Row],[Exit Year]]-Table1[[#This Row],[Join Year]])+1," ")</f>
        <v>3</v>
      </c>
      <c r="H489" t="s">
        <v>40</v>
      </c>
      <c r="I489" t="s">
        <v>23</v>
      </c>
      <c r="J489" t="s">
        <v>18</v>
      </c>
      <c r="K489">
        <v>31</v>
      </c>
      <c r="L489" t="str">
        <f>IF(Table1[[#This Row],[Age]]&lt;30,"20-29",
IF(Table1[[#This Row],[Age]]&lt;40,"30-39",
IF(Table1[[#This Row],[Age]]&lt;50,"40-49",
IF(Table1[[#This Row],[Age]]&lt;60,"50-59","60+"))))</f>
        <v>30-39</v>
      </c>
      <c r="M489" t="s">
        <v>44</v>
      </c>
      <c r="N489" t="s">
        <v>21</v>
      </c>
    </row>
    <row r="490" spans="1:14" x14ac:dyDescent="0.35">
      <c r="A490">
        <v>589</v>
      </c>
      <c r="B490" t="s">
        <v>10</v>
      </c>
      <c r="C490" s="6">
        <v>43513</v>
      </c>
      <c r="D490">
        <f>YEAR(Table1[[#This Row],[Join Date]])</f>
        <v>2019</v>
      </c>
      <c r="E490" s="6">
        <v>44923</v>
      </c>
      <c r="F490">
        <f>IFERROR(YEAR(Table1[[#This Row],[Exit Date]]), " ")</f>
        <v>2022</v>
      </c>
      <c r="G490">
        <f>IFERROR((Table1[[#This Row],[Exit Year]]-Table1[[#This Row],[Join Year]])+1," ")</f>
        <v>4</v>
      </c>
      <c r="H490" t="s">
        <v>46</v>
      </c>
      <c r="I490" t="s">
        <v>23</v>
      </c>
      <c r="J490" t="s">
        <v>18</v>
      </c>
      <c r="K490">
        <v>24</v>
      </c>
      <c r="L490" t="str">
        <f>IF(Table1[[#This Row],[Age]]&lt;30,"20-29",
IF(Table1[[#This Row],[Age]]&lt;40,"30-39",
IF(Table1[[#This Row],[Age]]&lt;50,"40-49",
IF(Table1[[#This Row],[Age]]&lt;60,"50-59","60+"))))</f>
        <v>20-29</v>
      </c>
      <c r="M490" t="s">
        <v>13</v>
      </c>
      <c r="N490" t="s">
        <v>25</v>
      </c>
    </row>
    <row r="491" spans="1:14" x14ac:dyDescent="0.35">
      <c r="A491">
        <v>590</v>
      </c>
      <c r="B491" t="s">
        <v>36</v>
      </c>
      <c r="C491" s="6">
        <v>44180</v>
      </c>
      <c r="D491">
        <f>YEAR(Table1[[#This Row],[Join Date]])</f>
        <v>2020</v>
      </c>
      <c r="E491" s="6" t="s">
        <v>48</v>
      </c>
      <c r="F491" t="str">
        <f>IFERROR(YEAR(Table1[[#This Row],[Exit Date]]), " ")</f>
        <v xml:space="preserve"> </v>
      </c>
      <c r="G491" t="str">
        <f>IFERROR((Table1[[#This Row],[Exit Year]]-Table1[[#This Row],[Join Year]])+1," ")</f>
        <v xml:space="preserve"> </v>
      </c>
      <c r="H491" t="s">
        <v>48</v>
      </c>
      <c r="I491" t="s">
        <v>11</v>
      </c>
      <c r="J491" t="s">
        <v>12</v>
      </c>
      <c r="K491">
        <v>37</v>
      </c>
      <c r="L491" t="str">
        <f>IF(Table1[[#This Row],[Age]]&lt;30,"20-29",
IF(Table1[[#This Row],[Age]]&lt;40,"30-39",
IF(Table1[[#This Row],[Age]]&lt;50,"40-49",
IF(Table1[[#This Row],[Age]]&lt;60,"50-59","60+"))))</f>
        <v>30-39</v>
      </c>
      <c r="M491" t="s">
        <v>13</v>
      </c>
      <c r="N491" t="s">
        <v>35</v>
      </c>
    </row>
    <row r="492" spans="1:14" x14ac:dyDescent="0.35">
      <c r="A492">
        <v>591</v>
      </c>
      <c r="B492" t="s">
        <v>34</v>
      </c>
      <c r="C492" s="6">
        <v>44099</v>
      </c>
      <c r="D492">
        <f>YEAR(Table1[[#This Row],[Join Date]])</f>
        <v>2020</v>
      </c>
      <c r="E492" s="6" t="s">
        <v>48</v>
      </c>
      <c r="F492" t="str">
        <f>IFERROR(YEAR(Table1[[#This Row],[Exit Date]]), " ")</f>
        <v xml:space="preserve"> </v>
      </c>
      <c r="G492" t="str">
        <f>IFERROR((Table1[[#This Row],[Exit Year]]-Table1[[#This Row],[Join Year]])+1," ")</f>
        <v xml:space="preserve"> </v>
      </c>
      <c r="H492" t="s">
        <v>48</v>
      </c>
      <c r="I492" t="s">
        <v>11</v>
      </c>
      <c r="J492" t="s">
        <v>18</v>
      </c>
      <c r="K492">
        <v>23</v>
      </c>
      <c r="L492" t="str">
        <f>IF(Table1[[#This Row],[Age]]&lt;30,"20-29",
IF(Table1[[#This Row],[Age]]&lt;40,"30-39",
IF(Table1[[#This Row],[Age]]&lt;50,"40-49",
IF(Table1[[#This Row],[Age]]&lt;60,"50-59","60+"))))</f>
        <v>20-29</v>
      </c>
      <c r="M492" t="s">
        <v>16</v>
      </c>
      <c r="N492" t="s">
        <v>14</v>
      </c>
    </row>
    <row r="493" spans="1:14" x14ac:dyDescent="0.35">
      <c r="A493">
        <v>592</v>
      </c>
      <c r="B493" t="s">
        <v>34</v>
      </c>
      <c r="C493" s="6">
        <v>45632</v>
      </c>
      <c r="D493">
        <f>YEAR(Table1[[#This Row],[Join Date]])</f>
        <v>2024</v>
      </c>
      <c r="E493" s="6" t="s">
        <v>48</v>
      </c>
      <c r="F493" t="str">
        <f>IFERROR(YEAR(Table1[[#This Row],[Exit Date]]), " ")</f>
        <v xml:space="preserve"> </v>
      </c>
      <c r="G493" t="str">
        <f>IFERROR((Table1[[#This Row],[Exit Year]]-Table1[[#This Row],[Join Year]])+1," ")</f>
        <v xml:space="preserve"> </v>
      </c>
      <c r="H493" t="s">
        <v>48</v>
      </c>
      <c r="I493" t="s">
        <v>11</v>
      </c>
      <c r="J493" t="s">
        <v>18</v>
      </c>
      <c r="K493">
        <v>31</v>
      </c>
      <c r="L493" t="str">
        <f>IF(Table1[[#This Row],[Age]]&lt;30,"20-29",
IF(Table1[[#This Row],[Age]]&lt;40,"30-39",
IF(Table1[[#This Row],[Age]]&lt;50,"40-49",
IF(Table1[[#This Row],[Age]]&lt;60,"50-59","60+"))))</f>
        <v>30-39</v>
      </c>
      <c r="M493" t="s">
        <v>13</v>
      </c>
      <c r="N493" t="s">
        <v>19</v>
      </c>
    </row>
    <row r="494" spans="1:14" x14ac:dyDescent="0.35">
      <c r="A494">
        <v>593</v>
      </c>
      <c r="B494" t="s">
        <v>36</v>
      </c>
      <c r="C494" s="6">
        <v>45294</v>
      </c>
      <c r="D494">
        <f>YEAR(Table1[[#This Row],[Join Date]])</f>
        <v>2024</v>
      </c>
      <c r="E494" s="6" t="s">
        <v>48</v>
      </c>
      <c r="F494" t="str">
        <f>IFERROR(YEAR(Table1[[#This Row],[Exit Date]]), " ")</f>
        <v xml:space="preserve"> </v>
      </c>
      <c r="G494" t="str">
        <f>IFERROR((Table1[[#This Row],[Exit Year]]-Table1[[#This Row],[Join Year]])+1," ")</f>
        <v xml:space="preserve"> </v>
      </c>
      <c r="H494" t="s">
        <v>48</v>
      </c>
      <c r="I494" t="s">
        <v>11</v>
      </c>
      <c r="J494" t="s">
        <v>12</v>
      </c>
      <c r="K494">
        <v>52</v>
      </c>
      <c r="L494" t="str">
        <f>IF(Table1[[#This Row],[Age]]&lt;30,"20-29",
IF(Table1[[#This Row],[Age]]&lt;40,"30-39",
IF(Table1[[#This Row],[Age]]&lt;50,"40-49",
IF(Table1[[#This Row],[Age]]&lt;60,"50-59","60+"))))</f>
        <v>50-59</v>
      </c>
      <c r="M494" t="s">
        <v>20</v>
      </c>
      <c r="N494" t="s">
        <v>21</v>
      </c>
    </row>
    <row r="495" spans="1:14" x14ac:dyDescent="0.35">
      <c r="A495">
        <v>594</v>
      </c>
      <c r="B495" t="s">
        <v>26</v>
      </c>
      <c r="C495" s="6">
        <v>44590</v>
      </c>
      <c r="D495">
        <f>YEAR(Table1[[#This Row],[Join Date]])</f>
        <v>2022</v>
      </c>
      <c r="E495" s="6" t="s">
        <v>48</v>
      </c>
      <c r="F495" t="str">
        <f>IFERROR(YEAR(Table1[[#This Row],[Exit Date]]), " ")</f>
        <v xml:space="preserve"> </v>
      </c>
      <c r="G495" t="str">
        <f>IFERROR((Table1[[#This Row],[Exit Year]]-Table1[[#This Row],[Join Year]])+1," ")</f>
        <v xml:space="preserve"> </v>
      </c>
      <c r="H495" t="s">
        <v>48</v>
      </c>
      <c r="I495" t="s">
        <v>11</v>
      </c>
      <c r="J495" t="s">
        <v>12</v>
      </c>
      <c r="K495">
        <v>25</v>
      </c>
      <c r="L495" t="str">
        <f>IF(Table1[[#This Row],[Age]]&lt;30,"20-29",
IF(Table1[[#This Row],[Age]]&lt;40,"30-39",
IF(Table1[[#This Row],[Age]]&lt;50,"40-49",
IF(Table1[[#This Row],[Age]]&lt;60,"50-59","60+"))))</f>
        <v>20-29</v>
      </c>
      <c r="M495" t="s">
        <v>44</v>
      </c>
      <c r="N495" t="s">
        <v>37</v>
      </c>
    </row>
    <row r="496" spans="1:14" x14ac:dyDescent="0.35">
      <c r="A496">
        <v>595</v>
      </c>
      <c r="B496" t="s">
        <v>15</v>
      </c>
      <c r="C496" s="6">
        <v>45215</v>
      </c>
      <c r="D496">
        <f>YEAR(Table1[[#This Row],[Join Date]])</f>
        <v>2023</v>
      </c>
      <c r="E496" s="6" t="s">
        <v>48</v>
      </c>
      <c r="F496" t="str">
        <f>IFERROR(YEAR(Table1[[#This Row],[Exit Date]]), " ")</f>
        <v xml:space="preserve"> </v>
      </c>
      <c r="G496" t="str">
        <f>IFERROR((Table1[[#This Row],[Exit Year]]-Table1[[#This Row],[Join Year]])+1," ")</f>
        <v xml:space="preserve"> </v>
      </c>
      <c r="H496" t="s">
        <v>48</v>
      </c>
      <c r="I496" t="s">
        <v>11</v>
      </c>
      <c r="J496" t="s">
        <v>12</v>
      </c>
      <c r="K496">
        <v>46</v>
      </c>
      <c r="L496" t="str">
        <f>IF(Table1[[#This Row],[Age]]&lt;30,"20-29",
IF(Table1[[#This Row],[Age]]&lt;40,"30-39",
IF(Table1[[#This Row],[Age]]&lt;50,"40-49",
IF(Table1[[#This Row],[Age]]&lt;60,"50-59","60+"))))</f>
        <v>40-49</v>
      </c>
      <c r="M496" t="s">
        <v>13</v>
      </c>
      <c r="N496" t="s">
        <v>25</v>
      </c>
    </row>
    <row r="497" spans="1:14" x14ac:dyDescent="0.35">
      <c r="A497">
        <v>596</v>
      </c>
      <c r="B497" t="s">
        <v>15</v>
      </c>
      <c r="C497" s="6">
        <v>43624</v>
      </c>
      <c r="D497">
        <f>YEAR(Table1[[#This Row],[Join Date]])</f>
        <v>2019</v>
      </c>
      <c r="E497" s="6">
        <v>44228</v>
      </c>
      <c r="F497">
        <f>IFERROR(YEAR(Table1[[#This Row],[Exit Date]]), " ")</f>
        <v>2021</v>
      </c>
      <c r="G497">
        <f>IFERROR((Table1[[#This Row],[Exit Year]]-Table1[[#This Row],[Join Year]])+1," ")</f>
        <v>3</v>
      </c>
      <c r="H497" t="s">
        <v>41</v>
      </c>
      <c r="I497" t="s">
        <v>23</v>
      </c>
      <c r="J497" t="s">
        <v>12</v>
      </c>
      <c r="K497">
        <v>24</v>
      </c>
      <c r="L497" t="str">
        <f>IF(Table1[[#This Row],[Age]]&lt;30,"20-29",
IF(Table1[[#This Row],[Age]]&lt;40,"30-39",
IF(Table1[[#This Row],[Age]]&lt;50,"40-49",
IF(Table1[[#This Row],[Age]]&lt;60,"50-59","60+"))))</f>
        <v>20-29</v>
      </c>
      <c r="M497" t="s">
        <v>16</v>
      </c>
      <c r="N497" t="s">
        <v>35</v>
      </c>
    </row>
    <row r="498" spans="1:14" x14ac:dyDescent="0.35">
      <c r="A498">
        <v>597</v>
      </c>
      <c r="B498" t="s">
        <v>15</v>
      </c>
      <c r="C498" s="6">
        <v>44514</v>
      </c>
      <c r="D498">
        <f>YEAR(Table1[[#This Row],[Join Date]])</f>
        <v>2021</v>
      </c>
      <c r="E498" s="6">
        <v>45529</v>
      </c>
      <c r="F498">
        <f>IFERROR(YEAR(Table1[[#This Row],[Exit Date]]), " ")</f>
        <v>2024</v>
      </c>
      <c r="G498">
        <f>IFERROR((Table1[[#This Row],[Exit Year]]-Table1[[#This Row],[Join Year]])+1," ")</f>
        <v>4</v>
      </c>
      <c r="H498" t="s">
        <v>41</v>
      </c>
      <c r="I498" t="s">
        <v>23</v>
      </c>
      <c r="J498" t="s">
        <v>18</v>
      </c>
      <c r="K498">
        <v>38</v>
      </c>
      <c r="L498" t="str">
        <f>IF(Table1[[#This Row],[Age]]&lt;30,"20-29",
IF(Table1[[#This Row],[Age]]&lt;40,"30-39",
IF(Table1[[#This Row],[Age]]&lt;50,"40-49",
IF(Table1[[#This Row],[Age]]&lt;60,"50-59","60+"))))</f>
        <v>30-39</v>
      </c>
      <c r="M498" t="s">
        <v>16</v>
      </c>
      <c r="N498" t="s">
        <v>14</v>
      </c>
    </row>
    <row r="499" spans="1:14" x14ac:dyDescent="0.35">
      <c r="A499">
        <v>598</v>
      </c>
      <c r="B499" t="s">
        <v>29</v>
      </c>
      <c r="C499" s="6">
        <v>43700</v>
      </c>
      <c r="D499">
        <f>YEAR(Table1[[#This Row],[Join Date]])</f>
        <v>2019</v>
      </c>
      <c r="E499" s="6" t="s">
        <v>48</v>
      </c>
      <c r="F499" t="str">
        <f>IFERROR(YEAR(Table1[[#This Row],[Exit Date]]), " ")</f>
        <v xml:space="preserve"> </v>
      </c>
      <c r="G499" t="str">
        <f>IFERROR((Table1[[#This Row],[Exit Year]]-Table1[[#This Row],[Join Year]])+1," ")</f>
        <v xml:space="preserve"> </v>
      </c>
      <c r="H499" t="s">
        <v>48</v>
      </c>
      <c r="I499" t="s">
        <v>11</v>
      </c>
      <c r="J499" t="s">
        <v>18</v>
      </c>
      <c r="K499">
        <v>49</v>
      </c>
      <c r="L499" t="str">
        <f>IF(Table1[[#This Row],[Age]]&lt;30,"20-29",
IF(Table1[[#This Row],[Age]]&lt;40,"30-39",
IF(Table1[[#This Row],[Age]]&lt;50,"40-49",
IF(Table1[[#This Row],[Age]]&lt;60,"50-59","60+"))))</f>
        <v>40-49</v>
      </c>
      <c r="M499" t="s">
        <v>20</v>
      </c>
      <c r="N499" t="s">
        <v>17</v>
      </c>
    </row>
    <row r="500" spans="1:14" x14ac:dyDescent="0.35">
      <c r="A500">
        <v>599</v>
      </c>
      <c r="B500" t="s">
        <v>34</v>
      </c>
      <c r="C500" s="6">
        <v>45540</v>
      </c>
      <c r="D500">
        <f>YEAR(Table1[[#This Row],[Join Date]])</f>
        <v>2024</v>
      </c>
      <c r="E500" s="6" t="s">
        <v>48</v>
      </c>
      <c r="F500" t="str">
        <f>IFERROR(YEAR(Table1[[#This Row],[Exit Date]]), " ")</f>
        <v xml:space="preserve"> </v>
      </c>
      <c r="G500" t="str">
        <f>IFERROR((Table1[[#This Row],[Exit Year]]-Table1[[#This Row],[Join Year]])+1," ")</f>
        <v xml:space="preserve"> </v>
      </c>
      <c r="H500" t="s">
        <v>48</v>
      </c>
      <c r="I500" t="s">
        <v>11</v>
      </c>
      <c r="J500" t="s">
        <v>18</v>
      </c>
      <c r="K500">
        <v>31</v>
      </c>
      <c r="L500" t="str">
        <f>IF(Table1[[#This Row],[Age]]&lt;30,"20-29",
IF(Table1[[#This Row],[Age]]&lt;40,"30-39",
IF(Table1[[#This Row],[Age]]&lt;50,"40-49",
IF(Table1[[#This Row],[Age]]&lt;60,"50-59","60+"))))</f>
        <v>30-39</v>
      </c>
      <c r="M500" t="s">
        <v>24</v>
      </c>
      <c r="N500" t="s">
        <v>19</v>
      </c>
    </row>
    <row r="501" spans="1:14" x14ac:dyDescent="0.35">
      <c r="A501">
        <v>600</v>
      </c>
      <c r="B501" t="s">
        <v>10</v>
      </c>
      <c r="C501" s="6">
        <v>43297</v>
      </c>
      <c r="D501">
        <f>YEAR(Table1[[#This Row],[Join Date]])</f>
        <v>2018</v>
      </c>
      <c r="E501" s="6">
        <v>44682</v>
      </c>
      <c r="F501">
        <f>IFERROR(YEAR(Table1[[#This Row],[Exit Date]]), " ")</f>
        <v>2022</v>
      </c>
      <c r="G501">
        <f>IFERROR((Table1[[#This Row],[Exit Year]]-Table1[[#This Row],[Join Year]])+1," ")</f>
        <v>5</v>
      </c>
      <c r="H501" t="s">
        <v>40</v>
      </c>
      <c r="I501" t="s">
        <v>23</v>
      </c>
      <c r="J501" t="s">
        <v>12</v>
      </c>
      <c r="K501">
        <v>51</v>
      </c>
      <c r="L501" t="str">
        <f>IF(Table1[[#This Row],[Age]]&lt;30,"20-29",
IF(Table1[[#This Row],[Age]]&lt;40,"30-39",
IF(Table1[[#This Row],[Age]]&lt;50,"40-49",
IF(Table1[[#This Row],[Age]]&lt;60,"50-59","60+"))))</f>
        <v>50-59</v>
      </c>
      <c r="M501" t="s">
        <v>13</v>
      </c>
      <c r="N501" t="s">
        <v>21</v>
      </c>
    </row>
    <row r="502" spans="1:14" x14ac:dyDescent="0.35">
      <c r="A502">
        <v>601</v>
      </c>
      <c r="B502" t="s">
        <v>10</v>
      </c>
      <c r="C502" s="6">
        <v>43407</v>
      </c>
      <c r="D502">
        <f>YEAR(Table1[[#This Row],[Join Date]])</f>
        <v>2018</v>
      </c>
      <c r="E502" s="6" t="s">
        <v>48</v>
      </c>
      <c r="F502" t="str">
        <f>IFERROR(YEAR(Table1[[#This Row],[Exit Date]]), " ")</f>
        <v xml:space="preserve"> </v>
      </c>
      <c r="G502" t="str">
        <f>IFERROR((Table1[[#This Row],[Exit Year]]-Table1[[#This Row],[Join Year]])+1," ")</f>
        <v xml:space="preserve"> </v>
      </c>
      <c r="H502" t="s">
        <v>48</v>
      </c>
      <c r="I502" t="s">
        <v>11</v>
      </c>
      <c r="J502" t="s">
        <v>18</v>
      </c>
      <c r="K502">
        <v>27</v>
      </c>
      <c r="L502" t="str">
        <f>IF(Table1[[#This Row],[Age]]&lt;30,"20-29",
IF(Table1[[#This Row],[Age]]&lt;40,"30-39",
IF(Table1[[#This Row],[Age]]&lt;50,"40-49",
IF(Table1[[#This Row],[Age]]&lt;60,"50-59","60+"))))</f>
        <v>20-29</v>
      </c>
      <c r="M502" t="s">
        <v>30</v>
      </c>
      <c r="N502" t="s">
        <v>25</v>
      </c>
    </row>
    <row r="503" spans="1:14" x14ac:dyDescent="0.35">
      <c r="A503">
        <v>602</v>
      </c>
      <c r="B503" t="s">
        <v>15</v>
      </c>
      <c r="C503" s="6">
        <v>44121</v>
      </c>
      <c r="D503">
        <f>YEAR(Table1[[#This Row],[Join Date]])</f>
        <v>2020</v>
      </c>
      <c r="E503" s="6" t="s">
        <v>48</v>
      </c>
      <c r="F503" t="str">
        <f>IFERROR(YEAR(Table1[[#This Row],[Exit Date]]), " ")</f>
        <v xml:space="preserve"> </v>
      </c>
      <c r="G503" t="str">
        <f>IFERROR((Table1[[#This Row],[Exit Year]]-Table1[[#This Row],[Join Year]])+1," ")</f>
        <v xml:space="preserve"> </v>
      </c>
      <c r="H503" t="s">
        <v>48</v>
      </c>
      <c r="I503" t="s">
        <v>11</v>
      </c>
      <c r="J503" t="s">
        <v>18</v>
      </c>
      <c r="K503">
        <v>22</v>
      </c>
      <c r="L503" t="str">
        <f>IF(Table1[[#This Row],[Age]]&lt;30,"20-29",
IF(Table1[[#This Row],[Age]]&lt;40,"30-39",
IF(Table1[[#This Row],[Age]]&lt;50,"40-49",
IF(Table1[[#This Row],[Age]]&lt;60,"50-59","60+"))))</f>
        <v>20-29</v>
      </c>
      <c r="M503" t="s">
        <v>13</v>
      </c>
      <c r="N503" t="s">
        <v>28</v>
      </c>
    </row>
    <row r="504" spans="1:14" x14ac:dyDescent="0.35">
      <c r="A504">
        <v>603</v>
      </c>
      <c r="B504" t="s">
        <v>15</v>
      </c>
      <c r="C504" s="6">
        <v>44423</v>
      </c>
      <c r="D504">
        <f>YEAR(Table1[[#This Row],[Join Date]])</f>
        <v>2021</v>
      </c>
      <c r="E504" s="6" t="s">
        <v>48</v>
      </c>
      <c r="F504" t="str">
        <f>IFERROR(YEAR(Table1[[#This Row],[Exit Date]]), " ")</f>
        <v xml:space="preserve"> </v>
      </c>
      <c r="G504" t="str">
        <f>IFERROR((Table1[[#This Row],[Exit Year]]-Table1[[#This Row],[Join Year]])+1," ")</f>
        <v xml:space="preserve"> </v>
      </c>
      <c r="H504" t="s">
        <v>48</v>
      </c>
      <c r="I504" t="s">
        <v>11</v>
      </c>
      <c r="J504" t="s">
        <v>12</v>
      </c>
      <c r="K504">
        <v>50</v>
      </c>
      <c r="L504" t="str">
        <f>IF(Table1[[#This Row],[Age]]&lt;30,"20-29",
IF(Table1[[#This Row],[Age]]&lt;40,"30-39",
IF(Table1[[#This Row],[Age]]&lt;50,"40-49",
IF(Table1[[#This Row],[Age]]&lt;60,"50-59","60+"))))</f>
        <v>50-59</v>
      </c>
      <c r="M504" t="s">
        <v>13</v>
      </c>
      <c r="N504" t="s">
        <v>31</v>
      </c>
    </row>
    <row r="505" spans="1:14" x14ac:dyDescent="0.35">
      <c r="A505">
        <v>604</v>
      </c>
      <c r="B505" t="s">
        <v>15</v>
      </c>
      <c r="C505" s="6">
        <v>45087</v>
      </c>
      <c r="D505">
        <f>YEAR(Table1[[#This Row],[Join Date]])</f>
        <v>2023</v>
      </c>
      <c r="E505" s="6" t="s">
        <v>48</v>
      </c>
      <c r="F505" t="str">
        <f>IFERROR(YEAR(Table1[[#This Row],[Exit Date]]), " ")</f>
        <v xml:space="preserve"> </v>
      </c>
      <c r="G505" t="str">
        <f>IFERROR((Table1[[#This Row],[Exit Year]]-Table1[[#This Row],[Join Year]])+1," ")</f>
        <v xml:space="preserve"> </v>
      </c>
      <c r="H505" t="s">
        <v>48</v>
      </c>
      <c r="I505" t="s">
        <v>11</v>
      </c>
      <c r="J505" t="s">
        <v>18</v>
      </c>
      <c r="K505">
        <v>24</v>
      </c>
      <c r="L505" t="str">
        <f>IF(Table1[[#This Row],[Age]]&lt;30,"20-29",
IF(Table1[[#This Row],[Age]]&lt;40,"30-39",
IF(Table1[[#This Row],[Age]]&lt;50,"40-49",
IF(Table1[[#This Row],[Age]]&lt;60,"50-59","60+"))))</f>
        <v>20-29</v>
      </c>
      <c r="M505" t="s">
        <v>16</v>
      </c>
      <c r="N505" t="s">
        <v>32</v>
      </c>
    </row>
    <row r="506" spans="1:14" x14ac:dyDescent="0.35">
      <c r="A506">
        <v>605</v>
      </c>
      <c r="B506" t="s">
        <v>15</v>
      </c>
      <c r="C506" s="6">
        <v>43479</v>
      </c>
      <c r="D506">
        <f>YEAR(Table1[[#This Row],[Join Date]])</f>
        <v>2019</v>
      </c>
      <c r="E506" s="6">
        <v>44449</v>
      </c>
      <c r="F506">
        <f>IFERROR(YEAR(Table1[[#This Row],[Exit Date]]), " ")</f>
        <v>2021</v>
      </c>
      <c r="G506">
        <f>IFERROR((Table1[[#This Row],[Exit Year]]-Table1[[#This Row],[Join Year]])+1," ")</f>
        <v>3</v>
      </c>
      <c r="H506" t="s">
        <v>46</v>
      </c>
      <c r="I506" t="s">
        <v>23</v>
      </c>
      <c r="J506" t="s">
        <v>18</v>
      </c>
      <c r="K506">
        <v>50</v>
      </c>
      <c r="L506" t="str">
        <f>IF(Table1[[#This Row],[Age]]&lt;30,"20-29",
IF(Table1[[#This Row],[Age]]&lt;40,"30-39",
IF(Table1[[#This Row],[Age]]&lt;50,"40-49",
IF(Table1[[#This Row],[Age]]&lt;60,"50-59","60+"))))</f>
        <v>50-59</v>
      </c>
      <c r="M506" t="s">
        <v>13</v>
      </c>
      <c r="N506" t="s">
        <v>33</v>
      </c>
    </row>
    <row r="507" spans="1:14" x14ac:dyDescent="0.35">
      <c r="A507">
        <v>606</v>
      </c>
      <c r="B507" t="s">
        <v>26</v>
      </c>
      <c r="C507" s="6">
        <v>44749</v>
      </c>
      <c r="D507">
        <f>YEAR(Table1[[#This Row],[Join Date]])</f>
        <v>2022</v>
      </c>
      <c r="E507" s="6">
        <v>44972</v>
      </c>
      <c r="F507">
        <f>IFERROR(YEAR(Table1[[#This Row],[Exit Date]]), " ")</f>
        <v>2023</v>
      </c>
      <c r="G507">
        <f>IFERROR((Table1[[#This Row],[Exit Year]]-Table1[[#This Row],[Join Year]])+1," ")</f>
        <v>2</v>
      </c>
      <c r="H507" t="s">
        <v>46</v>
      </c>
      <c r="I507" t="s">
        <v>23</v>
      </c>
      <c r="J507" t="s">
        <v>18</v>
      </c>
      <c r="K507">
        <v>28</v>
      </c>
      <c r="L507" t="str">
        <f>IF(Table1[[#This Row],[Age]]&lt;30,"20-29",
IF(Table1[[#This Row],[Age]]&lt;40,"30-39",
IF(Table1[[#This Row],[Age]]&lt;50,"40-49",
IF(Table1[[#This Row],[Age]]&lt;60,"50-59","60+"))))</f>
        <v>20-29</v>
      </c>
      <c r="M507" t="s">
        <v>20</v>
      </c>
      <c r="N507" t="s">
        <v>35</v>
      </c>
    </row>
    <row r="508" spans="1:14" x14ac:dyDescent="0.35">
      <c r="A508">
        <v>607</v>
      </c>
      <c r="B508" t="s">
        <v>29</v>
      </c>
      <c r="C508" s="6">
        <v>45457</v>
      </c>
      <c r="D508">
        <f>YEAR(Table1[[#This Row],[Join Date]])</f>
        <v>2024</v>
      </c>
      <c r="E508" s="6" t="s">
        <v>48</v>
      </c>
      <c r="F508" t="str">
        <f>IFERROR(YEAR(Table1[[#This Row],[Exit Date]]), " ")</f>
        <v xml:space="preserve"> </v>
      </c>
      <c r="G508" t="str">
        <f>IFERROR((Table1[[#This Row],[Exit Year]]-Table1[[#This Row],[Join Year]])+1," ")</f>
        <v xml:space="preserve"> </v>
      </c>
      <c r="H508" t="s">
        <v>48</v>
      </c>
      <c r="I508" t="s">
        <v>11</v>
      </c>
      <c r="J508" t="s">
        <v>12</v>
      </c>
      <c r="K508">
        <v>40</v>
      </c>
      <c r="L508" t="str">
        <f>IF(Table1[[#This Row],[Age]]&lt;30,"20-29",
IF(Table1[[#This Row],[Age]]&lt;40,"30-39",
IF(Table1[[#This Row],[Age]]&lt;50,"40-49",
IF(Table1[[#This Row],[Age]]&lt;60,"50-59","60+"))))</f>
        <v>40-49</v>
      </c>
      <c r="M508" t="s">
        <v>39</v>
      </c>
      <c r="N508" t="s">
        <v>37</v>
      </c>
    </row>
    <row r="509" spans="1:14" x14ac:dyDescent="0.35">
      <c r="A509">
        <v>608</v>
      </c>
      <c r="B509" t="s">
        <v>10</v>
      </c>
      <c r="C509" s="6">
        <v>43304</v>
      </c>
      <c r="D509">
        <f>YEAR(Table1[[#This Row],[Join Date]])</f>
        <v>2018</v>
      </c>
      <c r="E509" s="6" t="s">
        <v>48</v>
      </c>
      <c r="F509" t="str">
        <f>IFERROR(YEAR(Table1[[#This Row],[Exit Date]]), " ")</f>
        <v xml:space="preserve"> </v>
      </c>
      <c r="G509" t="str">
        <f>IFERROR((Table1[[#This Row],[Exit Year]]-Table1[[#This Row],[Join Year]])+1," ")</f>
        <v xml:space="preserve"> </v>
      </c>
      <c r="H509" t="s">
        <v>48</v>
      </c>
      <c r="I509" t="s">
        <v>11</v>
      </c>
      <c r="J509" t="s">
        <v>12</v>
      </c>
      <c r="K509">
        <v>32</v>
      </c>
      <c r="L509" t="str">
        <f>IF(Table1[[#This Row],[Age]]&lt;30,"20-29",
IF(Table1[[#This Row],[Age]]&lt;40,"30-39",
IF(Table1[[#This Row],[Age]]&lt;50,"40-49",
IF(Table1[[#This Row],[Age]]&lt;60,"50-59","60+"))))</f>
        <v>30-39</v>
      </c>
      <c r="M509" t="s">
        <v>13</v>
      </c>
      <c r="N509" t="s">
        <v>19</v>
      </c>
    </row>
    <row r="510" spans="1:14" x14ac:dyDescent="0.35">
      <c r="A510">
        <v>609</v>
      </c>
      <c r="B510" t="s">
        <v>15</v>
      </c>
      <c r="C510" s="6">
        <v>44987</v>
      </c>
      <c r="D510">
        <f>YEAR(Table1[[#This Row],[Join Date]])</f>
        <v>2023</v>
      </c>
      <c r="E510" s="6" t="s">
        <v>48</v>
      </c>
      <c r="F510" t="str">
        <f>IFERROR(YEAR(Table1[[#This Row],[Exit Date]]), " ")</f>
        <v xml:space="preserve"> </v>
      </c>
      <c r="G510" t="str">
        <f>IFERROR((Table1[[#This Row],[Exit Year]]-Table1[[#This Row],[Join Year]])+1," ")</f>
        <v xml:space="preserve"> </v>
      </c>
      <c r="H510" t="s">
        <v>48</v>
      </c>
      <c r="I510" t="s">
        <v>11</v>
      </c>
      <c r="J510" t="s">
        <v>18</v>
      </c>
      <c r="K510">
        <v>50</v>
      </c>
      <c r="L510" t="str">
        <f>IF(Table1[[#This Row],[Age]]&lt;30,"20-29",
IF(Table1[[#This Row],[Age]]&lt;40,"30-39",
IF(Table1[[#This Row],[Age]]&lt;50,"40-49",
IF(Table1[[#This Row],[Age]]&lt;60,"50-59","60+"))))</f>
        <v>50-59</v>
      </c>
      <c r="M510" t="s">
        <v>16</v>
      </c>
      <c r="N510" t="s">
        <v>25</v>
      </c>
    </row>
    <row r="511" spans="1:14" x14ac:dyDescent="0.35">
      <c r="A511">
        <v>610</v>
      </c>
      <c r="B511" t="s">
        <v>34</v>
      </c>
      <c r="C511" s="6">
        <v>45326</v>
      </c>
      <c r="D511">
        <f>YEAR(Table1[[#This Row],[Join Date]])</f>
        <v>2024</v>
      </c>
      <c r="E511" s="6" t="s">
        <v>48</v>
      </c>
      <c r="F511" t="str">
        <f>IFERROR(YEAR(Table1[[#This Row],[Exit Date]]), " ")</f>
        <v xml:space="preserve"> </v>
      </c>
      <c r="G511" t="str">
        <f>IFERROR((Table1[[#This Row],[Exit Year]]-Table1[[#This Row],[Join Year]])+1," ")</f>
        <v xml:space="preserve"> </v>
      </c>
      <c r="H511" t="s">
        <v>48</v>
      </c>
      <c r="I511" t="s">
        <v>11</v>
      </c>
      <c r="J511" t="s">
        <v>18</v>
      </c>
      <c r="K511">
        <v>24</v>
      </c>
      <c r="L511" t="str">
        <f>IF(Table1[[#This Row],[Age]]&lt;30,"20-29",
IF(Table1[[#This Row],[Age]]&lt;40,"30-39",
IF(Table1[[#This Row],[Age]]&lt;50,"40-49",
IF(Table1[[#This Row],[Age]]&lt;60,"50-59","60+"))))</f>
        <v>20-29</v>
      </c>
      <c r="M511" t="s">
        <v>16</v>
      </c>
      <c r="N511" t="s">
        <v>35</v>
      </c>
    </row>
    <row r="512" spans="1:14" x14ac:dyDescent="0.35">
      <c r="A512">
        <v>611</v>
      </c>
      <c r="B512" t="s">
        <v>36</v>
      </c>
      <c r="C512" s="6">
        <v>45474</v>
      </c>
      <c r="D512">
        <f>YEAR(Table1[[#This Row],[Join Date]])</f>
        <v>2024</v>
      </c>
      <c r="E512" s="6" t="s">
        <v>48</v>
      </c>
      <c r="F512" t="str">
        <f>IFERROR(YEAR(Table1[[#This Row],[Exit Date]]), " ")</f>
        <v xml:space="preserve"> </v>
      </c>
      <c r="G512" t="str">
        <f>IFERROR((Table1[[#This Row],[Exit Year]]-Table1[[#This Row],[Join Year]])+1," ")</f>
        <v xml:space="preserve"> </v>
      </c>
      <c r="H512" t="s">
        <v>48</v>
      </c>
      <c r="I512" t="s">
        <v>11</v>
      </c>
      <c r="J512" t="s">
        <v>12</v>
      </c>
      <c r="K512">
        <v>36</v>
      </c>
      <c r="L512" t="str">
        <f>IF(Table1[[#This Row],[Age]]&lt;30,"20-29",
IF(Table1[[#This Row],[Age]]&lt;40,"30-39",
IF(Table1[[#This Row],[Age]]&lt;50,"40-49",
IF(Table1[[#This Row],[Age]]&lt;60,"50-59","60+"))))</f>
        <v>30-39</v>
      </c>
      <c r="M512" t="s">
        <v>20</v>
      </c>
      <c r="N512" t="s">
        <v>17</v>
      </c>
    </row>
    <row r="513" spans="1:14" x14ac:dyDescent="0.35">
      <c r="A513">
        <v>612</v>
      </c>
      <c r="B513" t="s">
        <v>29</v>
      </c>
      <c r="C513" s="6">
        <v>44227</v>
      </c>
      <c r="D513">
        <f>YEAR(Table1[[#This Row],[Join Date]])</f>
        <v>2021</v>
      </c>
      <c r="E513" s="6">
        <v>45322</v>
      </c>
      <c r="F513">
        <f>IFERROR(YEAR(Table1[[#This Row],[Exit Date]]), " ")</f>
        <v>2024</v>
      </c>
      <c r="G513">
        <f>IFERROR((Table1[[#This Row],[Exit Year]]-Table1[[#This Row],[Join Year]])+1," ")</f>
        <v>4</v>
      </c>
      <c r="H513" t="s">
        <v>46</v>
      </c>
      <c r="I513" t="s">
        <v>23</v>
      </c>
      <c r="J513" t="s">
        <v>18</v>
      </c>
      <c r="K513">
        <v>49</v>
      </c>
      <c r="L513" t="str">
        <f>IF(Table1[[#This Row],[Age]]&lt;30,"20-29",
IF(Table1[[#This Row],[Age]]&lt;40,"30-39",
IF(Table1[[#This Row],[Age]]&lt;50,"40-49",
IF(Table1[[#This Row],[Age]]&lt;60,"50-59","60+"))))</f>
        <v>40-49</v>
      </c>
      <c r="M513" t="s">
        <v>24</v>
      </c>
      <c r="N513" t="s">
        <v>19</v>
      </c>
    </row>
    <row r="514" spans="1:14" x14ac:dyDescent="0.35">
      <c r="A514">
        <v>613</v>
      </c>
      <c r="B514" t="s">
        <v>10</v>
      </c>
      <c r="C514" s="6">
        <v>43446</v>
      </c>
      <c r="D514">
        <f>YEAR(Table1[[#This Row],[Join Date]])</f>
        <v>2018</v>
      </c>
      <c r="E514" s="6">
        <v>43936</v>
      </c>
      <c r="F514">
        <f>IFERROR(YEAR(Table1[[#This Row],[Exit Date]]), " ")</f>
        <v>2020</v>
      </c>
      <c r="G514">
        <f>IFERROR((Table1[[#This Row],[Exit Year]]-Table1[[#This Row],[Join Year]])+1," ")</f>
        <v>3</v>
      </c>
      <c r="H514" t="s">
        <v>38</v>
      </c>
      <c r="I514" t="s">
        <v>23</v>
      </c>
      <c r="J514" t="s">
        <v>18</v>
      </c>
      <c r="K514">
        <v>43</v>
      </c>
      <c r="L514" t="str">
        <f>IF(Table1[[#This Row],[Age]]&lt;30,"20-29",
IF(Table1[[#This Row],[Age]]&lt;40,"30-39",
IF(Table1[[#This Row],[Age]]&lt;50,"40-49",
IF(Table1[[#This Row],[Age]]&lt;60,"50-59","60+"))))</f>
        <v>40-49</v>
      </c>
      <c r="M514" t="s">
        <v>13</v>
      </c>
      <c r="N514" t="s">
        <v>21</v>
      </c>
    </row>
    <row r="515" spans="1:14" x14ac:dyDescent="0.35">
      <c r="A515">
        <v>614</v>
      </c>
      <c r="B515" t="s">
        <v>15</v>
      </c>
      <c r="C515" s="6">
        <v>45314</v>
      </c>
      <c r="D515">
        <f>YEAR(Table1[[#This Row],[Join Date]])</f>
        <v>2024</v>
      </c>
      <c r="E515" s="6" t="s">
        <v>48</v>
      </c>
      <c r="F515" t="str">
        <f>IFERROR(YEAR(Table1[[#This Row],[Exit Date]]), " ")</f>
        <v xml:space="preserve"> </v>
      </c>
      <c r="G515" t="str">
        <f>IFERROR((Table1[[#This Row],[Exit Year]]-Table1[[#This Row],[Join Year]])+1," ")</f>
        <v xml:space="preserve"> </v>
      </c>
      <c r="H515" t="s">
        <v>48</v>
      </c>
      <c r="I515" t="s">
        <v>11</v>
      </c>
      <c r="J515" t="s">
        <v>18</v>
      </c>
      <c r="K515">
        <v>40</v>
      </c>
      <c r="L515" t="str">
        <f>IF(Table1[[#This Row],[Age]]&lt;30,"20-29",
IF(Table1[[#This Row],[Age]]&lt;40,"30-39",
IF(Table1[[#This Row],[Age]]&lt;50,"40-49",
IF(Table1[[#This Row],[Age]]&lt;60,"50-59","60+"))))</f>
        <v>40-49</v>
      </c>
      <c r="M515" t="s">
        <v>30</v>
      </c>
      <c r="N515" t="s">
        <v>25</v>
      </c>
    </row>
    <row r="516" spans="1:14" x14ac:dyDescent="0.35">
      <c r="A516">
        <v>615</v>
      </c>
      <c r="B516" t="s">
        <v>15</v>
      </c>
      <c r="C516" s="6">
        <v>43123</v>
      </c>
      <c r="D516">
        <f>YEAR(Table1[[#This Row],[Join Date]])</f>
        <v>2018</v>
      </c>
      <c r="E516" s="6" t="s">
        <v>48</v>
      </c>
      <c r="F516" t="str">
        <f>IFERROR(YEAR(Table1[[#This Row],[Exit Date]]), " ")</f>
        <v xml:space="preserve"> </v>
      </c>
      <c r="G516" t="str">
        <f>IFERROR((Table1[[#This Row],[Exit Year]]-Table1[[#This Row],[Join Year]])+1," ")</f>
        <v xml:space="preserve"> </v>
      </c>
      <c r="H516" t="s">
        <v>48</v>
      </c>
      <c r="I516" t="s">
        <v>11</v>
      </c>
      <c r="J516" t="s">
        <v>12</v>
      </c>
      <c r="K516">
        <v>42</v>
      </c>
      <c r="L516" t="str">
        <f>IF(Table1[[#This Row],[Age]]&lt;30,"20-29",
IF(Table1[[#This Row],[Age]]&lt;40,"30-39",
IF(Table1[[#This Row],[Age]]&lt;50,"40-49",
IF(Table1[[#This Row],[Age]]&lt;60,"50-59","60+"))))</f>
        <v>40-49</v>
      </c>
      <c r="M516" t="s">
        <v>13</v>
      </c>
      <c r="N516" t="s">
        <v>35</v>
      </c>
    </row>
    <row r="517" spans="1:14" x14ac:dyDescent="0.35">
      <c r="A517">
        <v>616</v>
      </c>
      <c r="B517" t="s">
        <v>10</v>
      </c>
      <c r="C517" s="6">
        <v>43717</v>
      </c>
      <c r="D517">
        <f>YEAR(Table1[[#This Row],[Join Date]])</f>
        <v>2019</v>
      </c>
      <c r="E517" s="6">
        <v>44677</v>
      </c>
      <c r="F517">
        <f>IFERROR(YEAR(Table1[[#This Row],[Exit Date]]), " ")</f>
        <v>2022</v>
      </c>
      <c r="G517">
        <f>IFERROR((Table1[[#This Row],[Exit Year]]-Table1[[#This Row],[Join Year]])+1," ")</f>
        <v>4</v>
      </c>
      <c r="H517" t="s">
        <v>40</v>
      </c>
      <c r="I517" t="s">
        <v>23</v>
      </c>
      <c r="J517" t="s">
        <v>12</v>
      </c>
      <c r="K517">
        <v>35</v>
      </c>
      <c r="L517" t="str">
        <f>IF(Table1[[#This Row],[Age]]&lt;30,"20-29",
IF(Table1[[#This Row],[Age]]&lt;40,"30-39",
IF(Table1[[#This Row],[Age]]&lt;50,"40-49",
IF(Table1[[#This Row],[Age]]&lt;60,"50-59","60+"))))</f>
        <v>30-39</v>
      </c>
      <c r="M517" t="s">
        <v>13</v>
      </c>
      <c r="N517" t="s">
        <v>14</v>
      </c>
    </row>
    <row r="518" spans="1:14" x14ac:dyDescent="0.35">
      <c r="A518">
        <v>617</v>
      </c>
      <c r="B518" t="s">
        <v>29</v>
      </c>
      <c r="C518" s="6">
        <v>43534</v>
      </c>
      <c r="D518">
        <f>YEAR(Table1[[#This Row],[Join Date]])</f>
        <v>2019</v>
      </c>
      <c r="E518" s="6">
        <v>44117</v>
      </c>
      <c r="F518">
        <f>IFERROR(YEAR(Table1[[#This Row],[Exit Date]]), " ")</f>
        <v>2020</v>
      </c>
      <c r="G518">
        <f>IFERROR((Table1[[#This Row],[Exit Year]]-Table1[[#This Row],[Join Year]])+1," ")</f>
        <v>2</v>
      </c>
      <c r="H518" t="s">
        <v>38</v>
      </c>
      <c r="I518" t="s">
        <v>23</v>
      </c>
      <c r="J518" t="s">
        <v>18</v>
      </c>
      <c r="K518">
        <v>31</v>
      </c>
      <c r="L518" t="str">
        <f>IF(Table1[[#This Row],[Age]]&lt;30,"20-29",
IF(Table1[[#This Row],[Age]]&lt;40,"30-39",
IF(Table1[[#This Row],[Age]]&lt;50,"40-49",
IF(Table1[[#This Row],[Age]]&lt;60,"50-59","60+"))))</f>
        <v>30-39</v>
      </c>
      <c r="M518" t="s">
        <v>16</v>
      </c>
      <c r="N518" t="s">
        <v>19</v>
      </c>
    </row>
    <row r="519" spans="1:14" x14ac:dyDescent="0.35">
      <c r="A519">
        <v>618</v>
      </c>
      <c r="B519" t="s">
        <v>36</v>
      </c>
      <c r="C519" s="6">
        <v>44619</v>
      </c>
      <c r="D519">
        <f>YEAR(Table1[[#This Row],[Join Date]])</f>
        <v>2022</v>
      </c>
      <c r="E519" s="6" t="s">
        <v>48</v>
      </c>
      <c r="F519" t="str">
        <f>IFERROR(YEAR(Table1[[#This Row],[Exit Date]]), " ")</f>
        <v xml:space="preserve"> </v>
      </c>
      <c r="G519" t="str">
        <f>IFERROR((Table1[[#This Row],[Exit Year]]-Table1[[#This Row],[Join Year]])+1," ")</f>
        <v xml:space="preserve"> </v>
      </c>
      <c r="H519" t="s">
        <v>48</v>
      </c>
      <c r="I519" t="s">
        <v>11</v>
      </c>
      <c r="J519" t="s">
        <v>18</v>
      </c>
      <c r="K519">
        <v>51</v>
      </c>
      <c r="L519" t="str">
        <f>IF(Table1[[#This Row],[Age]]&lt;30,"20-29",
IF(Table1[[#This Row],[Age]]&lt;40,"30-39",
IF(Table1[[#This Row],[Age]]&lt;50,"40-49",
IF(Table1[[#This Row],[Age]]&lt;60,"50-59","60+"))))</f>
        <v>50-59</v>
      </c>
      <c r="M519" t="s">
        <v>13</v>
      </c>
      <c r="N519" t="s">
        <v>21</v>
      </c>
    </row>
    <row r="520" spans="1:14" x14ac:dyDescent="0.35">
      <c r="A520">
        <v>619</v>
      </c>
      <c r="B520" t="s">
        <v>10</v>
      </c>
      <c r="C520" s="6">
        <v>45485</v>
      </c>
      <c r="D520">
        <f>YEAR(Table1[[#This Row],[Join Date]])</f>
        <v>2024</v>
      </c>
      <c r="E520" s="6" t="s">
        <v>48</v>
      </c>
      <c r="F520" t="str">
        <f>IFERROR(YEAR(Table1[[#This Row],[Exit Date]]), " ")</f>
        <v xml:space="preserve"> </v>
      </c>
      <c r="G520" t="str">
        <f>IFERROR((Table1[[#This Row],[Exit Year]]-Table1[[#This Row],[Join Year]])+1," ")</f>
        <v xml:space="preserve"> </v>
      </c>
      <c r="H520" t="s">
        <v>48</v>
      </c>
      <c r="I520" t="s">
        <v>11</v>
      </c>
      <c r="J520" t="s">
        <v>18</v>
      </c>
      <c r="K520">
        <v>48</v>
      </c>
      <c r="L520" t="str">
        <f>IF(Table1[[#This Row],[Age]]&lt;30,"20-29",
IF(Table1[[#This Row],[Age]]&lt;40,"30-39",
IF(Table1[[#This Row],[Age]]&lt;50,"40-49",
IF(Table1[[#This Row],[Age]]&lt;60,"50-59","60+"))))</f>
        <v>40-49</v>
      </c>
      <c r="M520" t="s">
        <v>20</v>
      </c>
      <c r="N520" t="s">
        <v>37</v>
      </c>
    </row>
    <row r="521" spans="1:14" x14ac:dyDescent="0.35">
      <c r="A521">
        <v>620</v>
      </c>
      <c r="B521" t="s">
        <v>29</v>
      </c>
      <c r="C521" s="6">
        <v>43588</v>
      </c>
      <c r="D521">
        <f>YEAR(Table1[[#This Row],[Join Date]])</f>
        <v>2019</v>
      </c>
      <c r="E521" s="6">
        <v>44896</v>
      </c>
      <c r="F521">
        <f>IFERROR(YEAR(Table1[[#This Row],[Exit Date]]), " ")</f>
        <v>2022</v>
      </c>
      <c r="G521">
        <f>IFERROR((Table1[[#This Row],[Exit Year]]-Table1[[#This Row],[Join Year]])+1," ")</f>
        <v>4</v>
      </c>
      <c r="H521" t="s">
        <v>41</v>
      </c>
      <c r="I521" t="s">
        <v>23</v>
      </c>
      <c r="J521" t="s">
        <v>12</v>
      </c>
      <c r="K521">
        <v>41</v>
      </c>
      <c r="L521" t="str">
        <f>IF(Table1[[#This Row],[Age]]&lt;30,"20-29",
IF(Table1[[#This Row],[Age]]&lt;40,"30-39",
IF(Table1[[#This Row],[Age]]&lt;50,"40-49",
IF(Table1[[#This Row],[Age]]&lt;60,"50-59","60+"))))</f>
        <v>40-49</v>
      </c>
      <c r="M521" t="s">
        <v>39</v>
      </c>
      <c r="N521" t="s">
        <v>25</v>
      </c>
    </row>
    <row r="522" spans="1:14" x14ac:dyDescent="0.35">
      <c r="A522">
        <v>621</v>
      </c>
      <c r="B522" t="s">
        <v>36</v>
      </c>
      <c r="C522" s="6">
        <v>44250</v>
      </c>
      <c r="D522">
        <f>YEAR(Table1[[#This Row],[Join Date]])</f>
        <v>2021</v>
      </c>
      <c r="E522" s="6">
        <v>45392</v>
      </c>
      <c r="F522">
        <f>IFERROR(YEAR(Table1[[#This Row],[Exit Date]]), " ")</f>
        <v>2024</v>
      </c>
      <c r="G522">
        <f>IFERROR((Table1[[#This Row],[Exit Year]]-Table1[[#This Row],[Join Year]])+1," ")</f>
        <v>4</v>
      </c>
      <c r="H522" t="s">
        <v>46</v>
      </c>
      <c r="I522" t="s">
        <v>23</v>
      </c>
      <c r="J522" t="s">
        <v>12</v>
      </c>
      <c r="K522">
        <v>35</v>
      </c>
      <c r="L522" t="str">
        <f>IF(Table1[[#This Row],[Age]]&lt;30,"20-29",
IF(Table1[[#This Row],[Age]]&lt;40,"30-39",
IF(Table1[[#This Row],[Age]]&lt;50,"40-49",
IF(Table1[[#This Row],[Age]]&lt;60,"50-59","60+"))))</f>
        <v>30-39</v>
      </c>
      <c r="M522" t="s">
        <v>13</v>
      </c>
      <c r="N522" t="s">
        <v>35</v>
      </c>
    </row>
    <row r="523" spans="1:14" x14ac:dyDescent="0.35">
      <c r="A523">
        <v>622</v>
      </c>
      <c r="B523" t="s">
        <v>26</v>
      </c>
      <c r="C523" s="6">
        <v>45244</v>
      </c>
      <c r="D523">
        <f>YEAR(Table1[[#This Row],[Join Date]])</f>
        <v>2023</v>
      </c>
      <c r="E523" s="6">
        <v>45446</v>
      </c>
      <c r="F523">
        <f>IFERROR(YEAR(Table1[[#This Row],[Exit Date]]), " ")</f>
        <v>2024</v>
      </c>
      <c r="G523">
        <f>IFERROR((Table1[[#This Row],[Exit Year]]-Table1[[#This Row],[Join Year]])+1," ")</f>
        <v>2</v>
      </c>
      <c r="H523" t="s">
        <v>40</v>
      </c>
      <c r="I523" t="s">
        <v>23</v>
      </c>
      <c r="J523" t="s">
        <v>12</v>
      </c>
      <c r="K523">
        <v>24</v>
      </c>
      <c r="L523" t="str">
        <f>IF(Table1[[#This Row],[Age]]&lt;30,"20-29",
IF(Table1[[#This Row],[Age]]&lt;40,"30-39",
IF(Table1[[#This Row],[Age]]&lt;50,"40-49",
IF(Table1[[#This Row],[Age]]&lt;60,"50-59","60+"))))</f>
        <v>20-29</v>
      </c>
      <c r="M523" t="s">
        <v>16</v>
      </c>
      <c r="N523" t="s">
        <v>19</v>
      </c>
    </row>
    <row r="524" spans="1:14" x14ac:dyDescent="0.35">
      <c r="A524">
        <v>623</v>
      </c>
      <c r="B524" t="s">
        <v>15</v>
      </c>
      <c r="C524" s="6">
        <v>45256</v>
      </c>
      <c r="D524">
        <f>YEAR(Table1[[#This Row],[Join Date]])</f>
        <v>2023</v>
      </c>
      <c r="E524" s="6" t="s">
        <v>48</v>
      </c>
      <c r="F524" t="str">
        <f>IFERROR(YEAR(Table1[[#This Row],[Exit Date]]), " ")</f>
        <v xml:space="preserve"> </v>
      </c>
      <c r="G524" t="str">
        <f>IFERROR((Table1[[#This Row],[Exit Year]]-Table1[[#This Row],[Join Year]])+1," ")</f>
        <v xml:space="preserve"> </v>
      </c>
      <c r="H524" t="s">
        <v>48</v>
      </c>
      <c r="I524" t="s">
        <v>11</v>
      </c>
      <c r="J524" t="s">
        <v>18</v>
      </c>
      <c r="K524">
        <v>41</v>
      </c>
      <c r="L524" t="str">
        <f>IF(Table1[[#This Row],[Age]]&lt;30,"20-29",
IF(Table1[[#This Row],[Age]]&lt;40,"30-39",
IF(Table1[[#This Row],[Age]]&lt;50,"40-49",
IF(Table1[[#This Row],[Age]]&lt;60,"50-59","60+"))))</f>
        <v>40-49</v>
      </c>
      <c r="M524" t="s">
        <v>16</v>
      </c>
      <c r="N524" t="s">
        <v>25</v>
      </c>
    </row>
    <row r="525" spans="1:14" x14ac:dyDescent="0.35">
      <c r="A525">
        <v>624</v>
      </c>
      <c r="B525" t="s">
        <v>26</v>
      </c>
      <c r="C525" s="6">
        <v>45465</v>
      </c>
      <c r="D525">
        <f>YEAR(Table1[[#This Row],[Join Date]])</f>
        <v>2024</v>
      </c>
      <c r="E525" s="6" t="s">
        <v>48</v>
      </c>
      <c r="F525" t="str">
        <f>IFERROR(YEAR(Table1[[#This Row],[Exit Date]]), " ")</f>
        <v xml:space="preserve"> </v>
      </c>
      <c r="G525" t="str">
        <f>IFERROR((Table1[[#This Row],[Exit Year]]-Table1[[#This Row],[Join Year]])+1," ")</f>
        <v xml:space="preserve"> </v>
      </c>
      <c r="H525" t="s">
        <v>48</v>
      </c>
      <c r="I525" t="s">
        <v>11</v>
      </c>
      <c r="J525" t="s">
        <v>18</v>
      </c>
      <c r="K525">
        <v>40</v>
      </c>
      <c r="L525" t="str">
        <f>IF(Table1[[#This Row],[Age]]&lt;30,"20-29",
IF(Table1[[#This Row],[Age]]&lt;40,"30-39",
IF(Table1[[#This Row],[Age]]&lt;50,"40-49",
IF(Table1[[#This Row],[Age]]&lt;60,"50-59","60+"))))</f>
        <v>40-49</v>
      </c>
      <c r="M525" t="s">
        <v>20</v>
      </c>
      <c r="N525" t="s">
        <v>35</v>
      </c>
    </row>
    <row r="526" spans="1:14" x14ac:dyDescent="0.35">
      <c r="A526">
        <v>625</v>
      </c>
      <c r="B526" t="s">
        <v>10</v>
      </c>
      <c r="C526" s="6">
        <v>43597</v>
      </c>
      <c r="D526">
        <f>YEAR(Table1[[#This Row],[Join Date]])</f>
        <v>2019</v>
      </c>
      <c r="E526" s="6" t="s">
        <v>48</v>
      </c>
      <c r="F526" t="str">
        <f>IFERROR(YEAR(Table1[[#This Row],[Exit Date]]), " ")</f>
        <v xml:space="preserve"> </v>
      </c>
      <c r="G526" t="str">
        <f>IFERROR((Table1[[#This Row],[Exit Year]]-Table1[[#This Row],[Join Year]])+1," ")</f>
        <v xml:space="preserve"> </v>
      </c>
      <c r="H526" t="s">
        <v>48</v>
      </c>
      <c r="I526" t="s">
        <v>11</v>
      </c>
      <c r="J526" t="s">
        <v>12</v>
      </c>
      <c r="K526">
        <v>48</v>
      </c>
      <c r="L526" t="str">
        <f>IF(Table1[[#This Row],[Age]]&lt;30,"20-29",
IF(Table1[[#This Row],[Age]]&lt;40,"30-39",
IF(Table1[[#This Row],[Age]]&lt;50,"40-49",
IF(Table1[[#This Row],[Age]]&lt;60,"50-59","60+"))))</f>
        <v>40-49</v>
      </c>
      <c r="M526" t="s">
        <v>24</v>
      </c>
      <c r="N526" t="s">
        <v>17</v>
      </c>
    </row>
    <row r="527" spans="1:14" x14ac:dyDescent="0.35">
      <c r="A527">
        <v>626</v>
      </c>
      <c r="B527" t="s">
        <v>15</v>
      </c>
      <c r="C527" s="6">
        <v>44866</v>
      </c>
      <c r="D527">
        <f>YEAR(Table1[[#This Row],[Join Date]])</f>
        <v>2022</v>
      </c>
      <c r="E527" s="6" t="s">
        <v>48</v>
      </c>
      <c r="F527" t="str">
        <f>IFERROR(YEAR(Table1[[#This Row],[Exit Date]]), " ")</f>
        <v xml:space="preserve"> </v>
      </c>
      <c r="G527" t="str">
        <f>IFERROR((Table1[[#This Row],[Exit Year]]-Table1[[#This Row],[Join Year]])+1," ")</f>
        <v xml:space="preserve"> </v>
      </c>
      <c r="H527" t="s">
        <v>48</v>
      </c>
      <c r="I527" t="s">
        <v>11</v>
      </c>
      <c r="J527" t="s">
        <v>12</v>
      </c>
      <c r="K527">
        <v>52</v>
      </c>
      <c r="L527" t="str">
        <f>IF(Table1[[#This Row],[Age]]&lt;30,"20-29",
IF(Table1[[#This Row],[Age]]&lt;40,"30-39",
IF(Table1[[#This Row],[Age]]&lt;50,"40-49",
IF(Table1[[#This Row],[Age]]&lt;60,"50-59","60+"))))</f>
        <v>50-59</v>
      </c>
      <c r="M527" t="s">
        <v>13</v>
      </c>
      <c r="N527" t="s">
        <v>19</v>
      </c>
    </row>
    <row r="528" spans="1:14" x14ac:dyDescent="0.35">
      <c r="A528">
        <v>627</v>
      </c>
      <c r="B528" t="s">
        <v>34</v>
      </c>
      <c r="C528" s="6">
        <v>44006</v>
      </c>
      <c r="D528">
        <f>YEAR(Table1[[#This Row],[Join Date]])</f>
        <v>2020</v>
      </c>
      <c r="E528" s="6">
        <v>44463</v>
      </c>
      <c r="F528">
        <f>IFERROR(YEAR(Table1[[#This Row],[Exit Date]]), " ")</f>
        <v>2021</v>
      </c>
      <c r="G528">
        <f>IFERROR((Table1[[#This Row],[Exit Year]]-Table1[[#This Row],[Join Year]])+1," ")</f>
        <v>2</v>
      </c>
      <c r="H528" t="s">
        <v>46</v>
      </c>
      <c r="I528" t="s">
        <v>23</v>
      </c>
      <c r="J528" t="s">
        <v>12</v>
      </c>
      <c r="K528">
        <v>33</v>
      </c>
      <c r="L528" t="str">
        <f>IF(Table1[[#This Row],[Age]]&lt;30,"20-29",
IF(Table1[[#This Row],[Age]]&lt;40,"30-39",
IF(Table1[[#This Row],[Age]]&lt;50,"40-49",
IF(Table1[[#This Row],[Age]]&lt;60,"50-59","60+"))))</f>
        <v>30-39</v>
      </c>
      <c r="M528" t="s">
        <v>44</v>
      </c>
      <c r="N528" t="s">
        <v>21</v>
      </c>
    </row>
    <row r="529" spans="1:14" x14ac:dyDescent="0.35">
      <c r="A529">
        <v>628</v>
      </c>
      <c r="B529" t="s">
        <v>26</v>
      </c>
      <c r="C529" s="6">
        <v>45095</v>
      </c>
      <c r="D529">
        <f>YEAR(Table1[[#This Row],[Join Date]])</f>
        <v>2023</v>
      </c>
      <c r="E529" s="6" t="s">
        <v>48</v>
      </c>
      <c r="F529" t="str">
        <f>IFERROR(YEAR(Table1[[#This Row],[Exit Date]]), " ")</f>
        <v xml:space="preserve"> </v>
      </c>
      <c r="G529" t="str">
        <f>IFERROR((Table1[[#This Row],[Exit Year]]-Table1[[#This Row],[Join Year]])+1," ")</f>
        <v xml:space="preserve"> </v>
      </c>
      <c r="H529" t="s">
        <v>48</v>
      </c>
      <c r="I529" t="s">
        <v>11</v>
      </c>
      <c r="J529" t="s">
        <v>12</v>
      </c>
      <c r="K529">
        <v>51</v>
      </c>
      <c r="L529" t="str">
        <f>IF(Table1[[#This Row],[Age]]&lt;30,"20-29",
IF(Table1[[#This Row],[Age]]&lt;40,"30-39",
IF(Table1[[#This Row],[Age]]&lt;50,"40-49",
IF(Table1[[#This Row],[Age]]&lt;60,"50-59","60+"))))</f>
        <v>50-59</v>
      </c>
      <c r="M529" t="s">
        <v>13</v>
      </c>
      <c r="N529" t="s">
        <v>25</v>
      </c>
    </row>
    <row r="530" spans="1:14" x14ac:dyDescent="0.35">
      <c r="A530">
        <v>629</v>
      </c>
      <c r="B530" t="s">
        <v>10</v>
      </c>
      <c r="C530" s="6">
        <v>44360</v>
      </c>
      <c r="D530">
        <f>YEAR(Table1[[#This Row],[Join Date]])</f>
        <v>2021</v>
      </c>
      <c r="E530" s="6">
        <v>44755</v>
      </c>
      <c r="F530">
        <f>IFERROR(YEAR(Table1[[#This Row],[Exit Date]]), " ")</f>
        <v>2022</v>
      </c>
      <c r="G530">
        <f>IFERROR((Table1[[#This Row],[Exit Year]]-Table1[[#This Row],[Join Year]])+1," ")</f>
        <v>2</v>
      </c>
      <c r="H530" t="s">
        <v>38</v>
      </c>
      <c r="I530" t="s">
        <v>23</v>
      </c>
      <c r="J530" t="s">
        <v>12</v>
      </c>
      <c r="K530">
        <v>46</v>
      </c>
      <c r="L530" t="str">
        <f>IF(Table1[[#This Row],[Age]]&lt;30,"20-29",
IF(Table1[[#This Row],[Age]]&lt;40,"30-39",
IF(Table1[[#This Row],[Age]]&lt;50,"40-49",
IF(Table1[[#This Row],[Age]]&lt;60,"50-59","60+"))))</f>
        <v>40-49</v>
      </c>
      <c r="M530" t="s">
        <v>13</v>
      </c>
      <c r="N530" t="s">
        <v>35</v>
      </c>
    </row>
    <row r="531" spans="1:14" x14ac:dyDescent="0.35">
      <c r="A531">
        <v>630</v>
      </c>
      <c r="B531" t="s">
        <v>26</v>
      </c>
      <c r="C531" s="6">
        <v>43419</v>
      </c>
      <c r="D531">
        <f>YEAR(Table1[[#This Row],[Join Date]])</f>
        <v>2018</v>
      </c>
      <c r="E531" s="6">
        <v>44303</v>
      </c>
      <c r="F531">
        <f>IFERROR(YEAR(Table1[[#This Row],[Exit Date]]), " ")</f>
        <v>2021</v>
      </c>
      <c r="G531">
        <f>IFERROR((Table1[[#This Row],[Exit Year]]-Table1[[#This Row],[Join Year]])+1," ")</f>
        <v>4</v>
      </c>
      <c r="H531" t="s">
        <v>22</v>
      </c>
      <c r="I531" t="s">
        <v>23</v>
      </c>
      <c r="J531" t="s">
        <v>12</v>
      </c>
      <c r="K531">
        <v>53</v>
      </c>
      <c r="L531" t="str">
        <f>IF(Table1[[#This Row],[Age]]&lt;30,"20-29",
IF(Table1[[#This Row],[Age]]&lt;40,"30-39",
IF(Table1[[#This Row],[Age]]&lt;50,"40-49",
IF(Table1[[#This Row],[Age]]&lt;60,"50-59","60+"))))</f>
        <v>50-59</v>
      </c>
      <c r="M531" t="s">
        <v>16</v>
      </c>
      <c r="N531" t="s">
        <v>14</v>
      </c>
    </row>
    <row r="532" spans="1:14" x14ac:dyDescent="0.35">
      <c r="A532">
        <v>631</v>
      </c>
      <c r="B532" t="s">
        <v>36</v>
      </c>
      <c r="C532" s="6">
        <v>44249</v>
      </c>
      <c r="D532">
        <f>YEAR(Table1[[#This Row],[Join Date]])</f>
        <v>2021</v>
      </c>
      <c r="E532" s="6" t="s">
        <v>48</v>
      </c>
      <c r="F532" t="str">
        <f>IFERROR(YEAR(Table1[[#This Row],[Exit Date]]), " ")</f>
        <v xml:space="preserve"> </v>
      </c>
      <c r="G532" t="str">
        <f>IFERROR((Table1[[#This Row],[Exit Year]]-Table1[[#This Row],[Join Year]])+1," ")</f>
        <v xml:space="preserve"> </v>
      </c>
      <c r="H532" t="s">
        <v>48</v>
      </c>
      <c r="I532" t="s">
        <v>11</v>
      </c>
      <c r="J532" t="s">
        <v>18</v>
      </c>
      <c r="K532">
        <v>35</v>
      </c>
      <c r="L532" t="str">
        <f>IF(Table1[[#This Row],[Age]]&lt;30,"20-29",
IF(Table1[[#This Row],[Age]]&lt;40,"30-39",
IF(Table1[[#This Row],[Age]]&lt;50,"40-49",
IF(Table1[[#This Row],[Age]]&lt;60,"50-59","60+"))))</f>
        <v>30-39</v>
      </c>
      <c r="M532" t="s">
        <v>13</v>
      </c>
      <c r="N532" t="s">
        <v>19</v>
      </c>
    </row>
    <row r="533" spans="1:14" x14ac:dyDescent="0.35">
      <c r="A533">
        <v>632</v>
      </c>
      <c r="B533" t="s">
        <v>10</v>
      </c>
      <c r="C533" s="6">
        <v>45533</v>
      </c>
      <c r="D533">
        <f>YEAR(Table1[[#This Row],[Join Date]])</f>
        <v>2024</v>
      </c>
      <c r="E533" s="6" t="s">
        <v>48</v>
      </c>
      <c r="F533" t="str">
        <f>IFERROR(YEAR(Table1[[#This Row],[Exit Date]]), " ")</f>
        <v xml:space="preserve"> </v>
      </c>
      <c r="G533" t="str">
        <f>IFERROR((Table1[[#This Row],[Exit Year]]-Table1[[#This Row],[Join Year]])+1," ")</f>
        <v xml:space="preserve"> </v>
      </c>
      <c r="H533" t="s">
        <v>48</v>
      </c>
      <c r="I533" t="s">
        <v>11</v>
      </c>
      <c r="J533" t="s">
        <v>12</v>
      </c>
      <c r="K533">
        <v>32</v>
      </c>
      <c r="L533" t="str">
        <f>IF(Table1[[#This Row],[Age]]&lt;30,"20-29",
IF(Table1[[#This Row],[Age]]&lt;40,"30-39",
IF(Table1[[#This Row],[Age]]&lt;50,"40-49",
IF(Table1[[#This Row],[Age]]&lt;60,"50-59","60+"))))</f>
        <v>30-39</v>
      </c>
      <c r="M533" t="s">
        <v>20</v>
      </c>
      <c r="N533" t="s">
        <v>21</v>
      </c>
    </row>
    <row r="534" spans="1:14" x14ac:dyDescent="0.35">
      <c r="A534">
        <v>633</v>
      </c>
      <c r="B534" t="s">
        <v>36</v>
      </c>
      <c r="C534" s="6">
        <v>44377</v>
      </c>
      <c r="D534">
        <f>YEAR(Table1[[#This Row],[Join Date]])</f>
        <v>2021</v>
      </c>
      <c r="E534" s="6" t="s">
        <v>48</v>
      </c>
      <c r="F534" t="str">
        <f>IFERROR(YEAR(Table1[[#This Row],[Exit Date]]), " ")</f>
        <v xml:space="preserve"> </v>
      </c>
      <c r="G534" t="str">
        <f>IFERROR((Table1[[#This Row],[Exit Year]]-Table1[[#This Row],[Join Year]])+1," ")</f>
        <v xml:space="preserve"> </v>
      </c>
      <c r="H534" t="s">
        <v>48</v>
      </c>
      <c r="I534" t="s">
        <v>11</v>
      </c>
      <c r="J534" t="s">
        <v>18</v>
      </c>
      <c r="K534">
        <v>46</v>
      </c>
      <c r="L534" t="str">
        <f>IF(Table1[[#This Row],[Age]]&lt;30,"20-29",
IF(Table1[[#This Row],[Age]]&lt;40,"30-39",
IF(Table1[[#This Row],[Age]]&lt;50,"40-49",
IF(Table1[[#This Row],[Age]]&lt;60,"50-59","60+"))))</f>
        <v>40-49</v>
      </c>
      <c r="M534" t="s">
        <v>39</v>
      </c>
      <c r="N534" t="s">
        <v>37</v>
      </c>
    </row>
    <row r="535" spans="1:14" x14ac:dyDescent="0.35">
      <c r="A535">
        <v>634</v>
      </c>
      <c r="B535" t="s">
        <v>10</v>
      </c>
      <c r="C535" s="6">
        <v>44088</v>
      </c>
      <c r="D535">
        <f>YEAR(Table1[[#This Row],[Join Date]])</f>
        <v>2020</v>
      </c>
      <c r="E535" s="6" t="s">
        <v>48</v>
      </c>
      <c r="F535" t="str">
        <f>IFERROR(YEAR(Table1[[#This Row],[Exit Date]]), " ")</f>
        <v xml:space="preserve"> </v>
      </c>
      <c r="G535" t="str">
        <f>IFERROR((Table1[[#This Row],[Exit Year]]-Table1[[#This Row],[Join Year]])+1," ")</f>
        <v xml:space="preserve"> </v>
      </c>
      <c r="H535" t="s">
        <v>48</v>
      </c>
      <c r="I535" t="s">
        <v>11</v>
      </c>
      <c r="J535" t="s">
        <v>18</v>
      </c>
      <c r="K535">
        <v>50</v>
      </c>
      <c r="L535" t="str">
        <f>IF(Table1[[#This Row],[Age]]&lt;30,"20-29",
IF(Table1[[#This Row],[Age]]&lt;40,"30-39",
IF(Table1[[#This Row],[Age]]&lt;50,"40-49",
IF(Table1[[#This Row],[Age]]&lt;60,"50-59","60+"))))</f>
        <v>50-59</v>
      </c>
      <c r="M535" t="s">
        <v>13</v>
      </c>
      <c r="N535" t="s">
        <v>25</v>
      </c>
    </row>
    <row r="536" spans="1:14" x14ac:dyDescent="0.35">
      <c r="A536">
        <v>635</v>
      </c>
      <c r="B536" t="s">
        <v>26</v>
      </c>
      <c r="C536" s="6">
        <v>43373</v>
      </c>
      <c r="D536">
        <f>YEAR(Table1[[#This Row],[Join Date]])</f>
        <v>2018</v>
      </c>
      <c r="E536" s="6">
        <v>44825</v>
      </c>
      <c r="F536">
        <f>IFERROR(YEAR(Table1[[#This Row],[Exit Date]]), " ")</f>
        <v>2022</v>
      </c>
      <c r="G536">
        <f>IFERROR((Table1[[#This Row],[Exit Year]]-Table1[[#This Row],[Join Year]])+1," ")</f>
        <v>5</v>
      </c>
      <c r="H536" t="s">
        <v>27</v>
      </c>
      <c r="I536" t="s">
        <v>23</v>
      </c>
      <c r="J536" t="s">
        <v>12</v>
      </c>
      <c r="K536">
        <v>66</v>
      </c>
      <c r="L536" t="str">
        <f>IF(Table1[[#This Row],[Age]]&lt;30,"20-29",
IF(Table1[[#This Row],[Age]]&lt;40,"30-39",
IF(Table1[[#This Row],[Age]]&lt;50,"40-49",
IF(Table1[[#This Row],[Age]]&lt;60,"50-59","60+"))))</f>
        <v>60+</v>
      </c>
      <c r="M536" t="s">
        <v>16</v>
      </c>
      <c r="N536" t="s">
        <v>35</v>
      </c>
    </row>
    <row r="537" spans="1:14" x14ac:dyDescent="0.35">
      <c r="A537">
        <v>636</v>
      </c>
      <c r="B537" t="s">
        <v>26</v>
      </c>
      <c r="C537" s="6">
        <v>43314</v>
      </c>
      <c r="D537">
        <f>YEAR(Table1[[#This Row],[Join Date]])</f>
        <v>2018</v>
      </c>
      <c r="E537" s="6" t="s">
        <v>48</v>
      </c>
      <c r="F537" t="str">
        <f>IFERROR(YEAR(Table1[[#This Row],[Exit Date]]), " ")</f>
        <v xml:space="preserve"> </v>
      </c>
      <c r="G537" t="str">
        <f>IFERROR((Table1[[#This Row],[Exit Year]]-Table1[[#This Row],[Join Year]])+1," ")</f>
        <v xml:space="preserve"> </v>
      </c>
      <c r="H537" t="s">
        <v>48</v>
      </c>
      <c r="I537" t="s">
        <v>11</v>
      </c>
      <c r="J537" t="s">
        <v>18</v>
      </c>
      <c r="K537">
        <v>29</v>
      </c>
      <c r="L537" t="str">
        <f>IF(Table1[[#This Row],[Age]]&lt;30,"20-29",
IF(Table1[[#This Row],[Age]]&lt;40,"30-39",
IF(Table1[[#This Row],[Age]]&lt;50,"40-49",
IF(Table1[[#This Row],[Age]]&lt;60,"50-59","60+"))))</f>
        <v>20-29</v>
      </c>
      <c r="M537" t="s">
        <v>16</v>
      </c>
      <c r="N537" t="s">
        <v>14</v>
      </c>
    </row>
    <row r="538" spans="1:14" x14ac:dyDescent="0.35">
      <c r="A538">
        <v>637</v>
      </c>
      <c r="B538" t="s">
        <v>26</v>
      </c>
      <c r="C538" s="6">
        <v>44418</v>
      </c>
      <c r="D538">
        <f>YEAR(Table1[[#This Row],[Join Date]])</f>
        <v>2021</v>
      </c>
      <c r="E538" s="6">
        <v>45628</v>
      </c>
      <c r="F538">
        <f>IFERROR(YEAR(Table1[[#This Row],[Exit Date]]), " ")</f>
        <v>2024</v>
      </c>
      <c r="G538">
        <f>IFERROR((Table1[[#This Row],[Exit Year]]-Table1[[#This Row],[Join Year]])+1," ")</f>
        <v>4</v>
      </c>
      <c r="H538" t="s">
        <v>46</v>
      </c>
      <c r="I538" t="s">
        <v>23</v>
      </c>
      <c r="J538" t="s">
        <v>12</v>
      </c>
      <c r="K538">
        <v>27</v>
      </c>
      <c r="L538" t="str">
        <f>IF(Table1[[#This Row],[Age]]&lt;30,"20-29",
IF(Table1[[#This Row],[Age]]&lt;40,"30-39",
IF(Table1[[#This Row],[Age]]&lt;50,"40-49",
IF(Table1[[#This Row],[Age]]&lt;60,"50-59","60+"))))</f>
        <v>20-29</v>
      </c>
      <c r="M538" t="s">
        <v>20</v>
      </c>
      <c r="N538" t="s">
        <v>17</v>
      </c>
    </row>
    <row r="539" spans="1:14" x14ac:dyDescent="0.35">
      <c r="A539">
        <v>638</v>
      </c>
      <c r="B539" t="s">
        <v>34</v>
      </c>
      <c r="C539" s="6">
        <v>44324</v>
      </c>
      <c r="D539">
        <f>YEAR(Table1[[#This Row],[Join Date]])</f>
        <v>2021</v>
      </c>
      <c r="E539" s="6">
        <v>45076</v>
      </c>
      <c r="F539">
        <f>IFERROR(YEAR(Table1[[#This Row],[Exit Date]]), " ")</f>
        <v>2023</v>
      </c>
      <c r="G539">
        <f>IFERROR((Table1[[#This Row],[Exit Year]]-Table1[[#This Row],[Join Year]])+1," ")</f>
        <v>3</v>
      </c>
      <c r="H539" t="s">
        <v>40</v>
      </c>
      <c r="I539" t="s">
        <v>23</v>
      </c>
      <c r="J539" t="s">
        <v>12</v>
      </c>
      <c r="K539">
        <v>31</v>
      </c>
      <c r="L539" t="str">
        <f>IF(Table1[[#This Row],[Age]]&lt;30,"20-29",
IF(Table1[[#This Row],[Age]]&lt;40,"30-39",
IF(Table1[[#This Row],[Age]]&lt;50,"40-49",
IF(Table1[[#This Row],[Age]]&lt;60,"50-59","60+"))))</f>
        <v>30-39</v>
      </c>
      <c r="M539" t="s">
        <v>24</v>
      </c>
      <c r="N539" t="s">
        <v>19</v>
      </c>
    </row>
    <row r="540" spans="1:14" x14ac:dyDescent="0.35">
      <c r="A540">
        <v>639</v>
      </c>
      <c r="B540" t="s">
        <v>10</v>
      </c>
      <c r="C540" s="6">
        <v>43513</v>
      </c>
      <c r="D540">
        <f>YEAR(Table1[[#This Row],[Join Date]])</f>
        <v>2019</v>
      </c>
      <c r="E540" s="6">
        <v>44923</v>
      </c>
      <c r="F540">
        <f>IFERROR(YEAR(Table1[[#This Row],[Exit Date]]), " ")</f>
        <v>2022</v>
      </c>
      <c r="G540">
        <f>IFERROR((Table1[[#This Row],[Exit Year]]-Table1[[#This Row],[Join Year]])+1," ")</f>
        <v>4</v>
      </c>
      <c r="H540" t="s">
        <v>38</v>
      </c>
      <c r="I540" t="s">
        <v>23</v>
      </c>
      <c r="J540" t="s">
        <v>18</v>
      </c>
      <c r="K540">
        <v>24</v>
      </c>
      <c r="L540" t="str">
        <f>IF(Table1[[#This Row],[Age]]&lt;30,"20-29",
IF(Table1[[#This Row],[Age]]&lt;40,"30-39",
IF(Table1[[#This Row],[Age]]&lt;50,"40-49",
IF(Table1[[#This Row],[Age]]&lt;60,"50-59","60+"))))</f>
        <v>20-29</v>
      </c>
      <c r="M540" t="s">
        <v>13</v>
      </c>
      <c r="N540" t="s">
        <v>21</v>
      </c>
    </row>
    <row r="541" spans="1:14" x14ac:dyDescent="0.35">
      <c r="A541">
        <v>640</v>
      </c>
      <c r="B541" t="s">
        <v>36</v>
      </c>
      <c r="C541" s="6">
        <v>44180</v>
      </c>
      <c r="D541">
        <f>YEAR(Table1[[#This Row],[Join Date]])</f>
        <v>2020</v>
      </c>
      <c r="E541" s="6" t="s">
        <v>48</v>
      </c>
      <c r="F541" t="str">
        <f>IFERROR(YEAR(Table1[[#This Row],[Exit Date]]), " ")</f>
        <v xml:space="preserve"> </v>
      </c>
      <c r="G541" t="str">
        <f>IFERROR((Table1[[#This Row],[Exit Year]]-Table1[[#This Row],[Join Year]])+1," ")</f>
        <v xml:space="preserve"> </v>
      </c>
      <c r="H541" t="s">
        <v>48</v>
      </c>
      <c r="I541" t="s">
        <v>11</v>
      </c>
      <c r="J541" t="s">
        <v>12</v>
      </c>
      <c r="K541">
        <v>37</v>
      </c>
      <c r="L541" t="str">
        <f>IF(Table1[[#This Row],[Age]]&lt;30,"20-29",
IF(Table1[[#This Row],[Age]]&lt;40,"30-39",
IF(Table1[[#This Row],[Age]]&lt;50,"40-49",
IF(Table1[[#This Row],[Age]]&lt;60,"50-59","60+"))))</f>
        <v>30-39</v>
      </c>
      <c r="M541" t="s">
        <v>30</v>
      </c>
      <c r="N541" t="s">
        <v>25</v>
      </c>
    </row>
    <row r="542" spans="1:14" x14ac:dyDescent="0.35">
      <c r="A542">
        <v>641</v>
      </c>
      <c r="B542" t="s">
        <v>34</v>
      </c>
      <c r="C542" s="6">
        <v>44099</v>
      </c>
      <c r="D542">
        <f>YEAR(Table1[[#This Row],[Join Date]])</f>
        <v>2020</v>
      </c>
      <c r="E542" s="6" t="s">
        <v>48</v>
      </c>
      <c r="F542" t="str">
        <f>IFERROR(YEAR(Table1[[#This Row],[Exit Date]]), " ")</f>
        <v xml:space="preserve"> </v>
      </c>
      <c r="G542" t="str">
        <f>IFERROR((Table1[[#This Row],[Exit Year]]-Table1[[#This Row],[Join Year]])+1," ")</f>
        <v xml:space="preserve"> </v>
      </c>
      <c r="H542" t="s">
        <v>48</v>
      </c>
      <c r="I542" t="s">
        <v>11</v>
      </c>
      <c r="J542" t="s">
        <v>18</v>
      </c>
      <c r="K542">
        <v>23</v>
      </c>
      <c r="L542" t="str">
        <f>IF(Table1[[#This Row],[Age]]&lt;30,"20-29",
IF(Table1[[#This Row],[Age]]&lt;40,"30-39",
IF(Table1[[#This Row],[Age]]&lt;50,"40-49",
IF(Table1[[#This Row],[Age]]&lt;60,"50-59","60+"))))</f>
        <v>20-29</v>
      </c>
      <c r="M542" t="s">
        <v>13</v>
      </c>
      <c r="N542" t="s">
        <v>28</v>
      </c>
    </row>
    <row r="543" spans="1:14" x14ac:dyDescent="0.35">
      <c r="A543">
        <v>642</v>
      </c>
      <c r="B543" t="s">
        <v>34</v>
      </c>
      <c r="C543" s="6">
        <v>45632</v>
      </c>
      <c r="D543">
        <f>YEAR(Table1[[#This Row],[Join Date]])</f>
        <v>2024</v>
      </c>
      <c r="E543" s="6" t="s">
        <v>48</v>
      </c>
      <c r="F543" t="str">
        <f>IFERROR(YEAR(Table1[[#This Row],[Exit Date]]), " ")</f>
        <v xml:space="preserve"> </v>
      </c>
      <c r="G543" t="str">
        <f>IFERROR((Table1[[#This Row],[Exit Year]]-Table1[[#This Row],[Join Year]])+1," ")</f>
        <v xml:space="preserve"> </v>
      </c>
      <c r="H543" t="s">
        <v>48</v>
      </c>
      <c r="I543" t="s">
        <v>11</v>
      </c>
      <c r="J543" t="s">
        <v>18</v>
      </c>
      <c r="K543">
        <v>31</v>
      </c>
      <c r="L543" t="str">
        <f>IF(Table1[[#This Row],[Age]]&lt;30,"20-29",
IF(Table1[[#This Row],[Age]]&lt;40,"30-39",
IF(Table1[[#This Row],[Age]]&lt;50,"40-49",
IF(Table1[[#This Row],[Age]]&lt;60,"50-59","60+"))))</f>
        <v>30-39</v>
      </c>
      <c r="M543" t="s">
        <v>13</v>
      </c>
      <c r="N543" t="s">
        <v>31</v>
      </c>
    </row>
    <row r="544" spans="1:14" x14ac:dyDescent="0.35">
      <c r="A544">
        <v>643</v>
      </c>
      <c r="B544" t="s">
        <v>36</v>
      </c>
      <c r="C544" s="6">
        <v>45294</v>
      </c>
      <c r="D544">
        <f>YEAR(Table1[[#This Row],[Join Date]])</f>
        <v>2024</v>
      </c>
      <c r="E544" s="6" t="s">
        <v>48</v>
      </c>
      <c r="F544" t="str">
        <f>IFERROR(YEAR(Table1[[#This Row],[Exit Date]]), " ")</f>
        <v xml:space="preserve"> </v>
      </c>
      <c r="G544" t="str">
        <f>IFERROR((Table1[[#This Row],[Exit Year]]-Table1[[#This Row],[Join Year]])+1," ")</f>
        <v xml:space="preserve"> </v>
      </c>
      <c r="H544" t="s">
        <v>48</v>
      </c>
      <c r="I544" t="s">
        <v>11</v>
      </c>
      <c r="J544" t="s">
        <v>12</v>
      </c>
      <c r="K544">
        <v>52</v>
      </c>
      <c r="L544" t="str">
        <f>IF(Table1[[#This Row],[Age]]&lt;30,"20-29",
IF(Table1[[#This Row],[Age]]&lt;40,"30-39",
IF(Table1[[#This Row],[Age]]&lt;50,"40-49",
IF(Table1[[#This Row],[Age]]&lt;60,"50-59","60+"))))</f>
        <v>50-59</v>
      </c>
      <c r="M544" t="s">
        <v>16</v>
      </c>
      <c r="N544" t="s">
        <v>32</v>
      </c>
    </row>
    <row r="545" spans="1:14" x14ac:dyDescent="0.35">
      <c r="A545">
        <v>644</v>
      </c>
      <c r="B545" t="s">
        <v>26</v>
      </c>
      <c r="C545" s="6">
        <v>44590</v>
      </c>
      <c r="D545">
        <f>YEAR(Table1[[#This Row],[Join Date]])</f>
        <v>2022</v>
      </c>
      <c r="E545" s="6" t="s">
        <v>48</v>
      </c>
      <c r="F545" t="str">
        <f>IFERROR(YEAR(Table1[[#This Row],[Exit Date]]), " ")</f>
        <v xml:space="preserve"> </v>
      </c>
      <c r="G545" t="str">
        <f>IFERROR((Table1[[#This Row],[Exit Year]]-Table1[[#This Row],[Join Year]])+1," ")</f>
        <v xml:space="preserve"> </v>
      </c>
      <c r="H545" t="s">
        <v>48</v>
      </c>
      <c r="I545" t="s">
        <v>11</v>
      </c>
      <c r="J545" t="s">
        <v>12</v>
      </c>
      <c r="K545">
        <v>25</v>
      </c>
      <c r="L545" t="str">
        <f>IF(Table1[[#This Row],[Age]]&lt;30,"20-29",
IF(Table1[[#This Row],[Age]]&lt;40,"30-39",
IF(Table1[[#This Row],[Age]]&lt;50,"40-49",
IF(Table1[[#This Row],[Age]]&lt;60,"50-59","60+"))))</f>
        <v>20-29</v>
      </c>
      <c r="M545" t="s">
        <v>13</v>
      </c>
      <c r="N545" t="s">
        <v>33</v>
      </c>
    </row>
    <row r="546" spans="1:14" x14ac:dyDescent="0.35">
      <c r="A546">
        <v>645</v>
      </c>
      <c r="B546" t="s">
        <v>15</v>
      </c>
      <c r="C546" s="6">
        <v>45215</v>
      </c>
      <c r="D546">
        <f>YEAR(Table1[[#This Row],[Join Date]])</f>
        <v>2023</v>
      </c>
      <c r="E546" s="6" t="s">
        <v>48</v>
      </c>
      <c r="F546" t="str">
        <f>IFERROR(YEAR(Table1[[#This Row],[Exit Date]]), " ")</f>
        <v xml:space="preserve"> </v>
      </c>
      <c r="G546" t="str">
        <f>IFERROR((Table1[[#This Row],[Exit Year]]-Table1[[#This Row],[Join Year]])+1," ")</f>
        <v xml:space="preserve"> </v>
      </c>
      <c r="H546" t="s">
        <v>48</v>
      </c>
      <c r="I546" t="s">
        <v>11</v>
      </c>
      <c r="J546" t="s">
        <v>12</v>
      </c>
      <c r="K546">
        <v>46</v>
      </c>
      <c r="L546" t="str">
        <f>IF(Table1[[#This Row],[Age]]&lt;30,"20-29",
IF(Table1[[#This Row],[Age]]&lt;40,"30-39",
IF(Table1[[#This Row],[Age]]&lt;50,"40-49",
IF(Table1[[#This Row],[Age]]&lt;60,"50-59","60+"))))</f>
        <v>40-49</v>
      </c>
      <c r="M546" t="s">
        <v>20</v>
      </c>
      <c r="N546" t="s">
        <v>35</v>
      </c>
    </row>
    <row r="547" spans="1:14" x14ac:dyDescent="0.35">
      <c r="A547">
        <v>646</v>
      </c>
      <c r="B547" t="s">
        <v>15</v>
      </c>
      <c r="C547" s="6">
        <v>43624</v>
      </c>
      <c r="D547">
        <f>YEAR(Table1[[#This Row],[Join Date]])</f>
        <v>2019</v>
      </c>
      <c r="E547" s="6">
        <v>44228</v>
      </c>
      <c r="F547">
        <f>IFERROR(YEAR(Table1[[#This Row],[Exit Date]]), " ")</f>
        <v>2021</v>
      </c>
      <c r="G547">
        <f>IFERROR((Table1[[#This Row],[Exit Year]]-Table1[[#This Row],[Join Year]])+1," ")</f>
        <v>3</v>
      </c>
      <c r="H547" t="s">
        <v>41</v>
      </c>
      <c r="I547" t="s">
        <v>23</v>
      </c>
      <c r="J547" t="s">
        <v>12</v>
      </c>
      <c r="K547">
        <v>24</v>
      </c>
      <c r="L547" t="str">
        <f>IF(Table1[[#This Row],[Age]]&lt;30,"20-29",
IF(Table1[[#This Row],[Age]]&lt;40,"30-39",
IF(Table1[[#This Row],[Age]]&lt;50,"40-49",
IF(Table1[[#This Row],[Age]]&lt;60,"50-59","60+"))))</f>
        <v>20-29</v>
      </c>
      <c r="M547" t="s">
        <v>44</v>
      </c>
      <c r="N547" t="s">
        <v>37</v>
      </c>
    </row>
    <row r="548" spans="1:14" x14ac:dyDescent="0.35">
      <c r="A548">
        <v>647</v>
      </c>
      <c r="B548" t="s">
        <v>15</v>
      </c>
      <c r="C548" s="6">
        <v>44514</v>
      </c>
      <c r="D548">
        <f>YEAR(Table1[[#This Row],[Join Date]])</f>
        <v>2021</v>
      </c>
      <c r="E548" s="6">
        <v>45529</v>
      </c>
      <c r="F548">
        <f>IFERROR(YEAR(Table1[[#This Row],[Exit Date]]), " ")</f>
        <v>2024</v>
      </c>
      <c r="G548">
        <f>IFERROR((Table1[[#This Row],[Exit Year]]-Table1[[#This Row],[Join Year]])+1," ")</f>
        <v>4</v>
      </c>
      <c r="H548" t="s">
        <v>41</v>
      </c>
      <c r="I548" t="s">
        <v>23</v>
      </c>
      <c r="J548" t="s">
        <v>12</v>
      </c>
      <c r="K548">
        <v>38</v>
      </c>
      <c r="L548" t="str">
        <f>IF(Table1[[#This Row],[Age]]&lt;30,"20-29",
IF(Table1[[#This Row],[Age]]&lt;40,"30-39",
IF(Table1[[#This Row],[Age]]&lt;50,"40-49",
IF(Table1[[#This Row],[Age]]&lt;60,"50-59","60+"))))</f>
        <v>30-39</v>
      </c>
      <c r="M548" t="s">
        <v>13</v>
      </c>
      <c r="N548" t="s">
        <v>19</v>
      </c>
    </row>
    <row r="549" spans="1:14" x14ac:dyDescent="0.35">
      <c r="A549">
        <v>648</v>
      </c>
      <c r="B549" t="s">
        <v>29</v>
      </c>
      <c r="C549" s="6">
        <v>43700</v>
      </c>
      <c r="D549">
        <f>YEAR(Table1[[#This Row],[Join Date]])</f>
        <v>2019</v>
      </c>
      <c r="E549" s="6" t="s">
        <v>48</v>
      </c>
      <c r="F549" t="str">
        <f>IFERROR(YEAR(Table1[[#This Row],[Exit Date]]), " ")</f>
        <v xml:space="preserve"> </v>
      </c>
      <c r="G549" t="str">
        <f>IFERROR((Table1[[#This Row],[Exit Year]]-Table1[[#This Row],[Join Year]])+1," ")</f>
        <v xml:space="preserve"> </v>
      </c>
      <c r="H549" t="s">
        <v>48</v>
      </c>
      <c r="I549" t="s">
        <v>11</v>
      </c>
      <c r="J549" t="s">
        <v>18</v>
      </c>
      <c r="K549">
        <v>49</v>
      </c>
      <c r="L549" t="str">
        <f>IF(Table1[[#This Row],[Age]]&lt;30,"20-29",
IF(Table1[[#This Row],[Age]]&lt;40,"30-39",
IF(Table1[[#This Row],[Age]]&lt;50,"40-49",
IF(Table1[[#This Row],[Age]]&lt;60,"50-59","60+"))))</f>
        <v>40-49</v>
      </c>
      <c r="M549" t="s">
        <v>16</v>
      </c>
      <c r="N549" t="s">
        <v>25</v>
      </c>
    </row>
    <row r="550" spans="1:14" x14ac:dyDescent="0.35">
      <c r="A550">
        <v>649</v>
      </c>
      <c r="B550" t="s">
        <v>34</v>
      </c>
      <c r="C550" s="6">
        <v>45540</v>
      </c>
      <c r="D550">
        <f>YEAR(Table1[[#This Row],[Join Date]])</f>
        <v>2024</v>
      </c>
      <c r="E550" s="6" t="s">
        <v>48</v>
      </c>
      <c r="F550" t="str">
        <f>IFERROR(YEAR(Table1[[#This Row],[Exit Date]]), " ")</f>
        <v xml:space="preserve"> </v>
      </c>
      <c r="G550" t="str">
        <f>IFERROR((Table1[[#This Row],[Exit Year]]-Table1[[#This Row],[Join Year]])+1," ")</f>
        <v xml:space="preserve"> </v>
      </c>
      <c r="H550" t="s">
        <v>48</v>
      </c>
      <c r="I550" t="s">
        <v>11</v>
      </c>
      <c r="J550" t="s">
        <v>18</v>
      </c>
      <c r="K550">
        <v>31</v>
      </c>
      <c r="L550" t="str">
        <f>IF(Table1[[#This Row],[Age]]&lt;30,"20-29",
IF(Table1[[#This Row],[Age]]&lt;40,"30-39",
IF(Table1[[#This Row],[Age]]&lt;50,"40-49",
IF(Table1[[#This Row],[Age]]&lt;60,"50-59","60+"))))</f>
        <v>30-39</v>
      </c>
      <c r="M550" t="s">
        <v>16</v>
      </c>
      <c r="N550" t="s">
        <v>35</v>
      </c>
    </row>
    <row r="551" spans="1:14" x14ac:dyDescent="0.35">
      <c r="A551">
        <v>650</v>
      </c>
      <c r="B551" t="s">
        <v>10</v>
      </c>
      <c r="C551" s="6">
        <v>43297</v>
      </c>
      <c r="D551">
        <f>YEAR(Table1[[#This Row],[Join Date]])</f>
        <v>2018</v>
      </c>
      <c r="E551" s="6">
        <v>44682</v>
      </c>
      <c r="F551">
        <f>IFERROR(YEAR(Table1[[#This Row],[Exit Date]]), " ")</f>
        <v>2022</v>
      </c>
      <c r="G551">
        <f>IFERROR((Table1[[#This Row],[Exit Year]]-Table1[[#This Row],[Join Year]])+1," ")</f>
        <v>5</v>
      </c>
      <c r="H551" t="s">
        <v>40</v>
      </c>
      <c r="I551" t="s">
        <v>23</v>
      </c>
      <c r="J551" t="s">
        <v>18</v>
      </c>
      <c r="K551">
        <v>51</v>
      </c>
      <c r="L551" t="str">
        <f>IF(Table1[[#This Row],[Age]]&lt;30,"20-29",
IF(Table1[[#This Row],[Age]]&lt;40,"30-39",
IF(Table1[[#This Row],[Age]]&lt;50,"40-49",
IF(Table1[[#This Row],[Age]]&lt;60,"50-59","60+"))))</f>
        <v>50-59</v>
      </c>
      <c r="M551" t="s">
        <v>20</v>
      </c>
      <c r="N551" t="s">
        <v>17</v>
      </c>
    </row>
    <row r="552" spans="1:14" x14ac:dyDescent="0.35">
      <c r="A552">
        <v>651</v>
      </c>
      <c r="B552" t="s">
        <v>10</v>
      </c>
      <c r="C552" s="6">
        <v>43407</v>
      </c>
      <c r="D552">
        <f>YEAR(Table1[[#This Row],[Join Date]])</f>
        <v>2018</v>
      </c>
      <c r="E552" s="6" t="s">
        <v>48</v>
      </c>
      <c r="F552" t="str">
        <f>IFERROR(YEAR(Table1[[#This Row],[Exit Date]]), " ")</f>
        <v xml:space="preserve"> </v>
      </c>
      <c r="G552" t="str">
        <f>IFERROR((Table1[[#This Row],[Exit Year]]-Table1[[#This Row],[Join Year]])+1," ")</f>
        <v xml:space="preserve"> </v>
      </c>
      <c r="H552" t="s">
        <v>48</v>
      </c>
      <c r="I552" t="s">
        <v>11</v>
      </c>
      <c r="J552" t="s">
        <v>18</v>
      </c>
      <c r="K552">
        <v>27</v>
      </c>
      <c r="L552" t="str">
        <f>IF(Table1[[#This Row],[Age]]&lt;30,"20-29",
IF(Table1[[#This Row],[Age]]&lt;40,"30-39",
IF(Table1[[#This Row],[Age]]&lt;50,"40-49",
IF(Table1[[#This Row],[Age]]&lt;60,"50-59","60+"))))</f>
        <v>20-29</v>
      </c>
      <c r="M552" t="s">
        <v>24</v>
      </c>
      <c r="N552" t="s">
        <v>19</v>
      </c>
    </row>
    <row r="553" spans="1:14" x14ac:dyDescent="0.35">
      <c r="A553">
        <v>652</v>
      </c>
      <c r="B553" t="s">
        <v>15</v>
      </c>
      <c r="C553" s="6">
        <v>44121</v>
      </c>
      <c r="D553">
        <f>YEAR(Table1[[#This Row],[Join Date]])</f>
        <v>2020</v>
      </c>
      <c r="E553" s="6" t="s">
        <v>48</v>
      </c>
      <c r="F553" t="str">
        <f>IFERROR(YEAR(Table1[[#This Row],[Exit Date]]), " ")</f>
        <v xml:space="preserve"> </v>
      </c>
      <c r="G553" t="str">
        <f>IFERROR((Table1[[#This Row],[Exit Year]]-Table1[[#This Row],[Join Year]])+1," ")</f>
        <v xml:space="preserve"> </v>
      </c>
      <c r="H553" t="s">
        <v>48</v>
      </c>
      <c r="I553" t="s">
        <v>11</v>
      </c>
      <c r="J553" t="s">
        <v>18</v>
      </c>
      <c r="K553">
        <v>22</v>
      </c>
      <c r="L553" t="str">
        <f>IF(Table1[[#This Row],[Age]]&lt;30,"20-29",
IF(Table1[[#This Row],[Age]]&lt;40,"30-39",
IF(Table1[[#This Row],[Age]]&lt;50,"40-49",
IF(Table1[[#This Row],[Age]]&lt;60,"50-59","60+"))))</f>
        <v>20-29</v>
      </c>
      <c r="M553" t="s">
        <v>13</v>
      </c>
      <c r="N553" t="s">
        <v>21</v>
      </c>
    </row>
    <row r="554" spans="1:14" x14ac:dyDescent="0.35">
      <c r="A554">
        <v>653</v>
      </c>
      <c r="B554" t="s">
        <v>15</v>
      </c>
      <c r="C554" s="6">
        <v>44423</v>
      </c>
      <c r="D554">
        <f>YEAR(Table1[[#This Row],[Join Date]])</f>
        <v>2021</v>
      </c>
      <c r="E554" s="6" t="s">
        <v>48</v>
      </c>
      <c r="F554" t="str">
        <f>IFERROR(YEAR(Table1[[#This Row],[Exit Date]]), " ")</f>
        <v xml:space="preserve"> </v>
      </c>
      <c r="G554" t="str">
        <f>IFERROR((Table1[[#This Row],[Exit Year]]-Table1[[#This Row],[Join Year]])+1," ")</f>
        <v xml:space="preserve"> </v>
      </c>
      <c r="H554" t="s">
        <v>48</v>
      </c>
      <c r="I554" t="s">
        <v>11</v>
      </c>
      <c r="J554" t="s">
        <v>12</v>
      </c>
      <c r="K554">
        <v>50</v>
      </c>
      <c r="L554" t="str">
        <f>IF(Table1[[#This Row],[Age]]&lt;30,"20-29",
IF(Table1[[#This Row],[Age]]&lt;40,"30-39",
IF(Table1[[#This Row],[Age]]&lt;50,"40-49",
IF(Table1[[#This Row],[Age]]&lt;60,"50-59","60+"))))</f>
        <v>50-59</v>
      </c>
      <c r="M554" t="s">
        <v>42</v>
      </c>
      <c r="N554" t="s">
        <v>25</v>
      </c>
    </row>
    <row r="555" spans="1:14" x14ac:dyDescent="0.35">
      <c r="A555">
        <v>654</v>
      </c>
      <c r="B555" t="s">
        <v>15</v>
      </c>
      <c r="C555" s="6">
        <v>45087</v>
      </c>
      <c r="D555">
        <f>YEAR(Table1[[#This Row],[Join Date]])</f>
        <v>2023</v>
      </c>
      <c r="E555" s="6" t="s">
        <v>48</v>
      </c>
      <c r="F555" t="str">
        <f>IFERROR(YEAR(Table1[[#This Row],[Exit Date]]), " ")</f>
        <v xml:space="preserve"> </v>
      </c>
      <c r="G555" t="str">
        <f>IFERROR((Table1[[#This Row],[Exit Year]]-Table1[[#This Row],[Join Year]])+1," ")</f>
        <v xml:space="preserve"> </v>
      </c>
      <c r="H555" t="s">
        <v>48</v>
      </c>
      <c r="I555" t="s">
        <v>11</v>
      </c>
      <c r="J555" t="s">
        <v>18</v>
      </c>
      <c r="K555">
        <v>24</v>
      </c>
      <c r="L555" t="str">
        <f>IF(Table1[[#This Row],[Age]]&lt;30,"20-29",
IF(Table1[[#This Row],[Age]]&lt;40,"30-39",
IF(Table1[[#This Row],[Age]]&lt;50,"40-49",
IF(Table1[[#This Row],[Age]]&lt;60,"50-59","60+"))))</f>
        <v>20-29</v>
      </c>
      <c r="M555" t="s">
        <v>13</v>
      </c>
      <c r="N555" t="s">
        <v>35</v>
      </c>
    </row>
    <row r="556" spans="1:14" x14ac:dyDescent="0.35">
      <c r="A556">
        <v>655</v>
      </c>
      <c r="B556" t="s">
        <v>15</v>
      </c>
      <c r="C556" s="6">
        <v>43479</v>
      </c>
      <c r="D556">
        <f>YEAR(Table1[[#This Row],[Join Date]])</f>
        <v>2019</v>
      </c>
      <c r="E556" s="6">
        <v>44449</v>
      </c>
      <c r="F556">
        <f>IFERROR(YEAR(Table1[[#This Row],[Exit Date]]), " ")</f>
        <v>2021</v>
      </c>
      <c r="G556">
        <f>IFERROR((Table1[[#This Row],[Exit Year]]-Table1[[#This Row],[Join Year]])+1," ")</f>
        <v>3</v>
      </c>
      <c r="H556" t="s">
        <v>22</v>
      </c>
      <c r="I556" t="s">
        <v>23</v>
      </c>
      <c r="J556" t="s">
        <v>18</v>
      </c>
      <c r="K556">
        <v>50</v>
      </c>
      <c r="L556" t="str">
        <f>IF(Table1[[#This Row],[Age]]&lt;30,"20-29",
IF(Table1[[#This Row],[Age]]&lt;40,"30-39",
IF(Table1[[#This Row],[Age]]&lt;50,"40-49",
IF(Table1[[#This Row],[Age]]&lt;60,"50-59","60+"))))</f>
        <v>50-59</v>
      </c>
      <c r="M556" t="s">
        <v>13</v>
      </c>
      <c r="N556" t="s">
        <v>14</v>
      </c>
    </row>
    <row r="557" spans="1:14" x14ac:dyDescent="0.35">
      <c r="A557">
        <v>656</v>
      </c>
      <c r="B557" t="s">
        <v>26</v>
      </c>
      <c r="C557" s="6">
        <v>44749</v>
      </c>
      <c r="D557">
        <f>YEAR(Table1[[#This Row],[Join Date]])</f>
        <v>2022</v>
      </c>
      <c r="E557" s="6">
        <v>44972</v>
      </c>
      <c r="F557">
        <f>IFERROR(YEAR(Table1[[#This Row],[Exit Date]]), " ")</f>
        <v>2023</v>
      </c>
      <c r="G557">
        <f>IFERROR((Table1[[#This Row],[Exit Year]]-Table1[[#This Row],[Join Year]])+1," ")</f>
        <v>2</v>
      </c>
      <c r="H557" t="s">
        <v>46</v>
      </c>
      <c r="I557" t="s">
        <v>23</v>
      </c>
      <c r="J557" t="s">
        <v>18</v>
      </c>
      <c r="K557">
        <v>28</v>
      </c>
      <c r="L557" t="str">
        <f>IF(Table1[[#This Row],[Age]]&lt;30,"20-29",
IF(Table1[[#This Row],[Age]]&lt;40,"30-39",
IF(Table1[[#This Row],[Age]]&lt;50,"40-49",
IF(Table1[[#This Row],[Age]]&lt;60,"50-59","60+"))))</f>
        <v>20-29</v>
      </c>
      <c r="M557" t="s">
        <v>16</v>
      </c>
      <c r="N557" t="s">
        <v>19</v>
      </c>
    </row>
    <row r="558" spans="1:14" x14ac:dyDescent="0.35">
      <c r="A558">
        <v>657</v>
      </c>
      <c r="B558" t="s">
        <v>29</v>
      </c>
      <c r="C558" s="6">
        <v>45457</v>
      </c>
      <c r="D558">
        <f>YEAR(Table1[[#This Row],[Join Date]])</f>
        <v>2024</v>
      </c>
      <c r="E558" s="6" t="s">
        <v>48</v>
      </c>
      <c r="F558" t="str">
        <f>IFERROR(YEAR(Table1[[#This Row],[Exit Date]]), " ")</f>
        <v xml:space="preserve"> </v>
      </c>
      <c r="G558" t="str">
        <f>IFERROR((Table1[[#This Row],[Exit Year]]-Table1[[#This Row],[Join Year]])+1," ")</f>
        <v xml:space="preserve"> </v>
      </c>
      <c r="H558" t="s">
        <v>48</v>
      </c>
      <c r="I558" t="s">
        <v>11</v>
      </c>
      <c r="J558" t="s">
        <v>12</v>
      </c>
      <c r="K558">
        <v>40</v>
      </c>
      <c r="L558" t="str">
        <f>IF(Table1[[#This Row],[Age]]&lt;30,"20-29",
IF(Table1[[#This Row],[Age]]&lt;40,"30-39",
IF(Table1[[#This Row],[Age]]&lt;50,"40-49",
IF(Table1[[#This Row],[Age]]&lt;60,"50-59","60+"))))</f>
        <v>40-49</v>
      </c>
      <c r="M558" t="s">
        <v>13</v>
      </c>
      <c r="N558" t="s">
        <v>21</v>
      </c>
    </row>
    <row r="559" spans="1:14" x14ac:dyDescent="0.35">
      <c r="A559">
        <v>658</v>
      </c>
      <c r="B559" t="s">
        <v>10</v>
      </c>
      <c r="C559" s="6">
        <v>43304</v>
      </c>
      <c r="D559">
        <f>YEAR(Table1[[#This Row],[Join Date]])</f>
        <v>2018</v>
      </c>
      <c r="E559" s="6" t="s">
        <v>48</v>
      </c>
      <c r="F559" t="str">
        <f>IFERROR(YEAR(Table1[[#This Row],[Exit Date]]), " ")</f>
        <v xml:space="preserve"> </v>
      </c>
      <c r="G559" t="str">
        <f>IFERROR((Table1[[#This Row],[Exit Year]]-Table1[[#This Row],[Join Year]])+1," ")</f>
        <v xml:space="preserve"> </v>
      </c>
      <c r="H559" t="s">
        <v>48</v>
      </c>
      <c r="I559" t="s">
        <v>11</v>
      </c>
      <c r="J559" t="s">
        <v>12</v>
      </c>
      <c r="K559">
        <v>32</v>
      </c>
      <c r="L559" t="str">
        <f>IF(Table1[[#This Row],[Age]]&lt;30,"20-29",
IF(Table1[[#This Row],[Age]]&lt;40,"30-39",
IF(Table1[[#This Row],[Age]]&lt;50,"40-49",
IF(Table1[[#This Row],[Age]]&lt;60,"50-59","60+"))))</f>
        <v>30-39</v>
      </c>
      <c r="M559" t="s">
        <v>20</v>
      </c>
      <c r="N559" t="s">
        <v>37</v>
      </c>
    </row>
    <row r="560" spans="1:14" x14ac:dyDescent="0.35">
      <c r="A560">
        <v>659</v>
      </c>
      <c r="B560" t="s">
        <v>15</v>
      </c>
      <c r="C560" s="6">
        <v>44987</v>
      </c>
      <c r="D560">
        <f>YEAR(Table1[[#This Row],[Join Date]])</f>
        <v>2023</v>
      </c>
      <c r="E560" s="6" t="s">
        <v>48</v>
      </c>
      <c r="F560" t="str">
        <f>IFERROR(YEAR(Table1[[#This Row],[Exit Date]]), " ")</f>
        <v xml:space="preserve"> </v>
      </c>
      <c r="G560" t="str">
        <f>IFERROR((Table1[[#This Row],[Exit Year]]-Table1[[#This Row],[Join Year]])+1," ")</f>
        <v xml:space="preserve"> </v>
      </c>
      <c r="H560" t="s">
        <v>48</v>
      </c>
      <c r="I560" t="s">
        <v>11</v>
      </c>
      <c r="J560" t="s">
        <v>18</v>
      </c>
      <c r="K560">
        <v>50</v>
      </c>
      <c r="L560" t="str">
        <f>IF(Table1[[#This Row],[Age]]&lt;30,"20-29",
IF(Table1[[#This Row],[Age]]&lt;40,"30-39",
IF(Table1[[#This Row],[Age]]&lt;50,"40-49",
IF(Table1[[#This Row],[Age]]&lt;60,"50-59","60+"))))</f>
        <v>50-59</v>
      </c>
      <c r="M560" t="s">
        <v>39</v>
      </c>
      <c r="N560" t="s">
        <v>25</v>
      </c>
    </row>
    <row r="561" spans="1:14" x14ac:dyDescent="0.35">
      <c r="A561">
        <v>660</v>
      </c>
      <c r="B561" t="s">
        <v>34</v>
      </c>
      <c r="C561" s="6">
        <v>45326</v>
      </c>
      <c r="D561">
        <f>YEAR(Table1[[#This Row],[Join Date]])</f>
        <v>2024</v>
      </c>
      <c r="E561" s="6" t="s">
        <v>48</v>
      </c>
      <c r="F561" t="str">
        <f>IFERROR(YEAR(Table1[[#This Row],[Exit Date]]), " ")</f>
        <v xml:space="preserve"> </v>
      </c>
      <c r="G561" t="str">
        <f>IFERROR((Table1[[#This Row],[Exit Year]]-Table1[[#This Row],[Join Year]])+1," ")</f>
        <v xml:space="preserve"> </v>
      </c>
      <c r="H561" t="s">
        <v>48</v>
      </c>
      <c r="I561" t="s">
        <v>11</v>
      </c>
      <c r="J561" t="s">
        <v>12</v>
      </c>
      <c r="K561">
        <v>24</v>
      </c>
      <c r="L561" t="str">
        <f>IF(Table1[[#This Row],[Age]]&lt;30,"20-29",
IF(Table1[[#This Row],[Age]]&lt;40,"30-39",
IF(Table1[[#This Row],[Age]]&lt;50,"40-49",
IF(Table1[[#This Row],[Age]]&lt;60,"50-59","60+"))))</f>
        <v>20-29</v>
      </c>
      <c r="M561" t="s">
        <v>13</v>
      </c>
      <c r="N561" t="s">
        <v>35</v>
      </c>
    </row>
    <row r="562" spans="1:14" x14ac:dyDescent="0.35">
      <c r="A562">
        <v>661</v>
      </c>
      <c r="B562" t="s">
        <v>36</v>
      </c>
      <c r="C562" s="6">
        <v>45474</v>
      </c>
      <c r="D562">
        <f>YEAR(Table1[[#This Row],[Join Date]])</f>
        <v>2024</v>
      </c>
      <c r="E562" s="6" t="s">
        <v>48</v>
      </c>
      <c r="F562" t="str">
        <f>IFERROR(YEAR(Table1[[#This Row],[Exit Date]]), " ")</f>
        <v xml:space="preserve"> </v>
      </c>
      <c r="G562" t="str">
        <f>IFERROR((Table1[[#This Row],[Exit Year]]-Table1[[#This Row],[Join Year]])+1," ")</f>
        <v xml:space="preserve"> </v>
      </c>
      <c r="H562" t="s">
        <v>48</v>
      </c>
      <c r="I562" t="s">
        <v>11</v>
      </c>
      <c r="J562" t="s">
        <v>12</v>
      </c>
      <c r="K562">
        <v>36</v>
      </c>
      <c r="L562" t="str">
        <f>IF(Table1[[#This Row],[Age]]&lt;30,"20-29",
IF(Table1[[#This Row],[Age]]&lt;40,"30-39",
IF(Table1[[#This Row],[Age]]&lt;50,"40-49",
IF(Table1[[#This Row],[Age]]&lt;60,"50-59","60+"))))</f>
        <v>30-39</v>
      </c>
      <c r="M562" t="s">
        <v>16</v>
      </c>
      <c r="N562" t="s">
        <v>19</v>
      </c>
    </row>
    <row r="563" spans="1:14" x14ac:dyDescent="0.35">
      <c r="A563">
        <v>662</v>
      </c>
      <c r="B563" t="s">
        <v>29</v>
      </c>
      <c r="C563" s="6">
        <v>44227</v>
      </c>
      <c r="D563">
        <f>YEAR(Table1[[#This Row],[Join Date]])</f>
        <v>2021</v>
      </c>
      <c r="E563" s="6">
        <v>45322</v>
      </c>
      <c r="F563">
        <f>IFERROR(YEAR(Table1[[#This Row],[Exit Date]]), " ")</f>
        <v>2024</v>
      </c>
      <c r="G563">
        <f>IFERROR((Table1[[#This Row],[Exit Year]]-Table1[[#This Row],[Join Year]])+1," ")</f>
        <v>4</v>
      </c>
      <c r="H563" t="s">
        <v>46</v>
      </c>
      <c r="I563" t="s">
        <v>23</v>
      </c>
      <c r="J563" t="s">
        <v>18</v>
      </c>
      <c r="K563">
        <v>49</v>
      </c>
      <c r="L563" t="str">
        <f>IF(Table1[[#This Row],[Age]]&lt;30,"20-29",
IF(Table1[[#This Row],[Age]]&lt;40,"30-39",
IF(Table1[[#This Row],[Age]]&lt;50,"40-49",
IF(Table1[[#This Row],[Age]]&lt;60,"50-59","60+"))))</f>
        <v>40-49</v>
      </c>
      <c r="M563" t="s">
        <v>16</v>
      </c>
      <c r="N563" t="s">
        <v>21</v>
      </c>
    </row>
    <row r="564" spans="1:14" x14ac:dyDescent="0.35">
      <c r="A564">
        <v>663</v>
      </c>
      <c r="B564" t="s">
        <v>10</v>
      </c>
      <c r="C564" s="6">
        <v>43446</v>
      </c>
      <c r="D564">
        <f>YEAR(Table1[[#This Row],[Join Date]])</f>
        <v>2018</v>
      </c>
      <c r="E564" s="6">
        <v>43936</v>
      </c>
      <c r="F564">
        <f>IFERROR(YEAR(Table1[[#This Row],[Exit Date]]), " ")</f>
        <v>2020</v>
      </c>
      <c r="G564">
        <f>IFERROR((Table1[[#This Row],[Exit Year]]-Table1[[#This Row],[Join Year]])+1," ")</f>
        <v>3</v>
      </c>
      <c r="H564" t="s">
        <v>38</v>
      </c>
      <c r="I564" t="s">
        <v>23</v>
      </c>
      <c r="J564" t="s">
        <v>12</v>
      </c>
      <c r="K564">
        <v>43</v>
      </c>
      <c r="L564" t="str">
        <f>IF(Table1[[#This Row],[Age]]&lt;30,"20-29",
IF(Table1[[#This Row],[Age]]&lt;40,"30-39",
IF(Table1[[#This Row],[Age]]&lt;50,"40-49",
IF(Table1[[#This Row],[Age]]&lt;60,"50-59","60+"))))</f>
        <v>40-49</v>
      </c>
      <c r="M564" t="s">
        <v>20</v>
      </c>
      <c r="N564" t="s">
        <v>25</v>
      </c>
    </row>
    <row r="565" spans="1:14" x14ac:dyDescent="0.35">
      <c r="A565">
        <v>664</v>
      </c>
      <c r="B565" t="s">
        <v>15</v>
      </c>
      <c r="C565" s="6">
        <v>45314</v>
      </c>
      <c r="D565">
        <f>YEAR(Table1[[#This Row],[Join Date]])</f>
        <v>2024</v>
      </c>
      <c r="E565" s="6" t="s">
        <v>48</v>
      </c>
      <c r="F565" t="str">
        <f>IFERROR(YEAR(Table1[[#This Row],[Exit Date]]), " ")</f>
        <v xml:space="preserve"> </v>
      </c>
      <c r="G565" t="str">
        <f>IFERROR((Table1[[#This Row],[Exit Year]]-Table1[[#This Row],[Join Year]])+1," ")</f>
        <v xml:space="preserve"> </v>
      </c>
      <c r="H565" t="s">
        <v>48</v>
      </c>
      <c r="I565" t="s">
        <v>11</v>
      </c>
      <c r="J565" t="s">
        <v>12</v>
      </c>
      <c r="K565">
        <v>40</v>
      </c>
      <c r="L565" t="str">
        <f>IF(Table1[[#This Row],[Age]]&lt;30,"20-29",
IF(Table1[[#This Row],[Age]]&lt;40,"30-39",
IF(Table1[[#This Row],[Age]]&lt;50,"40-49",
IF(Table1[[#This Row],[Age]]&lt;60,"50-59","60+"))))</f>
        <v>40-49</v>
      </c>
      <c r="M565" t="s">
        <v>24</v>
      </c>
      <c r="N565" t="s">
        <v>35</v>
      </c>
    </row>
    <row r="566" spans="1:14" x14ac:dyDescent="0.35">
      <c r="A566">
        <v>665</v>
      </c>
      <c r="B566" t="s">
        <v>15</v>
      </c>
      <c r="C566" s="6">
        <v>43123</v>
      </c>
      <c r="D566">
        <f>YEAR(Table1[[#This Row],[Join Date]])</f>
        <v>2018</v>
      </c>
      <c r="E566" s="6" t="s">
        <v>48</v>
      </c>
      <c r="F566" t="str">
        <f>IFERROR(YEAR(Table1[[#This Row],[Exit Date]]), " ")</f>
        <v xml:space="preserve"> </v>
      </c>
      <c r="G566" t="str">
        <f>IFERROR((Table1[[#This Row],[Exit Year]]-Table1[[#This Row],[Join Year]])+1," ")</f>
        <v xml:space="preserve"> </v>
      </c>
      <c r="H566" t="s">
        <v>48</v>
      </c>
      <c r="I566" t="s">
        <v>11</v>
      </c>
      <c r="J566" t="s">
        <v>12</v>
      </c>
      <c r="K566">
        <v>42</v>
      </c>
      <c r="L566" t="str">
        <f>IF(Table1[[#This Row],[Age]]&lt;30,"20-29",
IF(Table1[[#This Row],[Age]]&lt;40,"30-39",
IF(Table1[[#This Row],[Age]]&lt;50,"40-49",
IF(Table1[[#This Row],[Age]]&lt;60,"50-59","60+"))))</f>
        <v>40-49</v>
      </c>
      <c r="M566" t="s">
        <v>13</v>
      </c>
      <c r="N566" t="s">
        <v>14</v>
      </c>
    </row>
    <row r="567" spans="1:14" x14ac:dyDescent="0.35">
      <c r="A567">
        <v>666</v>
      </c>
      <c r="B567" t="s">
        <v>10</v>
      </c>
      <c r="C567" s="6">
        <v>43717</v>
      </c>
      <c r="D567">
        <f>YEAR(Table1[[#This Row],[Join Date]])</f>
        <v>2019</v>
      </c>
      <c r="E567" s="6">
        <v>44677</v>
      </c>
      <c r="F567">
        <f>IFERROR(YEAR(Table1[[#This Row],[Exit Date]]), " ")</f>
        <v>2022</v>
      </c>
      <c r="G567">
        <f>IFERROR((Table1[[#This Row],[Exit Year]]-Table1[[#This Row],[Join Year]])+1," ")</f>
        <v>4</v>
      </c>
      <c r="H567" t="s">
        <v>40</v>
      </c>
      <c r="I567" t="s">
        <v>23</v>
      </c>
      <c r="J567" t="s">
        <v>18</v>
      </c>
      <c r="K567">
        <v>35</v>
      </c>
      <c r="L567" t="str">
        <f>IF(Table1[[#This Row],[Age]]&lt;30,"20-29",
IF(Table1[[#This Row],[Age]]&lt;40,"30-39",
IF(Table1[[#This Row],[Age]]&lt;50,"40-49",
IF(Table1[[#This Row],[Age]]&lt;60,"50-59","60+"))))</f>
        <v>30-39</v>
      </c>
      <c r="M567" t="s">
        <v>44</v>
      </c>
      <c r="N567" t="s">
        <v>19</v>
      </c>
    </row>
    <row r="568" spans="1:14" x14ac:dyDescent="0.35">
      <c r="A568">
        <v>667</v>
      </c>
      <c r="B568" t="s">
        <v>29</v>
      </c>
      <c r="C568" s="6">
        <v>43534</v>
      </c>
      <c r="D568">
        <f>YEAR(Table1[[#This Row],[Join Date]])</f>
        <v>2019</v>
      </c>
      <c r="E568" s="6">
        <v>44117</v>
      </c>
      <c r="F568">
        <f>IFERROR(YEAR(Table1[[#This Row],[Exit Date]]), " ")</f>
        <v>2020</v>
      </c>
      <c r="G568">
        <f>IFERROR((Table1[[#This Row],[Exit Year]]-Table1[[#This Row],[Join Year]])+1," ")</f>
        <v>2</v>
      </c>
      <c r="H568" t="s">
        <v>38</v>
      </c>
      <c r="I568" t="s">
        <v>23</v>
      </c>
      <c r="J568" t="s">
        <v>12</v>
      </c>
      <c r="K568">
        <v>31</v>
      </c>
      <c r="L568" t="str">
        <f>IF(Table1[[#This Row],[Age]]&lt;30,"20-29",
IF(Table1[[#This Row],[Age]]&lt;40,"30-39",
IF(Table1[[#This Row],[Age]]&lt;50,"40-49",
IF(Table1[[#This Row],[Age]]&lt;60,"50-59","60+"))))</f>
        <v>30-39</v>
      </c>
      <c r="M568" t="s">
        <v>13</v>
      </c>
      <c r="N568" t="s">
        <v>21</v>
      </c>
    </row>
    <row r="569" spans="1:14" x14ac:dyDescent="0.35">
      <c r="A569">
        <v>668</v>
      </c>
      <c r="B569" t="s">
        <v>36</v>
      </c>
      <c r="C569" s="6">
        <v>44619</v>
      </c>
      <c r="D569">
        <f>YEAR(Table1[[#This Row],[Join Date]])</f>
        <v>2022</v>
      </c>
      <c r="E569" s="6" t="s">
        <v>48</v>
      </c>
      <c r="F569" t="str">
        <f>IFERROR(YEAR(Table1[[#This Row],[Exit Date]]), " ")</f>
        <v xml:space="preserve"> </v>
      </c>
      <c r="G569" t="str">
        <f>IFERROR((Table1[[#This Row],[Exit Year]]-Table1[[#This Row],[Join Year]])+1," ")</f>
        <v xml:space="preserve"> </v>
      </c>
      <c r="H569" t="s">
        <v>48</v>
      </c>
      <c r="I569" t="s">
        <v>11</v>
      </c>
      <c r="J569" t="s">
        <v>18</v>
      </c>
      <c r="K569">
        <v>51</v>
      </c>
      <c r="L569" t="str">
        <f>IF(Table1[[#This Row],[Age]]&lt;30,"20-29",
IF(Table1[[#This Row],[Age]]&lt;40,"30-39",
IF(Table1[[#This Row],[Age]]&lt;50,"40-49",
IF(Table1[[#This Row],[Age]]&lt;60,"50-59","60+"))))</f>
        <v>50-59</v>
      </c>
      <c r="M569" t="s">
        <v>13</v>
      </c>
      <c r="N569" t="s">
        <v>37</v>
      </c>
    </row>
    <row r="570" spans="1:14" x14ac:dyDescent="0.35">
      <c r="A570">
        <v>669</v>
      </c>
      <c r="B570" t="s">
        <v>10</v>
      </c>
      <c r="C570" s="6">
        <v>45485</v>
      </c>
      <c r="D570">
        <f>YEAR(Table1[[#This Row],[Join Date]])</f>
        <v>2024</v>
      </c>
      <c r="E570" s="6" t="s">
        <v>48</v>
      </c>
      <c r="F570" t="str">
        <f>IFERROR(YEAR(Table1[[#This Row],[Exit Date]]), " ")</f>
        <v xml:space="preserve"> </v>
      </c>
      <c r="G570" t="str">
        <f>IFERROR((Table1[[#This Row],[Exit Year]]-Table1[[#This Row],[Join Year]])+1," ")</f>
        <v xml:space="preserve"> </v>
      </c>
      <c r="H570" t="s">
        <v>48</v>
      </c>
      <c r="I570" t="s">
        <v>11</v>
      </c>
      <c r="J570" t="s">
        <v>18</v>
      </c>
      <c r="K570">
        <v>48</v>
      </c>
      <c r="L570" t="str">
        <f>IF(Table1[[#This Row],[Age]]&lt;30,"20-29",
IF(Table1[[#This Row],[Age]]&lt;40,"30-39",
IF(Table1[[#This Row],[Age]]&lt;50,"40-49",
IF(Table1[[#This Row],[Age]]&lt;60,"50-59","60+"))))</f>
        <v>40-49</v>
      </c>
      <c r="M570" t="s">
        <v>16</v>
      </c>
      <c r="N570" t="s">
        <v>25</v>
      </c>
    </row>
    <row r="571" spans="1:14" x14ac:dyDescent="0.35">
      <c r="A571">
        <v>670</v>
      </c>
      <c r="B571" t="s">
        <v>29</v>
      </c>
      <c r="C571" s="6">
        <v>43588</v>
      </c>
      <c r="D571">
        <f>YEAR(Table1[[#This Row],[Join Date]])</f>
        <v>2019</v>
      </c>
      <c r="E571" s="6">
        <v>44896</v>
      </c>
      <c r="F571">
        <f>IFERROR(YEAR(Table1[[#This Row],[Exit Date]]), " ")</f>
        <v>2022</v>
      </c>
      <c r="G571">
        <f>IFERROR((Table1[[#This Row],[Exit Year]]-Table1[[#This Row],[Join Year]])+1," ")</f>
        <v>4</v>
      </c>
      <c r="H571" t="s">
        <v>41</v>
      </c>
      <c r="I571" t="s">
        <v>23</v>
      </c>
      <c r="J571" t="s">
        <v>18</v>
      </c>
      <c r="K571">
        <v>41</v>
      </c>
      <c r="L571" t="str">
        <f>IF(Table1[[#This Row],[Age]]&lt;30,"20-29",
IF(Table1[[#This Row],[Age]]&lt;40,"30-39",
IF(Table1[[#This Row],[Age]]&lt;50,"40-49",
IF(Table1[[#This Row],[Age]]&lt;60,"50-59","60+"))))</f>
        <v>40-49</v>
      </c>
      <c r="M571" t="s">
        <v>13</v>
      </c>
      <c r="N571" t="s">
        <v>35</v>
      </c>
    </row>
    <row r="572" spans="1:14" x14ac:dyDescent="0.35">
      <c r="A572">
        <v>671</v>
      </c>
      <c r="B572" t="s">
        <v>36</v>
      </c>
      <c r="C572" s="6">
        <v>44250</v>
      </c>
      <c r="D572">
        <f>YEAR(Table1[[#This Row],[Join Date]])</f>
        <v>2021</v>
      </c>
      <c r="E572" s="6">
        <v>45392</v>
      </c>
      <c r="F572">
        <f>IFERROR(YEAR(Table1[[#This Row],[Exit Date]]), " ")</f>
        <v>2024</v>
      </c>
      <c r="G572">
        <f>IFERROR((Table1[[#This Row],[Exit Year]]-Table1[[#This Row],[Join Year]])+1," ")</f>
        <v>4</v>
      </c>
      <c r="H572" t="s">
        <v>46</v>
      </c>
      <c r="I572" t="s">
        <v>23</v>
      </c>
      <c r="J572" t="s">
        <v>12</v>
      </c>
      <c r="K572">
        <v>35</v>
      </c>
      <c r="L572" t="str">
        <f>IF(Table1[[#This Row],[Age]]&lt;30,"20-29",
IF(Table1[[#This Row],[Age]]&lt;40,"30-39",
IF(Table1[[#This Row],[Age]]&lt;50,"40-49",
IF(Table1[[#This Row],[Age]]&lt;60,"50-59","60+"))))</f>
        <v>30-39</v>
      </c>
      <c r="M572" t="s">
        <v>20</v>
      </c>
      <c r="N572" t="s">
        <v>14</v>
      </c>
    </row>
    <row r="573" spans="1:14" x14ac:dyDescent="0.35">
      <c r="A573">
        <v>672</v>
      </c>
      <c r="B573" t="s">
        <v>26</v>
      </c>
      <c r="C573" s="6">
        <v>45244</v>
      </c>
      <c r="D573">
        <f>YEAR(Table1[[#This Row],[Join Date]])</f>
        <v>2023</v>
      </c>
      <c r="E573" s="6">
        <v>45446</v>
      </c>
      <c r="F573">
        <f>IFERROR(YEAR(Table1[[#This Row],[Exit Date]]), " ")</f>
        <v>2024</v>
      </c>
      <c r="G573">
        <f>IFERROR((Table1[[#This Row],[Exit Year]]-Table1[[#This Row],[Join Year]])+1," ")</f>
        <v>2</v>
      </c>
      <c r="H573" t="s">
        <v>40</v>
      </c>
      <c r="I573" t="s">
        <v>23</v>
      </c>
      <c r="J573" t="s">
        <v>12</v>
      </c>
      <c r="K573">
        <v>24</v>
      </c>
      <c r="L573" t="str">
        <f>IF(Table1[[#This Row],[Age]]&lt;30,"20-29",
IF(Table1[[#This Row],[Age]]&lt;40,"30-39",
IF(Table1[[#This Row],[Age]]&lt;50,"40-49",
IF(Table1[[#This Row],[Age]]&lt;60,"50-59","60+"))))</f>
        <v>20-29</v>
      </c>
      <c r="M573" t="s">
        <v>44</v>
      </c>
      <c r="N573" t="s">
        <v>17</v>
      </c>
    </row>
    <row r="574" spans="1:14" x14ac:dyDescent="0.35">
      <c r="A574">
        <v>673</v>
      </c>
      <c r="B574" t="s">
        <v>15</v>
      </c>
      <c r="C574" s="6">
        <v>45256</v>
      </c>
      <c r="D574">
        <f>YEAR(Table1[[#This Row],[Join Date]])</f>
        <v>2023</v>
      </c>
      <c r="E574" s="6" t="s">
        <v>48</v>
      </c>
      <c r="F574" t="str">
        <f>IFERROR(YEAR(Table1[[#This Row],[Exit Date]]), " ")</f>
        <v xml:space="preserve"> </v>
      </c>
      <c r="G574" t="str">
        <f>IFERROR((Table1[[#This Row],[Exit Year]]-Table1[[#This Row],[Join Year]])+1," ")</f>
        <v xml:space="preserve"> </v>
      </c>
      <c r="H574" t="s">
        <v>48</v>
      </c>
      <c r="I574" t="s">
        <v>11</v>
      </c>
      <c r="J574" t="s">
        <v>18</v>
      </c>
      <c r="K574">
        <v>41</v>
      </c>
      <c r="L574" t="str">
        <f>IF(Table1[[#This Row],[Age]]&lt;30,"20-29",
IF(Table1[[#This Row],[Age]]&lt;40,"30-39",
IF(Table1[[#This Row],[Age]]&lt;50,"40-49",
IF(Table1[[#This Row],[Age]]&lt;60,"50-59","60+"))))</f>
        <v>40-49</v>
      </c>
      <c r="M574" t="s">
        <v>13</v>
      </c>
      <c r="N574" t="s">
        <v>19</v>
      </c>
    </row>
    <row r="575" spans="1:14" x14ac:dyDescent="0.35">
      <c r="A575">
        <v>674</v>
      </c>
      <c r="B575" t="s">
        <v>26</v>
      </c>
      <c r="C575" s="6">
        <v>45465</v>
      </c>
      <c r="D575">
        <f>YEAR(Table1[[#This Row],[Join Date]])</f>
        <v>2024</v>
      </c>
      <c r="E575" s="6" t="s">
        <v>48</v>
      </c>
      <c r="F575" t="str">
        <f>IFERROR(YEAR(Table1[[#This Row],[Exit Date]]), " ")</f>
        <v xml:space="preserve"> </v>
      </c>
      <c r="G575" t="str">
        <f>IFERROR((Table1[[#This Row],[Exit Year]]-Table1[[#This Row],[Join Year]])+1," ")</f>
        <v xml:space="preserve"> </v>
      </c>
      <c r="H575" t="s">
        <v>48</v>
      </c>
      <c r="I575" t="s">
        <v>11</v>
      </c>
      <c r="J575" t="s">
        <v>18</v>
      </c>
      <c r="K575">
        <v>40</v>
      </c>
      <c r="L575" t="str">
        <f>IF(Table1[[#This Row],[Age]]&lt;30,"20-29",
IF(Table1[[#This Row],[Age]]&lt;40,"30-39",
IF(Table1[[#This Row],[Age]]&lt;50,"40-49",
IF(Table1[[#This Row],[Age]]&lt;60,"50-59","60+"))))</f>
        <v>40-49</v>
      </c>
      <c r="M575" t="s">
        <v>16</v>
      </c>
      <c r="N575" t="s">
        <v>21</v>
      </c>
    </row>
    <row r="576" spans="1:14" x14ac:dyDescent="0.35">
      <c r="A576">
        <v>675</v>
      </c>
      <c r="B576" t="s">
        <v>10</v>
      </c>
      <c r="C576" s="6">
        <v>43597</v>
      </c>
      <c r="D576">
        <f>YEAR(Table1[[#This Row],[Join Date]])</f>
        <v>2019</v>
      </c>
      <c r="E576" s="6" t="s">
        <v>48</v>
      </c>
      <c r="F576" t="str">
        <f>IFERROR(YEAR(Table1[[#This Row],[Exit Date]]), " ")</f>
        <v xml:space="preserve"> </v>
      </c>
      <c r="G576" t="str">
        <f>IFERROR((Table1[[#This Row],[Exit Year]]-Table1[[#This Row],[Join Year]])+1," ")</f>
        <v xml:space="preserve"> </v>
      </c>
      <c r="H576" t="s">
        <v>48</v>
      </c>
      <c r="I576" t="s">
        <v>11</v>
      </c>
      <c r="J576" t="s">
        <v>12</v>
      </c>
      <c r="K576">
        <v>48</v>
      </c>
      <c r="L576" t="str">
        <f>IF(Table1[[#This Row],[Age]]&lt;30,"20-29",
IF(Table1[[#This Row],[Age]]&lt;40,"30-39",
IF(Table1[[#This Row],[Age]]&lt;50,"40-49",
IF(Table1[[#This Row],[Age]]&lt;60,"50-59","60+"))))</f>
        <v>40-49</v>
      </c>
      <c r="M576" t="s">
        <v>16</v>
      </c>
      <c r="N576" t="s">
        <v>25</v>
      </c>
    </row>
    <row r="577" spans="1:14" x14ac:dyDescent="0.35">
      <c r="A577">
        <v>676</v>
      </c>
      <c r="B577" t="s">
        <v>15</v>
      </c>
      <c r="C577" s="6">
        <v>44866</v>
      </c>
      <c r="D577">
        <f>YEAR(Table1[[#This Row],[Join Date]])</f>
        <v>2022</v>
      </c>
      <c r="E577" s="6" t="s">
        <v>48</v>
      </c>
      <c r="F577" t="str">
        <f>IFERROR(YEAR(Table1[[#This Row],[Exit Date]]), " ")</f>
        <v xml:space="preserve"> </v>
      </c>
      <c r="G577" t="str">
        <f>IFERROR((Table1[[#This Row],[Exit Year]]-Table1[[#This Row],[Join Year]])+1," ")</f>
        <v xml:space="preserve"> </v>
      </c>
      <c r="H577" t="s">
        <v>48</v>
      </c>
      <c r="I577" t="s">
        <v>11</v>
      </c>
      <c r="J577" t="s">
        <v>12</v>
      </c>
      <c r="K577">
        <v>52</v>
      </c>
      <c r="L577" t="str">
        <f>IF(Table1[[#This Row],[Age]]&lt;30,"20-29",
IF(Table1[[#This Row],[Age]]&lt;40,"30-39",
IF(Table1[[#This Row],[Age]]&lt;50,"40-49",
IF(Table1[[#This Row],[Age]]&lt;60,"50-59","60+"))))</f>
        <v>50-59</v>
      </c>
      <c r="M577" t="s">
        <v>20</v>
      </c>
      <c r="N577" t="s">
        <v>28</v>
      </c>
    </row>
    <row r="578" spans="1:14" x14ac:dyDescent="0.35">
      <c r="A578">
        <v>677</v>
      </c>
      <c r="B578" t="s">
        <v>34</v>
      </c>
      <c r="C578" s="6">
        <v>44006</v>
      </c>
      <c r="D578">
        <f>YEAR(Table1[[#This Row],[Join Date]])</f>
        <v>2020</v>
      </c>
      <c r="E578" s="6">
        <v>44463</v>
      </c>
      <c r="F578">
        <f>IFERROR(YEAR(Table1[[#This Row],[Exit Date]]), " ")</f>
        <v>2021</v>
      </c>
      <c r="G578">
        <f>IFERROR((Table1[[#This Row],[Exit Year]]-Table1[[#This Row],[Join Year]])+1," ")</f>
        <v>2</v>
      </c>
      <c r="H578" t="s">
        <v>43</v>
      </c>
      <c r="I578" t="s">
        <v>23</v>
      </c>
      <c r="J578" t="s">
        <v>12</v>
      </c>
      <c r="K578">
        <v>33</v>
      </c>
      <c r="L578" t="str">
        <f>IF(Table1[[#This Row],[Age]]&lt;30,"20-29",
IF(Table1[[#This Row],[Age]]&lt;40,"30-39",
IF(Table1[[#This Row],[Age]]&lt;50,"40-49",
IF(Table1[[#This Row],[Age]]&lt;60,"50-59","60+"))))</f>
        <v>30-39</v>
      </c>
      <c r="M578" t="s">
        <v>24</v>
      </c>
      <c r="N578" t="s">
        <v>31</v>
      </c>
    </row>
    <row r="579" spans="1:14" x14ac:dyDescent="0.35">
      <c r="A579">
        <v>678</v>
      </c>
      <c r="B579" t="s">
        <v>26</v>
      </c>
      <c r="C579" s="6">
        <v>45095</v>
      </c>
      <c r="D579">
        <f>YEAR(Table1[[#This Row],[Join Date]])</f>
        <v>2023</v>
      </c>
      <c r="E579" s="6" t="s">
        <v>48</v>
      </c>
      <c r="F579" t="str">
        <f>IFERROR(YEAR(Table1[[#This Row],[Exit Date]]), " ")</f>
        <v xml:space="preserve"> </v>
      </c>
      <c r="G579" t="str">
        <f>IFERROR((Table1[[#This Row],[Exit Year]]-Table1[[#This Row],[Join Year]])+1," ")</f>
        <v xml:space="preserve"> </v>
      </c>
      <c r="H579" t="s">
        <v>48</v>
      </c>
      <c r="I579" t="s">
        <v>11</v>
      </c>
      <c r="J579" t="s">
        <v>12</v>
      </c>
      <c r="K579">
        <v>51</v>
      </c>
      <c r="L579" t="str">
        <f>IF(Table1[[#This Row],[Age]]&lt;30,"20-29",
IF(Table1[[#This Row],[Age]]&lt;40,"30-39",
IF(Table1[[#This Row],[Age]]&lt;50,"40-49",
IF(Table1[[#This Row],[Age]]&lt;60,"50-59","60+"))))</f>
        <v>50-59</v>
      </c>
      <c r="M579" t="s">
        <v>13</v>
      </c>
      <c r="N579" t="s">
        <v>32</v>
      </c>
    </row>
    <row r="580" spans="1:14" x14ac:dyDescent="0.35">
      <c r="A580">
        <v>679</v>
      </c>
      <c r="B580" t="s">
        <v>10</v>
      </c>
      <c r="C580" s="6">
        <v>44360</v>
      </c>
      <c r="D580">
        <f>YEAR(Table1[[#This Row],[Join Date]])</f>
        <v>2021</v>
      </c>
      <c r="E580" s="6">
        <v>44755</v>
      </c>
      <c r="F580">
        <f>IFERROR(YEAR(Table1[[#This Row],[Exit Date]]), " ")</f>
        <v>2022</v>
      </c>
      <c r="G580">
        <f>IFERROR((Table1[[#This Row],[Exit Year]]-Table1[[#This Row],[Join Year]])+1," ")</f>
        <v>2</v>
      </c>
      <c r="H580" t="s">
        <v>38</v>
      </c>
      <c r="I580" t="s">
        <v>23</v>
      </c>
      <c r="J580" t="s">
        <v>18</v>
      </c>
      <c r="K580">
        <v>46</v>
      </c>
      <c r="L580" t="str">
        <f>IF(Table1[[#This Row],[Age]]&lt;30,"20-29",
IF(Table1[[#This Row],[Age]]&lt;40,"30-39",
IF(Table1[[#This Row],[Age]]&lt;50,"40-49",
IF(Table1[[#This Row],[Age]]&lt;60,"50-59","60+"))))</f>
        <v>40-49</v>
      </c>
      <c r="M580" t="s">
        <v>42</v>
      </c>
      <c r="N580" t="s">
        <v>33</v>
      </c>
    </row>
    <row r="581" spans="1:14" x14ac:dyDescent="0.35">
      <c r="A581">
        <v>680</v>
      </c>
      <c r="B581" t="s">
        <v>26</v>
      </c>
      <c r="C581" s="6">
        <v>43419</v>
      </c>
      <c r="D581">
        <f>YEAR(Table1[[#This Row],[Join Date]])</f>
        <v>2018</v>
      </c>
      <c r="E581" s="6">
        <v>44303</v>
      </c>
      <c r="F581">
        <f>IFERROR(YEAR(Table1[[#This Row],[Exit Date]]), " ")</f>
        <v>2021</v>
      </c>
      <c r="G581">
        <f>IFERROR((Table1[[#This Row],[Exit Year]]-Table1[[#This Row],[Join Year]])+1," ")</f>
        <v>4</v>
      </c>
      <c r="H581" t="s">
        <v>22</v>
      </c>
      <c r="I581" t="s">
        <v>23</v>
      </c>
      <c r="J581" t="s">
        <v>12</v>
      </c>
      <c r="K581">
        <v>53</v>
      </c>
      <c r="L581" t="str">
        <f>IF(Table1[[#This Row],[Age]]&lt;30,"20-29",
IF(Table1[[#This Row],[Age]]&lt;40,"30-39",
IF(Table1[[#This Row],[Age]]&lt;50,"40-49",
IF(Table1[[#This Row],[Age]]&lt;60,"50-59","60+"))))</f>
        <v>50-59</v>
      </c>
      <c r="M581" t="s">
        <v>13</v>
      </c>
      <c r="N581" t="s">
        <v>35</v>
      </c>
    </row>
    <row r="582" spans="1:14" x14ac:dyDescent="0.35">
      <c r="A582">
        <v>681</v>
      </c>
      <c r="B582" t="s">
        <v>36</v>
      </c>
      <c r="C582" s="6">
        <v>44249</v>
      </c>
      <c r="D582">
        <f>YEAR(Table1[[#This Row],[Join Date]])</f>
        <v>2021</v>
      </c>
      <c r="E582" s="6" t="s">
        <v>48</v>
      </c>
      <c r="F582" t="str">
        <f>IFERROR(YEAR(Table1[[#This Row],[Exit Date]]), " ")</f>
        <v xml:space="preserve"> </v>
      </c>
      <c r="G582" t="str">
        <f>IFERROR((Table1[[#This Row],[Exit Year]]-Table1[[#This Row],[Join Year]])+1," ")</f>
        <v xml:space="preserve"> </v>
      </c>
      <c r="H582" t="s">
        <v>48</v>
      </c>
      <c r="I582" t="s">
        <v>11</v>
      </c>
      <c r="J582" t="s">
        <v>18</v>
      </c>
      <c r="K582">
        <v>35</v>
      </c>
      <c r="L582" t="str">
        <f>IF(Table1[[#This Row],[Age]]&lt;30,"20-29",
IF(Table1[[#This Row],[Age]]&lt;40,"30-39",
IF(Table1[[#This Row],[Age]]&lt;50,"40-49",
IF(Table1[[#This Row],[Age]]&lt;60,"50-59","60+"))))</f>
        <v>30-39</v>
      </c>
      <c r="M582" t="s">
        <v>13</v>
      </c>
      <c r="N582" t="s">
        <v>37</v>
      </c>
    </row>
    <row r="583" spans="1:14" x14ac:dyDescent="0.35">
      <c r="A583">
        <v>682</v>
      </c>
      <c r="B583" t="s">
        <v>10</v>
      </c>
      <c r="C583" s="6">
        <v>45533</v>
      </c>
      <c r="D583">
        <f>YEAR(Table1[[#This Row],[Join Date]])</f>
        <v>2024</v>
      </c>
      <c r="E583" s="6" t="s">
        <v>48</v>
      </c>
      <c r="F583" t="str">
        <f>IFERROR(YEAR(Table1[[#This Row],[Exit Date]]), " ")</f>
        <v xml:space="preserve"> </v>
      </c>
      <c r="G583" t="str">
        <f>IFERROR((Table1[[#This Row],[Exit Year]]-Table1[[#This Row],[Join Year]])+1," ")</f>
        <v xml:space="preserve"> </v>
      </c>
      <c r="H583" t="s">
        <v>48</v>
      </c>
      <c r="I583" t="s">
        <v>11</v>
      </c>
      <c r="J583" t="s">
        <v>18</v>
      </c>
      <c r="K583">
        <v>32</v>
      </c>
      <c r="L583" t="str">
        <f>IF(Table1[[#This Row],[Age]]&lt;30,"20-29",
IF(Table1[[#This Row],[Age]]&lt;40,"30-39",
IF(Table1[[#This Row],[Age]]&lt;50,"40-49",
IF(Table1[[#This Row],[Age]]&lt;60,"50-59","60+"))))</f>
        <v>30-39</v>
      </c>
      <c r="M583" t="s">
        <v>16</v>
      </c>
      <c r="N583" t="s">
        <v>19</v>
      </c>
    </row>
    <row r="584" spans="1:14" x14ac:dyDescent="0.35">
      <c r="A584">
        <v>683</v>
      </c>
      <c r="B584" t="s">
        <v>36</v>
      </c>
      <c r="C584" s="6">
        <v>44377</v>
      </c>
      <c r="D584">
        <f>YEAR(Table1[[#This Row],[Join Date]])</f>
        <v>2021</v>
      </c>
      <c r="E584" s="6" t="s">
        <v>48</v>
      </c>
      <c r="F584" t="str">
        <f>IFERROR(YEAR(Table1[[#This Row],[Exit Date]]), " ")</f>
        <v xml:space="preserve"> </v>
      </c>
      <c r="G584" t="str">
        <f>IFERROR((Table1[[#This Row],[Exit Year]]-Table1[[#This Row],[Join Year]])+1," ")</f>
        <v xml:space="preserve"> </v>
      </c>
      <c r="H584" t="s">
        <v>48</v>
      </c>
      <c r="I584" t="s">
        <v>11</v>
      </c>
      <c r="J584" t="s">
        <v>12</v>
      </c>
      <c r="K584">
        <v>46</v>
      </c>
      <c r="L584" t="str">
        <f>IF(Table1[[#This Row],[Age]]&lt;30,"20-29",
IF(Table1[[#This Row],[Age]]&lt;40,"30-39",
IF(Table1[[#This Row],[Age]]&lt;50,"40-49",
IF(Table1[[#This Row],[Age]]&lt;60,"50-59","60+"))))</f>
        <v>40-49</v>
      </c>
      <c r="M584" t="s">
        <v>13</v>
      </c>
      <c r="N584" t="s">
        <v>25</v>
      </c>
    </row>
    <row r="585" spans="1:14" x14ac:dyDescent="0.35">
      <c r="A585">
        <v>684</v>
      </c>
      <c r="B585" t="s">
        <v>10</v>
      </c>
      <c r="C585" s="6">
        <v>44088</v>
      </c>
      <c r="D585">
        <f>YEAR(Table1[[#This Row],[Join Date]])</f>
        <v>2020</v>
      </c>
      <c r="E585" s="6" t="s">
        <v>48</v>
      </c>
      <c r="F585" t="str">
        <f>IFERROR(YEAR(Table1[[#This Row],[Exit Date]]), " ")</f>
        <v xml:space="preserve"> </v>
      </c>
      <c r="G585" t="str">
        <f>IFERROR((Table1[[#This Row],[Exit Year]]-Table1[[#This Row],[Join Year]])+1," ")</f>
        <v xml:space="preserve"> </v>
      </c>
      <c r="H585" t="s">
        <v>48</v>
      </c>
      <c r="I585" t="s">
        <v>11</v>
      </c>
      <c r="J585" t="s">
        <v>12</v>
      </c>
      <c r="K585">
        <v>50</v>
      </c>
      <c r="L585" t="str">
        <f>IF(Table1[[#This Row],[Age]]&lt;30,"20-29",
IF(Table1[[#This Row],[Age]]&lt;40,"30-39",
IF(Table1[[#This Row],[Age]]&lt;50,"40-49",
IF(Table1[[#This Row],[Age]]&lt;60,"50-59","60+"))))</f>
        <v>50-59</v>
      </c>
      <c r="M585" t="s">
        <v>20</v>
      </c>
      <c r="N585" t="s">
        <v>35</v>
      </c>
    </row>
    <row r="586" spans="1:14" x14ac:dyDescent="0.35">
      <c r="A586">
        <v>685</v>
      </c>
      <c r="B586" t="s">
        <v>26</v>
      </c>
      <c r="C586" s="6">
        <v>43373</v>
      </c>
      <c r="D586">
        <f>YEAR(Table1[[#This Row],[Join Date]])</f>
        <v>2018</v>
      </c>
      <c r="E586" s="6">
        <v>44825</v>
      </c>
      <c r="F586">
        <f>IFERROR(YEAR(Table1[[#This Row],[Exit Date]]), " ")</f>
        <v>2022</v>
      </c>
      <c r="G586">
        <f>IFERROR((Table1[[#This Row],[Exit Year]]-Table1[[#This Row],[Join Year]])+1," ")</f>
        <v>5</v>
      </c>
      <c r="H586" t="s">
        <v>27</v>
      </c>
      <c r="I586" t="s">
        <v>23</v>
      </c>
      <c r="J586" t="s">
        <v>12</v>
      </c>
      <c r="K586">
        <v>64</v>
      </c>
      <c r="L586" t="str">
        <f>IF(Table1[[#This Row],[Age]]&lt;30,"20-29",
IF(Table1[[#This Row],[Age]]&lt;40,"30-39",
IF(Table1[[#This Row],[Age]]&lt;50,"40-49",
IF(Table1[[#This Row],[Age]]&lt;60,"50-59","60+"))))</f>
        <v>60+</v>
      </c>
      <c r="M586" t="s">
        <v>39</v>
      </c>
      <c r="N586" t="s">
        <v>17</v>
      </c>
    </row>
    <row r="587" spans="1:14" x14ac:dyDescent="0.35">
      <c r="A587">
        <v>686</v>
      </c>
      <c r="B587" t="s">
        <v>26</v>
      </c>
      <c r="C587" s="6">
        <v>43314</v>
      </c>
      <c r="D587">
        <f>YEAR(Table1[[#This Row],[Join Date]])</f>
        <v>2018</v>
      </c>
      <c r="E587" s="6" t="s">
        <v>48</v>
      </c>
      <c r="F587" t="str">
        <f>IFERROR(YEAR(Table1[[#This Row],[Exit Date]]), " ")</f>
        <v xml:space="preserve"> </v>
      </c>
      <c r="G587" t="str">
        <f>IFERROR((Table1[[#This Row],[Exit Year]]-Table1[[#This Row],[Join Year]])+1," ")</f>
        <v xml:space="preserve"> </v>
      </c>
      <c r="H587" t="s">
        <v>48</v>
      </c>
      <c r="I587" t="s">
        <v>11</v>
      </c>
      <c r="J587" t="s">
        <v>18</v>
      </c>
      <c r="K587">
        <v>29</v>
      </c>
      <c r="L587" t="str">
        <f>IF(Table1[[#This Row],[Age]]&lt;30,"20-29",
IF(Table1[[#This Row],[Age]]&lt;40,"30-39",
IF(Table1[[#This Row],[Age]]&lt;50,"40-49",
IF(Table1[[#This Row],[Age]]&lt;60,"50-59","60+"))))</f>
        <v>20-29</v>
      </c>
      <c r="M587" t="s">
        <v>13</v>
      </c>
      <c r="N587" t="s">
        <v>19</v>
      </c>
    </row>
    <row r="588" spans="1:14" x14ac:dyDescent="0.35">
      <c r="A588">
        <v>687</v>
      </c>
      <c r="B588" t="s">
        <v>26</v>
      </c>
      <c r="C588" s="6">
        <v>44418</v>
      </c>
      <c r="D588">
        <f>YEAR(Table1[[#This Row],[Join Date]])</f>
        <v>2021</v>
      </c>
      <c r="E588" s="6">
        <v>45628</v>
      </c>
      <c r="F588">
        <f>IFERROR(YEAR(Table1[[#This Row],[Exit Date]]), " ")</f>
        <v>2024</v>
      </c>
      <c r="G588">
        <f>IFERROR((Table1[[#This Row],[Exit Year]]-Table1[[#This Row],[Join Year]])+1," ")</f>
        <v>4</v>
      </c>
      <c r="H588" t="s">
        <v>22</v>
      </c>
      <c r="I588" t="s">
        <v>23</v>
      </c>
      <c r="J588" t="s">
        <v>12</v>
      </c>
      <c r="K588">
        <v>27</v>
      </c>
      <c r="L588" t="str">
        <f>IF(Table1[[#This Row],[Age]]&lt;30,"20-29",
IF(Table1[[#This Row],[Age]]&lt;40,"30-39",
IF(Table1[[#This Row],[Age]]&lt;50,"40-49",
IF(Table1[[#This Row],[Age]]&lt;60,"50-59","60+"))))</f>
        <v>20-29</v>
      </c>
      <c r="M588" t="s">
        <v>16</v>
      </c>
      <c r="N588" t="s">
        <v>21</v>
      </c>
    </row>
    <row r="589" spans="1:14" x14ac:dyDescent="0.35">
      <c r="A589">
        <v>688</v>
      </c>
      <c r="B589" t="s">
        <v>34</v>
      </c>
      <c r="C589" s="6">
        <v>44324</v>
      </c>
      <c r="D589">
        <f>YEAR(Table1[[#This Row],[Join Date]])</f>
        <v>2021</v>
      </c>
      <c r="E589" s="6">
        <v>45076</v>
      </c>
      <c r="F589">
        <f>IFERROR(YEAR(Table1[[#This Row],[Exit Date]]), " ")</f>
        <v>2023</v>
      </c>
      <c r="G589">
        <f>IFERROR((Table1[[#This Row],[Exit Year]]-Table1[[#This Row],[Join Year]])+1," ")</f>
        <v>3</v>
      </c>
      <c r="H589" t="s">
        <v>40</v>
      </c>
      <c r="I589" t="s">
        <v>23</v>
      </c>
      <c r="J589" t="s">
        <v>18</v>
      </c>
      <c r="K589">
        <v>31</v>
      </c>
      <c r="L589" t="str">
        <f>IF(Table1[[#This Row],[Age]]&lt;30,"20-29",
IF(Table1[[#This Row],[Age]]&lt;40,"30-39",
IF(Table1[[#This Row],[Age]]&lt;50,"40-49",
IF(Table1[[#This Row],[Age]]&lt;60,"50-59","60+"))))</f>
        <v>30-39</v>
      </c>
      <c r="M589" t="s">
        <v>16</v>
      </c>
      <c r="N589" t="s">
        <v>25</v>
      </c>
    </row>
    <row r="590" spans="1:14" x14ac:dyDescent="0.35">
      <c r="A590">
        <v>689</v>
      </c>
      <c r="B590" t="s">
        <v>10</v>
      </c>
      <c r="C590" s="6">
        <v>43513</v>
      </c>
      <c r="D590">
        <f>YEAR(Table1[[#This Row],[Join Date]])</f>
        <v>2019</v>
      </c>
      <c r="E590" s="6">
        <v>44923</v>
      </c>
      <c r="F590">
        <f>IFERROR(YEAR(Table1[[#This Row],[Exit Date]]), " ")</f>
        <v>2022</v>
      </c>
      <c r="G590">
        <f>IFERROR((Table1[[#This Row],[Exit Year]]-Table1[[#This Row],[Join Year]])+1," ")</f>
        <v>4</v>
      </c>
      <c r="H590" t="s">
        <v>38</v>
      </c>
      <c r="I590" t="s">
        <v>23</v>
      </c>
      <c r="J590" t="s">
        <v>12</v>
      </c>
      <c r="K590">
        <v>24</v>
      </c>
      <c r="L590" t="str">
        <f>IF(Table1[[#This Row],[Age]]&lt;30,"20-29",
IF(Table1[[#This Row],[Age]]&lt;40,"30-39",
IF(Table1[[#This Row],[Age]]&lt;50,"40-49",
IF(Table1[[#This Row],[Age]]&lt;60,"50-59","60+"))))</f>
        <v>20-29</v>
      </c>
      <c r="M590" t="s">
        <v>20</v>
      </c>
      <c r="N590" t="s">
        <v>35</v>
      </c>
    </row>
    <row r="591" spans="1:14" x14ac:dyDescent="0.35">
      <c r="A591">
        <v>690</v>
      </c>
      <c r="B591" t="s">
        <v>36</v>
      </c>
      <c r="C591" s="6">
        <v>44180</v>
      </c>
      <c r="D591">
        <f>YEAR(Table1[[#This Row],[Join Date]])</f>
        <v>2020</v>
      </c>
      <c r="E591" s="6" t="s">
        <v>48</v>
      </c>
      <c r="F591" t="str">
        <f>IFERROR(YEAR(Table1[[#This Row],[Exit Date]]), " ")</f>
        <v xml:space="preserve"> </v>
      </c>
      <c r="G591" t="str">
        <f>IFERROR((Table1[[#This Row],[Exit Year]]-Table1[[#This Row],[Join Year]])+1," ")</f>
        <v xml:space="preserve"> </v>
      </c>
      <c r="H591" t="s">
        <v>48</v>
      </c>
      <c r="I591" t="s">
        <v>11</v>
      </c>
      <c r="J591" t="s">
        <v>12</v>
      </c>
      <c r="K591">
        <v>37</v>
      </c>
      <c r="L591" t="str">
        <f>IF(Table1[[#This Row],[Age]]&lt;30,"20-29",
IF(Table1[[#This Row],[Age]]&lt;40,"30-39",
IF(Table1[[#This Row],[Age]]&lt;50,"40-49",
IF(Table1[[#This Row],[Age]]&lt;60,"50-59","60+"))))</f>
        <v>30-39</v>
      </c>
      <c r="M591" t="s">
        <v>24</v>
      </c>
      <c r="N591" t="s">
        <v>14</v>
      </c>
    </row>
    <row r="592" spans="1:14" x14ac:dyDescent="0.35">
      <c r="A592">
        <v>691</v>
      </c>
      <c r="B592" t="s">
        <v>34</v>
      </c>
      <c r="C592" s="6">
        <v>44099</v>
      </c>
      <c r="D592">
        <f>YEAR(Table1[[#This Row],[Join Date]])</f>
        <v>2020</v>
      </c>
      <c r="E592" s="6" t="s">
        <v>48</v>
      </c>
      <c r="F592" t="str">
        <f>IFERROR(YEAR(Table1[[#This Row],[Exit Date]]), " ")</f>
        <v xml:space="preserve"> </v>
      </c>
      <c r="G592" t="str">
        <f>IFERROR((Table1[[#This Row],[Exit Year]]-Table1[[#This Row],[Join Year]])+1," ")</f>
        <v xml:space="preserve"> </v>
      </c>
      <c r="H592" t="s">
        <v>48</v>
      </c>
      <c r="I592" t="s">
        <v>11</v>
      </c>
      <c r="J592" t="s">
        <v>18</v>
      </c>
      <c r="K592">
        <v>23</v>
      </c>
      <c r="L592" t="str">
        <f>IF(Table1[[#This Row],[Age]]&lt;30,"20-29",
IF(Table1[[#This Row],[Age]]&lt;40,"30-39",
IF(Table1[[#This Row],[Age]]&lt;50,"40-49",
IF(Table1[[#This Row],[Age]]&lt;60,"50-59","60+"))))</f>
        <v>20-29</v>
      </c>
      <c r="M592" t="s">
        <v>13</v>
      </c>
      <c r="N592" t="s">
        <v>19</v>
      </c>
    </row>
    <row r="593" spans="1:14" x14ac:dyDescent="0.35">
      <c r="A593">
        <v>692</v>
      </c>
      <c r="B593" t="s">
        <v>34</v>
      </c>
      <c r="C593" s="6">
        <v>45632</v>
      </c>
      <c r="D593">
        <f>YEAR(Table1[[#This Row],[Join Date]])</f>
        <v>2024</v>
      </c>
      <c r="E593" s="6" t="s">
        <v>48</v>
      </c>
      <c r="F593" t="str">
        <f>IFERROR(YEAR(Table1[[#This Row],[Exit Date]]), " ")</f>
        <v xml:space="preserve"> </v>
      </c>
      <c r="G593" t="str">
        <f>IFERROR((Table1[[#This Row],[Exit Year]]-Table1[[#This Row],[Join Year]])+1," ")</f>
        <v xml:space="preserve"> </v>
      </c>
      <c r="H593" t="s">
        <v>48</v>
      </c>
      <c r="I593" t="s">
        <v>11</v>
      </c>
      <c r="J593" t="s">
        <v>18</v>
      </c>
      <c r="K593">
        <v>31</v>
      </c>
      <c r="L593" t="str">
        <f>IF(Table1[[#This Row],[Age]]&lt;30,"20-29",
IF(Table1[[#This Row],[Age]]&lt;40,"30-39",
IF(Table1[[#This Row],[Age]]&lt;50,"40-49",
IF(Table1[[#This Row],[Age]]&lt;60,"50-59","60+"))))</f>
        <v>30-39</v>
      </c>
      <c r="M593" t="s">
        <v>30</v>
      </c>
      <c r="N593" t="s">
        <v>21</v>
      </c>
    </row>
    <row r="594" spans="1:14" x14ac:dyDescent="0.35">
      <c r="A594">
        <v>693</v>
      </c>
      <c r="B594" t="s">
        <v>36</v>
      </c>
      <c r="C594" s="6">
        <v>45294</v>
      </c>
      <c r="D594">
        <f>YEAR(Table1[[#This Row],[Join Date]])</f>
        <v>2024</v>
      </c>
      <c r="E594" s="6" t="s">
        <v>48</v>
      </c>
      <c r="F594" t="str">
        <f>IFERROR(YEAR(Table1[[#This Row],[Exit Date]]), " ")</f>
        <v xml:space="preserve"> </v>
      </c>
      <c r="G594" t="str">
        <f>IFERROR((Table1[[#This Row],[Exit Year]]-Table1[[#This Row],[Join Year]])+1," ")</f>
        <v xml:space="preserve"> </v>
      </c>
      <c r="H594" t="s">
        <v>48</v>
      </c>
      <c r="I594" t="s">
        <v>11</v>
      </c>
      <c r="J594" t="s">
        <v>12</v>
      </c>
      <c r="K594">
        <v>52</v>
      </c>
      <c r="L594" t="str">
        <f>IF(Table1[[#This Row],[Age]]&lt;30,"20-29",
IF(Table1[[#This Row],[Age]]&lt;40,"30-39",
IF(Table1[[#This Row],[Age]]&lt;50,"40-49",
IF(Table1[[#This Row],[Age]]&lt;60,"50-59","60+"))))</f>
        <v>50-59</v>
      </c>
      <c r="M594" t="s">
        <v>13</v>
      </c>
      <c r="N594" t="s">
        <v>37</v>
      </c>
    </row>
    <row r="595" spans="1:14" x14ac:dyDescent="0.35">
      <c r="A595">
        <v>694</v>
      </c>
      <c r="B595" t="s">
        <v>26</v>
      </c>
      <c r="C595" s="6">
        <v>44590</v>
      </c>
      <c r="D595">
        <f>YEAR(Table1[[#This Row],[Join Date]])</f>
        <v>2022</v>
      </c>
      <c r="E595" s="6" t="s">
        <v>48</v>
      </c>
      <c r="F595" t="str">
        <f>IFERROR(YEAR(Table1[[#This Row],[Exit Date]]), " ")</f>
        <v xml:space="preserve"> </v>
      </c>
      <c r="G595" t="str">
        <f>IFERROR((Table1[[#This Row],[Exit Year]]-Table1[[#This Row],[Join Year]])+1," ")</f>
        <v xml:space="preserve"> </v>
      </c>
      <c r="H595" t="s">
        <v>48</v>
      </c>
      <c r="I595" t="s">
        <v>11</v>
      </c>
      <c r="J595" t="s">
        <v>18</v>
      </c>
      <c r="K595">
        <v>25</v>
      </c>
      <c r="L595" t="str">
        <f>IF(Table1[[#This Row],[Age]]&lt;30,"20-29",
IF(Table1[[#This Row],[Age]]&lt;40,"30-39",
IF(Table1[[#This Row],[Age]]&lt;50,"40-49",
IF(Table1[[#This Row],[Age]]&lt;60,"50-59","60+"))))</f>
        <v>20-29</v>
      </c>
      <c r="M595" t="s">
        <v>13</v>
      </c>
      <c r="N595" t="s">
        <v>25</v>
      </c>
    </row>
    <row r="596" spans="1:14" x14ac:dyDescent="0.35">
      <c r="A596">
        <v>695</v>
      </c>
      <c r="B596" t="s">
        <v>15</v>
      </c>
      <c r="C596" s="6">
        <v>45215</v>
      </c>
      <c r="D596">
        <f>YEAR(Table1[[#This Row],[Join Date]])</f>
        <v>2023</v>
      </c>
      <c r="E596" s="6" t="s">
        <v>48</v>
      </c>
      <c r="F596" t="str">
        <f>IFERROR(YEAR(Table1[[#This Row],[Exit Date]]), " ")</f>
        <v xml:space="preserve"> </v>
      </c>
      <c r="G596" t="str">
        <f>IFERROR((Table1[[#This Row],[Exit Year]]-Table1[[#This Row],[Join Year]])+1," ")</f>
        <v xml:space="preserve"> </v>
      </c>
      <c r="H596" t="s">
        <v>48</v>
      </c>
      <c r="I596" t="s">
        <v>11</v>
      </c>
      <c r="J596" t="s">
        <v>12</v>
      </c>
      <c r="K596">
        <v>46</v>
      </c>
      <c r="L596" t="str">
        <f>IF(Table1[[#This Row],[Age]]&lt;30,"20-29",
IF(Table1[[#This Row],[Age]]&lt;40,"30-39",
IF(Table1[[#This Row],[Age]]&lt;50,"40-49",
IF(Table1[[#This Row],[Age]]&lt;60,"50-59","60+"))))</f>
        <v>40-49</v>
      </c>
      <c r="M596" t="s">
        <v>16</v>
      </c>
      <c r="N596" t="s">
        <v>35</v>
      </c>
    </row>
    <row r="597" spans="1:14" x14ac:dyDescent="0.35">
      <c r="A597">
        <v>696</v>
      </c>
      <c r="B597" t="s">
        <v>15</v>
      </c>
      <c r="C597" s="6">
        <v>43624</v>
      </c>
      <c r="D597">
        <f>YEAR(Table1[[#This Row],[Join Date]])</f>
        <v>2019</v>
      </c>
      <c r="E597" s="6">
        <v>44228</v>
      </c>
      <c r="F597">
        <f>IFERROR(YEAR(Table1[[#This Row],[Exit Date]]), " ")</f>
        <v>2021</v>
      </c>
      <c r="G597">
        <f>IFERROR((Table1[[#This Row],[Exit Year]]-Table1[[#This Row],[Join Year]])+1," ")</f>
        <v>3</v>
      </c>
      <c r="H597" t="s">
        <v>41</v>
      </c>
      <c r="I597" t="s">
        <v>23</v>
      </c>
      <c r="J597" t="s">
        <v>12</v>
      </c>
      <c r="K597">
        <v>24</v>
      </c>
      <c r="L597" t="str">
        <f>IF(Table1[[#This Row],[Age]]&lt;30,"20-29",
IF(Table1[[#This Row],[Age]]&lt;40,"30-39",
IF(Table1[[#This Row],[Age]]&lt;50,"40-49",
IF(Table1[[#This Row],[Age]]&lt;60,"50-59","60+"))))</f>
        <v>20-29</v>
      </c>
      <c r="M597" t="s">
        <v>13</v>
      </c>
      <c r="N597" t="s">
        <v>35</v>
      </c>
    </row>
    <row r="598" spans="1:14" x14ac:dyDescent="0.35">
      <c r="A598">
        <v>697</v>
      </c>
      <c r="B598" t="s">
        <v>15</v>
      </c>
      <c r="C598" s="6">
        <v>44514</v>
      </c>
      <c r="D598">
        <f>YEAR(Table1[[#This Row],[Join Date]])</f>
        <v>2021</v>
      </c>
      <c r="E598" s="6">
        <v>45529</v>
      </c>
      <c r="F598">
        <f>IFERROR(YEAR(Table1[[#This Row],[Exit Date]]), " ")</f>
        <v>2024</v>
      </c>
      <c r="G598">
        <f>IFERROR((Table1[[#This Row],[Exit Year]]-Table1[[#This Row],[Join Year]])+1," ")</f>
        <v>4</v>
      </c>
      <c r="H598" t="s">
        <v>41</v>
      </c>
      <c r="I598" t="s">
        <v>23</v>
      </c>
      <c r="J598" t="s">
        <v>12</v>
      </c>
      <c r="K598">
        <v>38</v>
      </c>
      <c r="L598" t="str">
        <f>IF(Table1[[#This Row],[Age]]&lt;30,"20-29",
IF(Table1[[#This Row],[Age]]&lt;40,"30-39",
IF(Table1[[#This Row],[Age]]&lt;50,"40-49",
IF(Table1[[#This Row],[Age]]&lt;60,"50-59","60+"))))</f>
        <v>30-39</v>
      </c>
      <c r="M598" t="s">
        <v>20</v>
      </c>
      <c r="N598" t="s">
        <v>14</v>
      </c>
    </row>
    <row r="599" spans="1:14" x14ac:dyDescent="0.35">
      <c r="A599">
        <v>698</v>
      </c>
      <c r="B599" t="s">
        <v>29</v>
      </c>
      <c r="C599" s="6">
        <v>43700</v>
      </c>
      <c r="D599">
        <f>YEAR(Table1[[#This Row],[Join Date]])</f>
        <v>2019</v>
      </c>
      <c r="E599" s="6" t="s">
        <v>48</v>
      </c>
      <c r="F599" t="str">
        <f>IFERROR(YEAR(Table1[[#This Row],[Exit Date]]), " ")</f>
        <v xml:space="preserve"> </v>
      </c>
      <c r="G599" t="str">
        <f>IFERROR((Table1[[#This Row],[Exit Year]]-Table1[[#This Row],[Join Year]])+1," ")</f>
        <v xml:space="preserve"> </v>
      </c>
      <c r="H599" t="s">
        <v>48</v>
      </c>
      <c r="I599" t="s">
        <v>11</v>
      </c>
      <c r="J599" t="s">
        <v>18</v>
      </c>
      <c r="K599">
        <v>49</v>
      </c>
      <c r="L599" t="str">
        <f>IF(Table1[[#This Row],[Age]]&lt;30,"20-29",
IF(Table1[[#This Row],[Age]]&lt;40,"30-39",
IF(Table1[[#This Row],[Age]]&lt;50,"40-49",
IF(Table1[[#This Row],[Age]]&lt;60,"50-59","60+"))))</f>
        <v>40-49</v>
      </c>
      <c r="M599" t="s">
        <v>39</v>
      </c>
      <c r="N599" t="s">
        <v>17</v>
      </c>
    </row>
    <row r="600" spans="1:14" x14ac:dyDescent="0.35">
      <c r="A600">
        <v>699</v>
      </c>
      <c r="B600" t="s">
        <v>34</v>
      </c>
      <c r="C600" s="6">
        <v>45540</v>
      </c>
      <c r="D600">
        <f>YEAR(Table1[[#This Row],[Join Date]])</f>
        <v>2024</v>
      </c>
      <c r="E600" s="6" t="s">
        <v>48</v>
      </c>
      <c r="F600" t="str">
        <f>IFERROR(YEAR(Table1[[#This Row],[Exit Date]]), " ")</f>
        <v xml:space="preserve"> </v>
      </c>
      <c r="G600" t="str">
        <f>IFERROR((Table1[[#This Row],[Exit Year]]-Table1[[#This Row],[Join Year]])+1," ")</f>
        <v xml:space="preserve"> </v>
      </c>
      <c r="H600" t="s">
        <v>48</v>
      </c>
      <c r="I600" t="s">
        <v>11</v>
      </c>
      <c r="J600" t="s">
        <v>12</v>
      </c>
      <c r="K600">
        <v>31</v>
      </c>
      <c r="L600" t="str">
        <f>IF(Table1[[#This Row],[Age]]&lt;30,"20-29",
IF(Table1[[#This Row],[Age]]&lt;40,"30-39",
IF(Table1[[#This Row],[Age]]&lt;50,"40-49",
IF(Table1[[#This Row],[Age]]&lt;60,"50-59","60+"))))</f>
        <v>30-39</v>
      </c>
      <c r="M600" t="s">
        <v>13</v>
      </c>
      <c r="N600" t="s">
        <v>19</v>
      </c>
    </row>
    <row r="601" spans="1:14" x14ac:dyDescent="0.35">
      <c r="A601">
        <v>700</v>
      </c>
      <c r="B601" t="s">
        <v>10</v>
      </c>
      <c r="C601" s="6">
        <v>43297</v>
      </c>
      <c r="D601">
        <f>YEAR(Table1[[#This Row],[Join Date]])</f>
        <v>2018</v>
      </c>
      <c r="E601" s="6">
        <v>44682</v>
      </c>
      <c r="F601">
        <f>IFERROR(YEAR(Table1[[#This Row],[Exit Date]]), " ")</f>
        <v>2022</v>
      </c>
      <c r="G601">
        <f>IFERROR((Table1[[#This Row],[Exit Year]]-Table1[[#This Row],[Join Year]])+1," ")</f>
        <v>5</v>
      </c>
      <c r="H601" t="s">
        <v>40</v>
      </c>
      <c r="I601" t="s">
        <v>23</v>
      </c>
      <c r="J601" t="s">
        <v>18</v>
      </c>
      <c r="K601">
        <v>51</v>
      </c>
      <c r="L601" t="str">
        <f>IF(Table1[[#This Row],[Age]]&lt;30,"20-29",
IF(Table1[[#This Row],[Age]]&lt;40,"30-39",
IF(Table1[[#This Row],[Age]]&lt;50,"40-49",
IF(Table1[[#This Row],[Age]]&lt;60,"50-59","60+"))))</f>
        <v>50-59</v>
      </c>
      <c r="M601" t="s">
        <v>16</v>
      </c>
      <c r="N601" t="s">
        <v>21</v>
      </c>
    </row>
    <row r="602" spans="1:14" x14ac:dyDescent="0.35">
      <c r="A602">
        <v>701</v>
      </c>
      <c r="B602" t="s">
        <v>10</v>
      </c>
      <c r="C602" s="6">
        <v>43407</v>
      </c>
      <c r="D602">
        <f>YEAR(Table1[[#This Row],[Join Date]])</f>
        <v>2018</v>
      </c>
      <c r="E602" s="6" t="s">
        <v>48</v>
      </c>
      <c r="F602" t="str">
        <f>IFERROR(YEAR(Table1[[#This Row],[Exit Date]]), " ")</f>
        <v xml:space="preserve"> </v>
      </c>
      <c r="G602" t="str">
        <f>IFERROR((Table1[[#This Row],[Exit Year]]-Table1[[#This Row],[Join Year]])+1," ")</f>
        <v xml:space="preserve"> </v>
      </c>
      <c r="H602" t="s">
        <v>48</v>
      </c>
      <c r="I602" t="s">
        <v>11</v>
      </c>
      <c r="J602" t="s">
        <v>12</v>
      </c>
      <c r="K602">
        <v>27</v>
      </c>
      <c r="L602" t="str">
        <f>IF(Table1[[#This Row],[Age]]&lt;30,"20-29",
IF(Table1[[#This Row],[Age]]&lt;40,"30-39",
IF(Table1[[#This Row],[Age]]&lt;50,"40-49",
IF(Table1[[#This Row],[Age]]&lt;60,"50-59","60+"))))</f>
        <v>20-29</v>
      </c>
      <c r="M602" t="s">
        <v>16</v>
      </c>
      <c r="N602" t="s">
        <v>25</v>
      </c>
    </row>
    <row r="603" spans="1:14" x14ac:dyDescent="0.35">
      <c r="A603">
        <v>702</v>
      </c>
      <c r="B603" t="s">
        <v>15</v>
      </c>
      <c r="C603" s="6">
        <v>44121</v>
      </c>
      <c r="D603">
        <f>YEAR(Table1[[#This Row],[Join Date]])</f>
        <v>2020</v>
      </c>
      <c r="E603" s="6" t="s">
        <v>48</v>
      </c>
      <c r="F603" t="str">
        <f>IFERROR(YEAR(Table1[[#This Row],[Exit Date]]), " ")</f>
        <v xml:space="preserve"> </v>
      </c>
      <c r="G603" t="str">
        <f>IFERROR((Table1[[#This Row],[Exit Year]]-Table1[[#This Row],[Join Year]])+1," ")</f>
        <v xml:space="preserve"> </v>
      </c>
      <c r="H603" t="s">
        <v>48</v>
      </c>
      <c r="I603" t="s">
        <v>11</v>
      </c>
      <c r="J603" t="s">
        <v>18</v>
      </c>
      <c r="K603">
        <v>22</v>
      </c>
      <c r="L603" t="str">
        <f>IF(Table1[[#This Row],[Age]]&lt;30,"20-29",
IF(Table1[[#This Row],[Age]]&lt;40,"30-39",
IF(Table1[[#This Row],[Age]]&lt;50,"40-49",
IF(Table1[[#This Row],[Age]]&lt;60,"50-59","60+"))))</f>
        <v>20-29</v>
      </c>
      <c r="M603" t="s">
        <v>20</v>
      </c>
      <c r="N603" t="s">
        <v>28</v>
      </c>
    </row>
    <row r="604" spans="1:14" x14ac:dyDescent="0.35">
      <c r="A604">
        <v>703</v>
      </c>
      <c r="B604" t="s">
        <v>15</v>
      </c>
      <c r="C604" s="6">
        <v>44423</v>
      </c>
      <c r="D604">
        <f>YEAR(Table1[[#This Row],[Join Date]])</f>
        <v>2021</v>
      </c>
      <c r="E604" s="6" t="s">
        <v>48</v>
      </c>
      <c r="F604" t="str">
        <f>IFERROR(YEAR(Table1[[#This Row],[Exit Date]]), " ")</f>
        <v xml:space="preserve"> </v>
      </c>
      <c r="G604" t="str">
        <f>IFERROR((Table1[[#This Row],[Exit Year]]-Table1[[#This Row],[Join Year]])+1," ")</f>
        <v xml:space="preserve"> </v>
      </c>
      <c r="H604" t="s">
        <v>48</v>
      </c>
      <c r="I604" t="s">
        <v>11</v>
      </c>
      <c r="J604" t="s">
        <v>18</v>
      </c>
      <c r="K604">
        <v>50</v>
      </c>
      <c r="L604" t="str">
        <f>IF(Table1[[#This Row],[Age]]&lt;30,"20-29",
IF(Table1[[#This Row],[Age]]&lt;40,"30-39",
IF(Table1[[#This Row],[Age]]&lt;50,"40-49",
IF(Table1[[#This Row],[Age]]&lt;60,"50-59","60+"))))</f>
        <v>50-59</v>
      </c>
      <c r="M604" t="s">
        <v>24</v>
      </c>
      <c r="N604" t="s">
        <v>31</v>
      </c>
    </row>
    <row r="605" spans="1:14" x14ac:dyDescent="0.35">
      <c r="A605">
        <v>704</v>
      </c>
      <c r="B605" t="s">
        <v>15</v>
      </c>
      <c r="C605" s="6">
        <v>45087</v>
      </c>
      <c r="D605">
        <f>YEAR(Table1[[#This Row],[Join Date]])</f>
        <v>2023</v>
      </c>
      <c r="E605" s="6" t="s">
        <v>48</v>
      </c>
      <c r="F605" t="str">
        <f>IFERROR(YEAR(Table1[[#This Row],[Exit Date]]), " ")</f>
        <v xml:space="preserve"> </v>
      </c>
      <c r="G605" t="str">
        <f>IFERROR((Table1[[#This Row],[Exit Year]]-Table1[[#This Row],[Join Year]])+1," ")</f>
        <v xml:space="preserve"> </v>
      </c>
      <c r="H605" t="s">
        <v>48</v>
      </c>
      <c r="I605" t="s">
        <v>11</v>
      </c>
      <c r="J605" t="s">
        <v>12</v>
      </c>
      <c r="K605">
        <v>24</v>
      </c>
      <c r="L605" t="str">
        <f>IF(Table1[[#This Row],[Age]]&lt;30,"20-29",
IF(Table1[[#This Row],[Age]]&lt;40,"30-39",
IF(Table1[[#This Row],[Age]]&lt;50,"40-49",
IF(Table1[[#This Row],[Age]]&lt;60,"50-59","60+"))))</f>
        <v>20-29</v>
      </c>
      <c r="M605" t="s">
        <v>13</v>
      </c>
      <c r="N605" t="s">
        <v>32</v>
      </c>
    </row>
    <row r="606" spans="1:14" x14ac:dyDescent="0.35">
      <c r="A606">
        <v>705</v>
      </c>
      <c r="B606" t="s">
        <v>15</v>
      </c>
      <c r="C606" s="6">
        <v>43479</v>
      </c>
      <c r="D606">
        <f>YEAR(Table1[[#This Row],[Join Date]])</f>
        <v>2019</v>
      </c>
      <c r="E606" s="6">
        <v>44449</v>
      </c>
      <c r="F606">
        <f>IFERROR(YEAR(Table1[[#This Row],[Exit Date]]), " ")</f>
        <v>2021</v>
      </c>
      <c r="G606">
        <f>IFERROR((Table1[[#This Row],[Exit Year]]-Table1[[#This Row],[Join Year]])+1," ")</f>
        <v>3</v>
      </c>
      <c r="H606" t="s">
        <v>22</v>
      </c>
      <c r="I606" t="s">
        <v>23</v>
      </c>
      <c r="J606" t="s">
        <v>18</v>
      </c>
      <c r="K606">
        <v>50</v>
      </c>
      <c r="L606" t="str">
        <f>IF(Table1[[#This Row],[Age]]&lt;30,"20-29",
IF(Table1[[#This Row],[Age]]&lt;40,"30-39",
IF(Table1[[#This Row],[Age]]&lt;50,"40-49",
IF(Table1[[#This Row],[Age]]&lt;60,"50-59","60+"))))</f>
        <v>50-59</v>
      </c>
      <c r="M606" t="s">
        <v>42</v>
      </c>
      <c r="N606" t="s">
        <v>33</v>
      </c>
    </row>
    <row r="607" spans="1:14" x14ac:dyDescent="0.35">
      <c r="A607">
        <v>706</v>
      </c>
      <c r="B607" t="s">
        <v>26</v>
      </c>
      <c r="C607" s="6">
        <v>44749</v>
      </c>
      <c r="D607">
        <f>YEAR(Table1[[#This Row],[Join Date]])</f>
        <v>2022</v>
      </c>
      <c r="E607" s="6">
        <v>44972</v>
      </c>
      <c r="F607">
        <f>IFERROR(YEAR(Table1[[#This Row],[Exit Date]]), " ")</f>
        <v>2023</v>
      </c>
      <c r="G607">
        <f>IFERROR((Table1[[#This Row],[Exit Year]]-Table1[[#This Row],[Join Year]])+1," ")</f>
        <v>2</v>
      </c>
      <c r="H607" t="s">
        <v>46</v>
      </c>
      <c r="I607" t="s">
        <v>23</v>
      </c>
      <c r="J607" t="s">
        <v>18</v>
      </c>
      <c r="K607">
        <v>28</v>
      </c>
      <c r="L607" t="str">
        <f>IF(Table1[[#This Row],[Age]]&lt;30,"20-29",
IF(Table1[[#This Row],[Age]]&lt;40,"30-39",
IF(Table1[[#This Row],[Age]]&lt;50,"40-49",
IF(Table1[[#This Row],[Age]]&lt;60,"50-59","60+"))))</f>
        <v>20-29</v>
      </c>
      <c r="M607" t="s">
        <v>13</v>
      </c>
      <c r="N607" t="s">
        <v>35</v>
      </c>
    </row>
    <row r="608" spans="1:14" x14ac:dyDescent="0.35">
      <c r="A608">
        <v>707</v>
      </c>
      <c r="B608" t="s">
        <v>29</v>
      </c>
      <c r="C608" s="6">
        <v>45457</v>
      </c>
      <c r="D608">
        <f>YEAR(Table1[[#This Row],[Join Date]])</f>
        <v>2024</v>
      </c>
      <c r="E608" s="6" t="s">
        <v>48</v>
      </c>
      <c r="F608" t="str">
        <f>IFERROR(YEAR(Table1[[#This Row],[Exit Date]]), " ")</f>
        <v xml:space="preserve"> </v>
      </c>
      <c r="G608" t="str">
        <f>IFERROR((Table1[[#This Row],[Exit Year]]-Table1[[#This Row],[Join Year]])+1," ")</f>
        <v xml:space="preserve"> </v>
      </c>
      <c r="H608" t="s">
        <v>48</v>
      </c>
      <c r="I608" t="s">
        <v>11</v>
      </c>
      <c r="J608" t="s">
        <v>12</v>
      </c>
      <c r="K608">
        <v>40</v>
      </c>
      <c r="L608" t="str">
        <f>IF(Table1[[#This Row],[Age]]&lt;30,"20-29",
IF(Table1[[#This Row],[Age]]&lt;40,"30-39",
IF(Table1[[#This Row],[Age]]&lt;50,"40-49",
IF(Table1[[#This Row],[Age]]&lt;60,"50-59","60+"))))</f>
        <v>40-49</v>
      </c>
      <c r="M608" t="s">
        <v>13</v>
      </c>
      <c r="N608" t="s">
        <v>37</v>
      </c>
    </row>
    <row r="609" spans="1:14" x14ac:dyDescent="0.35">
      <c r="A609">
        <v>708</v>
      </c>
      <c r="B609" t="s">
        <v>10</v>
      </c>
      <c r="C609" s="6">
        <v>43304</v>
      </c>
      <c r="D609">
        <f>YEAR(Table1[[#This Row],[Join Date]])</f>
        <v>2018</v>
      </c>
      <c r="E609" s="6" t="s">
        <v>48</v>
      </c>
      <c r="F609" t="str">
        <f>IFERROR(YEAR(Table1[[#This Row],[Exit Date]]), " ")</f>
        <v xml:space="preserve"> </v>
      </c>
      <c r="G609" t="str">
        <f>IFERROR((Table1[[#This Row],[Exit Year]]-Table1[[#This Row],[Join Year]])+1," ")</f>
        <v xml:space="preserve"> </v>
      </c>
      <c r="H609" t="s">
        <v>48</v>
      </c>
      <c r="I609" t="s">
        <v>11</v>
      </c>
      <c r="J609" t="s">
        <v>12</v>
      </c>
      <c r="K609">
        <v>32</v>
      </c>
      <c r="L609" t="str">
        <f>IF(Table1[[#This Row],[Age]]&lt;30,"20-29",
IF(Table1[[#This Row],[Age]]&lt;40,"30-39",
IF(Table1[[#This Row],[Age]]&lt;50,"40-49",
IF(Table1[[#This Row],[Age]]&lt;60,"50-59","60+"))))</f>
        <v>30-39</v>
      </c>
      <c r="M609" t="s">
        <v>16</v>
      </c>
      <c r="N609" t="s">
        <v>19</v>
      </c>
    </row>
    <row r="610" spans="1:14" x14ac:dyDescent="0.35">
      <c r="A610">
        <v>709</v>
      </c>
      <c r="B610" t="s">
        <v>15</v>
      </c>
      <c r="C610" s="6">
        <v>44987</v>
      </c>
      <c r="D610">
        <f>YEAR(Table1[[#This Row],[Join Date]])</f>
        <v>2023</v>
      </c>
      <c r="E610" s="6" t="s">
        <v>48</v>
      </c>
      <c r="F610" t="str">
        <f>IFERROR(YEAR(Table1[[#This Row],[Exit Date]]), " ")</f>
        <v xml:space="preserve"> </v>
      </c>
      <c r="G610" t="str">
        <f>IFERROR((Table1[[#This Row],[Exit Year]]-Table1[[#This Row],[Join Year]])+1," ")</f>
        <v xml:space="preserve"> </v>
      </c>
      <c r="H610" t="s">
        <v>48</v>
      </c>
      <c r="I610" t="s">
        <v>11</v>
      </c>
      <c r="J610" t="s">
        <v>18</v>
      </c>
      <c r="K610">
        <v>50</v>
      </c>
      <c r="L610" t="str">
        <f>IF(Table1[[#This Row],[Age]]&lt;30,"20-29",
IF(Table1[[#This Row],[Age]]&lt;40,"30-39",
IF(Table1[[#This Row],[Age]]&lt;50,"40-49",
IF(Table1[[#This Row],[Age]]&lt;60,"50-59","60+"))))</f>
        <v>50-59</v>
      </c>
      <c r="M610" t="s">
        <v>13</v>
      </c>
      <c r="N610" t="s">
        <v>25</v>
      </c>
    </row>
    <row r="611" spans="1:14" x14ac:dyDescent="0.35">
      <c r="A611">
        <v>710</v>
      </c>
      <c r="B611" t="s">
        <v>34</v>
      </c>
      <c r="C611" s="6">
        <v>45326</v>
      </c>
      <c r="D611">
        <f>YEAR(Table1[[#This Row],[Join Date]])</f>
        <v>2024</v>
      </c>
      <c r="E611" s="6" t="s">
        <v>48</v>
      </c>
      <c r="F611" t="str">
        <f>IFERROR(YEAR(Table1[[#This Row],[Exit Date]]), " ")</f>
        <v xml:space="preserve"> </v>
      </c>
      <c r="G611" t="str">
        <f>IFERROR((Table1[[#This Row],[Exit Year]]-Table1[[#This Row],[Join Year]])+1," ")</f>
        <v xml:space="preserve"> </v>
      </c>
      <c r="H611" t="s">
        <v>48</v>
      </c>
      <c r="I611" t="s">
        <v>11</v>
      </c>
      <c r="J611" t="s">
        <v>18</v>
      </c>
      <c r="K611">
        <v>24</v>
      </c>
      <c r="L611" t="str">
        <f>IF(Table1[[#This Row],[Age]]&lt;30,"20-29",
IF(Table1[[#This Row],[Age]]&lt;40,"30-39",
IF(Table1[[#This Row],[Age]]&lt;50,"40-49",
IF(Table1[[#This Row],[Age]]&lt;60,"50-59","60+"))))</f>
        <v>20-29</v>
      </c>
      <c r="M611" t="s">
        <v>20</v>
      </c>
      <c r="N611" t="s">
        <v>35</v>
      </c>
    </row>
    <row r="612" spans="1:14" x14ac:dyDescent="0.35">
      <c r="A612">
        <v>711</v>
      </c>
      <c r="B612" t="s">
        <v>36</v>
      </c>
      <c r="C612" s="6">
        <v>45474</v>
      </c>
      <c r="D612">
        <f>YEAR(Table1[[#This Row],[Join Date]])</f>
        <v>2024</v>
      </c>
      <c r="E612" s="6" t="s">
        <v>48</v>
      </c>
      <c r="F612" t="str">
        <f>IFERROR(YEAR(Table1[[#This Row],[Exit Date]]), " ")</f>
        <v xml:space="preserve"> </v>
      </c>
      <c r="G612" t="str">
        <f>IFERROR((Table1[[#This Row],[Exit Year]]-Table1[[#This Row],[Join Year]])+1," ")</f>
        <v xml:space="preserve"> </v>
      </c>
      <c r="H612" t="s">
        <v>48</v>
      </c>
      <c r="I612" t="s">
        <v>11</v>
      </c>
      <c r="J612" t="s">
        <v>12</v>
      </c>
      <c r="K612">
        <v>36</v>
      </c>
      <c r="L612" t="str">
        <f>IF(Table1[[#This Row],[Age]]&lt;30,"20-29",
IF(Table1[[#This Row],[Age]]&lt;40,"30-39",
IF(Table1[[#This Row],[Age]]&lt;50,"40-49",
IF(Table1[[#This Row],[Age]]&lt;60,"50-59","60+"))))</f>
        <v>30-39</v>
      </c>
      <c r="M612" t="s">
        <v>39</v>
      </c>
      <c r="N612" t="s">
        <v>17</v>
      </c>
    </row>
    <row r="613" spans="1:14" x14ac:dyDescent="0.35">
      <c r="A613">
        <v>712</v>
      </c>
      <c r="B613" t="s">
        <v>29</v>
      </c>
      <c r="C613" s="6">
        <v>44227</v>
      </c>
      <c r="D613">
        <f>YEAR(Table1[[#This Row],[Join Date]])</f>
        <v>2021</v>
      </c>
      <c r="E613" s="6">
        <v>45322</v>
      </c>
      <c r="F613">
        <f>IFERROR(YEAR(Table1[[#This Row],[Exit Date]]), " ")</f>
        <v>2024</v>
      </c>
      <c r="G613">
        <f>IFERROR((Table1[[#This Row],[Exit Year]]-Table1[[#This Row],[Join Year]])+1," ")</f>
        <v>4</v>
      </c>
      <c r="H613" t="s">
        <v>46</v>
      </c>
      <c r="I613" t="s">
        <v>23</v>
      </c>
      <c r="J613" t="s">
        <v>18</v>
      </c>
      <c r="K613">
        <v>49</v>
      </c>
      <c r="L613" t="str">
        <f>IF(Table1[[#This Row],[Age]]&lt;30,"20-29",
IF(Table1[[#This Row],[Age]]&lt;40,"30-39",
IF(Table1[[#This Row],[Age]]&lt;50,"40-49",
IF(Table1[[#This Row],[Age]]&lt;60,"50-59","60+"))))</f>
        <v>40-49</v>
      </c>
      <c r="M613" t="s">
        <v>13</v>
      </c>
      <c r="N613" t="s">
        <v>19</v>
      </c>
    </row>
    <row r="614" spans="1:14" x14ac:dyDescent="0.35">
      <c r="A614">
        <v>713</v>
      </c>
      <c r="B614" t="s">
        <v>10</v>
      </c>
      <c r="C614" s="6">
        <v>43446</v>
      </c>
      <c r="D614">
        <f>YEAR(Table1[[#This Row],[Join Date]])</f>
        <v>2018</v>
      </c>
      <c r="E614" s="6">
        <v>43936</v>
      </c>
      <c r="F614">
        <f>IFERROR(YEAR(Table1[[#This Row],[Exit Date]]), " ")</f>
        <v>2020</v>
      </c>
      <c r="G614">
        <f>IFERROR((Table1[[#This Row],[Exit Year]]-Table1[[#This Row],[Join Year]])+1," ")</f>
        <v>3</v>
      </c>
      <c r="H614" t="s">
        <v>38</v>
      </c>
      <c r="I614" t="s">
        <v>23</v>
      </c>
      <c r="J614" t="s">
        <v>12</v>
      </c>
      <c r="K614">
        <v>43</v>
      </c>
      <c r="L614" t="str">
        <f>IF(Table1[[#This Row],[Age]]&lt;30,"20-29",
IF(Table1[[#This Row],[Age]]&lt;40,"30-39",
IF(Table1[[#This Row],[Age]]&lt;50,"40-49",
IF(Table1[[#This Row],[Age]]&lt;60,"50-59","60+"))))</f>
        <v>40-49</v>
      </c>
      <c r="M614" t="s">
        <v>16</v>
      </c>
      <c r="N614" t="s">
        <v>21</v>
      </c>
    </row>
    <row r="615" spans="1:14" x14ac:dyDescent="0.35">
      <c r="A615">
        <v>714</v>
      </c>
      <c r="B615" t="s">
        <v>15</v>
      </c>
      <c r="C615" s="6">
        <v>45314</v>
      </c>
      <c r="D615">
        <f>YEAR(Table1[[#This Row],[Join Date]])</f>
        <v>2024</v>
      </c>
      <c r="E615" s="6" t="s">
        <v>48</v>
      </c>
      <c r="F615" t="str">
        <f>IFERROR(YEAR(Table1[[#This Row],[Exit Date]]), " ")</f>
        <v xml:space="preserve"> </v>
      </c>
      <c r="G615" t="str">
        <f>IFERROR((Table1[[#This Row],[Exit Year]]-Table1[[#This Row],[Join Year]])+1," ")</f>
        <v xml:space="preserve"> </v>
      </c>
      <c r="H615" t="s">
        <v>48</v>
      </c>
      <c r="I615" t="s">
        <v>11</v>
      </c>
      <c r="J615" t="s">
        <v>12</v>
      </c>
      <c r="K615">
        <v>40</v>
      </c>
      <c r="L615" t="str">
        <f>IF(Table1[[#This Row],[Age]]&lt;30,"20-29",
IF(Table1[[#This Row],[Age]]&lt;40,"30-39",
IF(Table1[[#This Row],[Age]]&lt;50,"40-49",
IF(Table1[[#This Row],[Age]]&lt;60,"50-59","60+"))))</f>
        <v>40-49</v>
      </c>
      <c r="M615" t="s">
        <v>16</v>
      </c>
      <c r="N615" t="s">
        <v>25</v>
      </c>
    </row>
    <row r="616" spans="1:14" x14ac:dyDescent="0.35">
      <c r="A616">
        <v>715</v>
      </c>
      <c r="B616" t="s">
        <v>15</v>
      </c>
      <c r="C616" s="6">
        <v>43123</v>
      </c>
      <c r="D616">
        <f>YEAR(Table1[[#This Row],[Join Date]])</f>
        <v>2018</v>
      </c>
      <c r="E616" s="6" t="s">
        <v>48</v>
      </c>
      <c r="F616" t="str">
        <f>IFERROR(YEAR(Table1[[#This Row],[Exit Date]]), " ")</f>
        <v xml:space="preserve"> </v>
      </c>
      <c r="G616" t="str">
        <f>IFERROR((Table1[[#This Row],[Exit Year]]-Table1[[#This Row],[Join Year]])+1," ")</f>
        <v xml:space="preserve"> </v>
      </c>
      <c r="H616" t="s">
        <v>48</v>
      </c>
      <c r="I616" t="s">
        <v>11</v>
      </c>
      <c r="J616" t="s">
        <v>12</v>
      </c>
      <c r="K616">
        <v>42</v>
      </c>
      <c r="L616" t="str">
        <f>IF(Table1[[#This Row],[Age]]&lt;30,"20-29",
IF(Table1[[#This Row],[Age]]&lt;40,"30-39",
IF(Table1[[#This Row],[Age]]&lt;50,"40-49",
IF(Table1[[#This Row],[Age]]&lt;60,"50-59","60+"))))</f>
        <v>40-49</v>
      </c>
      <c r="M616" t="s">
        <v>20</v>
      </c>
      <c r="N616" t="s">
        <v>35</v>
      </c>
    </row>
    <row r="617" spans="1:14" x14ac:dyDescent="0.35">
      <c r="A617">
        <v>716</v>
      </c>
      <c r="B617" t="s">
        <v>10</v>
      </c>
      <c r="C617" s="6">
        <v>43717</v>
      </c>
      <c r="D617">
        <f>YEAR(Table1[[#This Row],[Join Date]])</f>
        <v>2019</v>
      </c>
      <c r="E617" s="6">
        <v>44677</v>
      </c>
      <c r="F617">
        <f>IFERROR(YEAR(Table1[[#This Row],[Exit Date]]), " ")</f>
        <v>2022</v>
      </c>
      <c r="G617">
        <f>IFERROR((Table1[[#This Row],[Exit Year]]-Table1[[#This Row],[Join Year]])+1," ")</f>
        <v>4</v>
      </c>
      <c r="H617" t="s">
        <v>40</v>
      </c>
      <c r="I617" t="s">
        <v>23</v>
      </c>
      <c r="J617" t="s">
        <v>18</v>
      </c>
      <c r="K617">
        <v>35</v>
      </c>
      <c r="L617" t="str">
        <f>IF(Table1[[#This Row],[Age]]&lt;30,"20-29",
IF(Table1[[#This Row],[Age]]&lt;40,"30-39",
IF(Table1[[#This Row],[Age]]&lt;50,"40-49",
IF(Table1[[#This Row],[Age]]&lt;60,"50-59","60+"))))</f>
        <v>30-39</v>
      </c>
      <c r="M617" t="s">
        <v>24</v>
      </c>
      <c r="N617" t="s">
        <v>14</v>
      </c>
    </row>
    <row r="618" spans="1:14" x14ac:dyDescent="0.35">
      <c r="A618">
        <v>717</v>
      </c>
      <c r="B618" t="s">
        <v>29</v>
      </c>
      <c r="C618" s="6">
        <v>43534</v>
      </c>
      <c r="D618">
        <f>YEAR(Table1[[#This Row],[Join Date]])</f>
        <v>2019</v>
      </c>
      <c r="E618" s="6">
        <v>44117</v>
      </c>
      <c r="F618">
        <f>IFERROR(YEAR(Table1[[#This Row],[Exit Date]]), " ")</f>
        <v>2020</v>
      </c>
      <c r="G618">
        <f>IFERROR((Table1[[#This Row],[Exit Year]]-Table1[[#This Row],[Join Year]])+1," ")</f>
        <v>2</v>
      </c>
      <c r="H618" t="s">
        <v>46</v>
      </c>
      <c r="I618" t="s">
        <v>23</v>
      </c>
      <c r="J618" t="s">
        <v>12</v>
      </c>
      <c r="K618">
        <v>31</v>
      </c>
      <c r="L618" t="str">
        <f>IF(Table1[[#This Row],[Age]]&lt;30,"20-29",
IF(Table1[[#This Row],[Age]]&lt;40,"30-39",
IF(Table1[[#This Row],[Age]]&lt;50,"40-49",
IF(Table1[[#This Row],[Age]]&lt;60,"50-59","60+"))))</f>
        <v>30-39</v>
      </c>
      <c r="M618" t="s">
        <v>13</v>
      </c>
      <c r="N618" t="s">
        <v>19</v>
      </c>
    </row>
    <row r="619" spans="1:14" x14ac:dyDescent="0.35">
      <c r="A619">
        <v>718</v>
      </c>
      <c r="B619" t="s">
        <v>36</v>
      </c>
      <c r="C619" s="6">
        <v>44619</v>
      </c>
      <c r="D619">
        <f>YEAR(Table1[[#This Row],[Join Date]])</f>
        <v>2022</v>
      </c>
      <c r="E619" s="6" t="s">
        <v>48</v>
      </c>
      <c r="F619" t="str">
        <f>IFERROR(YEAR(Table1[[#This Row],[Exit Date]]), " ")</f>
        <v xml:space="preserve"> </v>
      </c>
      <c r="G619" t="str">
        <f>IFERROR((Table1[[#This Row],[Exit Year]]-Table1[[#This Row],[Join Year]])+1," ")</f>
        <v xml:space="preserve"> </v>
      </c>
      <c r="H619" t="s">
        <v>48</v>
      </c>
      <c r="I619" t="s">
        <v>11</v>
      </c>
      <c r="J619" t="s">
        <v>18</v>
      </c>
      <c r="K619">
        <v>51</v>
      </c>
      <c r="L619" t="str">
        <f>IF(Table1[[#This Row],[Age]]&lt;30,"20-29",
IF(Table1[[#This Row],[Age]]&lt;40,"30-39",
IF(Table1[[#This Row],[Age]]&lt;50,"40-49",
IF(Table1[[#This Row],[Age]]&lt;60,"50-59","60+"))))</f>
        <v>50-59</v>
      </c>
      <c r="M619" t="s">
        <v>42</v>
      </c>
      <c r="N619" t="s">
        <v>21</v>
      </c>
    </row>
    <row r="620" spans="1:14" x14ac:dyDescent="0.35">
      <c r="A620">
        <v>719</v>
      </c>
      <c r="B620" t="s">
        <v>10</v>
      </c>
      <c r="C620" s="6">
        <v>45485</v>
      </c>
      <c r="D620">
        <f>YEAR(Table1[[#This Row],[Join Date]])</f>
        <v>2024</v>
      </c>
      <c r="E620" s="6" t="s">
        <v>48</v>
      </c>
      <c r="F620" t="str">
        <f>IFERROR(YEAR(Table1[[#This Row],[Exit Date]]), " ")</f>
        <v xml:space="preserve"> </v>
      </c>
      <c r="G620" t="str">
        <f>IFERROR((Table1[[#This Row],[Exit Year]]-Table1[[#This Row],[Join Year]])+1," ")</f>
        <v xml:space="preserve"> </v>
      </c>
      <c r="H620" t="s">
        <v>48</v>
      </c>
      <c r="I620" t="s">
        <v>11</v>
      </c>
      <c r="J620" t="s">
        <v>12</v>
      </c>
      <c r="K620">
        <v>48</v>
      </c>
      <c r="L620" t="str">
        <f>IF(Table1[[#This Row],[Age]]&lt;30,"20-29",
IF(Table1[[#This Row],[Age]]&lt;40,"30-39",
IF(Table1[[#This Row],[Age]]&lt;50,"40-49",
IF(Table1[[#This Row],[Age]]&lt;60,"50-59","60+"))))</f>
        <v>40-49</v>
      </c>
      <c r="M620" t="s">
        <v>13</v>
      </c>
      <c r="N620" t="s">
        <v>37</v>
      </c>
    </row>
    <row r="621" spans="1:14" x14ac:dyDescent="0.35">
      <c r="A621">
        <v>720</v>
      </c>
      <c r="B621" t="s">
        <v>29</v>
      </c>
      <c r="C621" s="6">
        <v>43588</v>
      </c>
      <c r="D621">
        <f>YEAR(Table1[[#This Row],[Join Date]])</f>
        <v>2019</v>
      </c>
      <c r="E621" s="6">
        <v>44896</v>
      </c>
      <c r="F621">
        <f>IFERROR(YEAR(Table1[[#This Row],[Exit Date]]), " ")</f>
        <v>2022</v>
      </c>
      <c r="G621">
        <f>IFERROR((Table1[[#This Row],[Exit Year]]-Table1[[#This Row],[Join Year]])+1," ")</f>
        <v>4</v>
      </c>
      <c r="H621" t="s">
        <v>41</v>
      </c>
      <c r="I621" t="s">
        <v>23</v>
      </c>
      <c r="J621" t="s">
        <v>18</v>
      </c>
      <c r="K621">
        <v>41</v>
      </c>
      <c r="L621" t="str">
        <f>IF(Table1[[#This Row],[Age]]&lt;30,"20-29",
IF(Table1[[#This Row],[Age]]&lt;40,"30-39",
IF(Table1[[#This Row],[Age]]&lt;50,"40-49",
IF(Table1[[#This Row],[Age]]&lt;60,"50-59","60+"))))</f>
        <v>40-49</v>
      </c>
      <c r="M621" t="s">
        <v>13</v>
      </c>
      <c r="N621" t="s">
        <v>25</v>
      </c>
    </row>
    <row r="622" spans="1:14" x14ac:dyDescent="0.35">
      <c r="A622">
        <v>721</v>
      </c>
      <c r="B622" t="s">
        <v>36</v>
      </c>
      <c r="C622" s="6">
        <v>44250</v>
      </c>
      <c r="D622">
        <f>YEAR(Table1[[#This Row],[Join Date]])</f>
        <v>2021</v>
      </c>
      <c r="E622" s="6">
        <v>45392</v>
      </c>
      <c r="F622">
        <f>IFERROR(YEAR(Table1[[#This Row],[Exit Date]]), " ")</f>
        <v>2024</v>
      </c>
      <c r="G622">
        <f>IFERROR((Table1[[#This Row],[Exit Year]]-Table1[[#This Row],[Join Year]])+1," ")</f>
        <v>4</v>
      </c>
      <c r="H622" t="s">
        <v>46</v>
      </c>
      <c r="I622" t="s">
        <v>23</v>
      </c>
      <c r="J622" t="s">
        <v>18</v>
      </c>
      <c r="K622">
        <v>35</v>
      </c>
      <c r="L622" t="str">
        <f>IF(Table1[[#This Row],[Age]]&lt;30,"20-29",
IF(Table1[[#This Row],[Age]]&lt;40,"30-39",
IF(Table1[[#This Row],[Age]]&lt;50,"40-49",
IF(Table1[[#This Row],[Age]]&lt;60,"50-59","60+"))))</f>
        <v>30-39</v>
      </c>
      <c r="M622" t="s">
        <v>16</v>
      </c>
      <c r="N622" t="s">
        <v>35</v>
      </c>
    </row>
    <row r="623" spans="1:14" x14ac:dyDescent="0.35">
      <c r="A623">
        <v>722</v>
      </c>
      <c r="B623" t="s">
        <v>26</v>
      </c>
      <c r="C623" s="6">
        <v>45244</v>
      </c>
      <c r="D623">
        <f>YEAR(Table1[[#This Row],[Join Date]])</f>
        <v>2023</v>
      </c>
      <c r="E623" s="6">
        <v>45446</v>
      </c>
      <c r="F623">
        <f>IFERROR(YEAR(Table1[[#This Row],[Exit Date]]), " ")</f>
        <v>2024</v>
      </c>
      <c r="G623">
        <f>IFERROR((Table1[[#This Row],[Exit Year]]-Table1[[#This Row],[Join Year]])+1," ")</f>
        <v>2</v>
      </c>
      <c r="H623" t="s">
        <v>40</v>
      </c>
      <c r="I623" t="s">
        <v>23</v>
      </c>
      <c r="J623" t="s">
        <v>12</v>
      </c>
      <c r="K623">
        <v>24</v>
      </c>
      <c r="L623" t="str">
        <f>IF(Table1[[#This Row],[Age]]&lt;30,"20-29",
IF(Table1[[#This Row],[Age]]&lt;40,"30-39",
IF(Table1[[#This Row],[Age]]&lt;50,"40-49",
IF(Table1[[#This Row],[Age]]&lt;60,"50-59","60+"))))</f>
        <v>20-29</v>
      </c>
      <c r="M623" t="s">
        <v>13</v>
      </c>
      <c r="N623" t="s">
        <v>35</v>
      </c>
    </row>
    <row r="624" spans="1:14" x14ac:dyDescent="0.35">
      <c r="A624">
        <v>723</v>
      </c>
      <c r="B624" t="s">
        <v>15</v>
      </c>
      <c r="C624" s="6">
        <v>45256</v>
      </c>
      <c r="D624">
        <f>YEAR(Table1[[#This Row],[Join Date]])</f>
        <v>2023</v>
      </c>
      <c r="E624" s="6" t="s">
        <v>48</v>
      </c>
      <c r="F624" t="str">
        <f>IFERROR(YEAR(Table1[[#This Row],[Exit Date]]), " ")</f>
        <v xml:space="preserve"> </v>
      </c>
      <c r="G624" t="str">
        <f>IFERROR((Table1[[#This Row],[Exit Year]]-Table1[[#This Row],[Join Year]])+1," ")</f>
        <v xml:space="preserve"> </v>
      </c>
      <c r="H624" t="s">
        <v>48</v>
      </c>
      <c r="I624" t="s">
        <v>11</v>
      </c>
      <c r="J624" t="s">
        <v>18</v>
      </c>
      <c r="K624">
        <v>41</v>
      </c>
      <c r="L624" t="str">
        <f>IF(Table1[[#This Row],[Age]]&lt;30,"20-29",
IF(Table1[[#This Row],[Age]]&lt;40,"30-39",
IF(Table1[[#This Row],[Age]]&lt;50,"40-49",
IF(Table1[[#This Row],[Age]]&lt;60,"50-59","60+"))))</f>
        <v>40-49</v>
      </c>
      <c r="M624" t="s">
        <v>20</v>
      </c>
      <c r="N624" t="s">
        <v>14</v>
      </c>
    </row>
    <row r="625" spans="1:14" x14ac:dyDescent="0.35">
      <c r="A625">
        <v>724</v>
      </c>
      <c r="B625" t="s">
        <v>26</v>
      </c>
      <c r="C625" s="6">
        <v>45465</v>
      </c>
      <c r="D625">
        <f>YEAR(Table1[[#This Row],[Join Date]])</f>
        <v>2024</v>
      </c>
      <c r="E625" s="6" t="s">
        <v>48</v>
      </c>
      <c r="F625" t="str">
        <f>IFERROR(YEAR(Table1[[#This Row],[Exit Date]]), " ")</f>
        <v xml:space="preserve"> </v>
      </c>
      <c r="G625" t="str">
        <f>IFERROR((Table1[[#This Row],[Exit Year]]-Table1[[#This Row],[Join Year]])+1," ")</f>
        <v xml:space="preserve"> </v>
      </c>
      <c r="H625" t="s">
        <v>48</v>
      </c>
      <c r="I625" t="s">
        <v>11</v>
      </c>
      <c r="J625" t="s">
        <v>18</v>
      </c>
      <c r="K625">
        <v>40</v>
      </c>
      <c r="L625" t="str">
        <f>IF(Table1[[#This Row],[Age]]&lt;30,"20-29",
IF(Table1[[#This Row],[Age]]&lt;40,"30-39",
IF(Table1[[#This Row],[Age]]&lt;50,"40-49",
IF(Table1[[#This Row],[Age]]&lt;60,"50-59","60+"))))</f>
        <v>40-49</v>
      </c>
      <c r="M625" t="s">
        <v>39</v>
      </c>
      <c r="N625" t="s">
        <v>17</v>
      </c>
    </row>
    <row r="626" spans="1:14" x14ac:dyDescent="0.35">
      <c r="A626">
        <v>725</v>
      </c>
      <c r="B626" t="s">
        <v>10</v>
      </c>
      <c r="C626" s="6">
        <v>43597</v>
      </c>
      <c r="D626">
        <f>YEAR(Table1[[#This Row],[Join Date]])</f>
        <v>2019</v>
      </c>
      <c r="E626" s="6" t="s">
        <v>48</v>
      </c>
      <c r="F626" t="str">
        <f>IFERROR(YEAR(Table1[[#This Row],[Exit Date]]), " ")</f>
        <v xml:space="preserve"> </v>
      </c>
      <c r="G626" t="str">
        <f>IFERROR((Table1[[#This Row],[Exit Year]]-Table1[[#This Row],[Join Year]])+1," ")</f>
        <v xml:space="preserve"> </v>
      </c>
      <c r="H626" t="s">
        <v>48</v>
      </c>
      <c r="I626" t="s">
        <v>11</v>
      </c>
      <c r="J626" t="s">
        <v>12</v>
      </c>
      <c r="K626">
        <v>48</v>
      </c>
      <c r="L626" t="str">
        <f>IF(Table1[[#This Row],[Age]]&lt;30,"20-29",
IF(Table1[[#This Row],[Age]]&lt;40,"30-39",
IF(Table1[[#This Row],[Age]]&lt;50,"40-49",
IF(Table1[[#This Row],[Age]]&lt;60,"50-59","60+"))))</f>
        <v>40-49</v>
      </c>
      <c r="M626" t="s">
        <v>13</v>
      </c>
      <c r="N626" t="s">
        <v>19</v>
      </c>
    </row>
    <row r="627" spans="1:14" x14ac:dyDescent="0.35">
      <c r="A627">
        <v>726</v>
      </c>
      <c r="B627" t="s">
        <v>15</v>
      </c>
      <c r="C627" s="6">
        <v>44866</v>
      </c>
      <c r="D627">
        <f>YEAR(Table1[[#This Row],[Join Date]])</f>
        <v>2022</v>
      </c>
      <c r="E627" s="6" t="s">
        <v>48</v>
      </c>
      <c r="F627" t="str">
        <f>IFERROR(YEAR(Table1[[#This Row],[Exit Date]]), " ")</f>
        <v xml:space="preserve"> </v>
      </c>
      <c r="G627" t="str">
        <f>IFERROR((Table1[[#This Row],[Exit Year]]-Table1[[#This Row],[Join Year]])+1," ")</f>
        <v xml:space="preserve"> </v>
      </c>
      <c r="H627" t="s">
        <v>48</v>
      </c>
      <c r="I627" t="s">
        <v>11</v>
      </c>
      <c r="J627" t="s">
        <v>12</v>
      </c>
      <c r="K627">
        <v>52</v>
      </c>
      <c r="L627" t="str">
        <f>IF(Table1[[#This Row],[Age]]&lt;30,"20-29",
IF(Table1[[#This Row],[Age]]&lt;40,"30-39",
IF(Table1[[#This Row],[Age]]&lt;50,"40-49",
IF(Table1[[#This Row],[Age]]&lt;60,"50-59","60+"))))</f>
        <v>50-59</v>
      </c>
      <c r="M627" t="s">
        <v>16</v>
      </c>
      <c r="N627" t="s">
        <v>21</v>
      </c>
    </row>
    <row r="628" spans="1:14" x14ac:dyDescent="0.35">
      <c r="A628">
        <v>727</v>
      </c>
      <c r="B628" t="s">
        <v>34</v>
      </c>
      <c r="C628" s="6">
        <v>44006</v>
      </c>
      <c r="D628">
        <f>YEAR(Table1[[#This Row],[Join Date]])</f>
        <v>2020</v>
      </c>
      <c r="E628" s="6">
        <v>44463</v>
      </c>
      <c r="F628">
        <f>IFERROR(YEAR(Table1[[#This Row],[Exit Date]]), " ")</f>
        <v>2021</v>
      </c>
      <c r="G628">
        <f>IFERROR((Table1[[#This Row],[Exit Year]]-Table1[[#This Row],[Join Year]])+1," ")</f>
        <v>2</v>
      </c>
      <c r="H628" t="s">
        <v>43</v>
      </c>
      <c r="I628" t="s">
        <v>23</v>
      </c>
      <c r="J628" t="s">
        <v>12</v>
      </c>
      <c r="K628">
        <v>33</v>
      </c>
      <c r="L628" t="str">
        <f>IF(Table1[[#This Row],[Age]]&lt;30,"20-29",
IF(Table1[[#This Row],[Age]]&lt;40,"30-39",
IF(Table1[[#This Row],[Age]]&lt;50,"40-49",
IF(Table1[[#This Row],[Age]]&lt;60,"50-59","60+"))))</f>
        <v>30-39</v>
      </c>
      <c r="M628" t="s">
        <v>16</v>
      </c>
      <c r="N628" t="s">
        <v>25</v>
      </c>
    </row>
    <row r="629" spans="1:14" x14ac:dyDescent="0.35">
      <c r="A629">
        <v>728</v>
      </c>
      <c r="B629" t="s">
        <v>26</v>
      </c>
      <c r="C629" s="6">
        <v>45095</v>
      </c>
      <c r="D629">
        <f>YEAR(Table1[[#This Row],[Join Date]])</f>
        <v>2023</v>
      </c>
      <c r="E629" s="6" t="s">
        <v>48</v>
      </c>
      <c r="F629" t="str">
        <f>IFERROR(YEAR(Table1[[#This Row],[Exit Date]]), " ")</f>
        <v xml:space="preserve"> </v>
      </c>
      <c r="G629" t="str">
        <f>IFERROR((Table1[[#This Row],[Exit Year]]-Table1[[#This Row],[Join Year]])+1," ")</f>
        <v xml:space="preserve"> </v>
      </c>
      <c r="H629" t="s">
        <v>48</v>
      </c>
      <c r="I629" t="s">
        <v>11</v>
      </c>
      <c r="J629" t="s">
        <v>18</v>
      </c>
      <c r="K629">
        <v>51</v>
      </c>
      <c r="L629" t="str">
        <f>IF(Table1[[#This Row],[Age]]&lt;30,"20-29",
IF(Table1[[#This Row],[Age]]&lt;40,"30-39",
IF(Table1[[#This Row],[Age]]&lt;50,"40-49",
IF(Table1[[#This Row],[Age]]&lt;60,"50-59","60+"))))</f>
        <v>50-59</v>
      </c>
      <c r="M629" t="s">
        <v>20</v>
      </c>
      <c r="N629" t="s">
        <v>28</v>
      </c>
    </row>
    <row r="630" spans="1:14" x14ac:dyDescent="0.35">
      <c r="A630">
        <v>729</v>
      </c>
      <c r="B630" t="s">
        <v>10</v>
      </c>
      <c r="C630" s="6">
        <v>44360</v>
      </c>
      <c r="D630">
        <f>YEAR(Table1[[#This Row],[Join Date]])</f>
        <v>2021</v>
      </c>
      <c r="E630" s="6">
        <v>44755</v>
      </c>
      <c r="F630">
        <f>IFERROR(YEAR(Table1[[#This Row],[Exit Date]]), " ")</f>
        <v>2022</v>
      </c>
      <c r="G630">
        <f>IFERROR((Table1[[#This Row],[Exit Year]]-Table1[[#This Row],[Join Year]])+1," ")</f>
        <v>2</v>
      </c>
      <c r="H630" t="s">
        <v>38</v>
      </c>
      <c r="I630" t="s">
        <v>23</v>
      </c>
      <c r="J630" t="s">
        <v>18</v>
      </c>
      <c r="K630">
        <v>46</v>
      </c>
      <c r="L630" t="str">
        <f>IF(Table1[[#This Row],[Age]]&lt;30,"20-29",
IF(Table1[[#This Row],[Age]]&lt;40,"30-39",
IF(Table1[[#This Row],[Age]]&lt;50,"40-49",
IF(Table1[[#This Row],[Age]]&lt;60,"50-59","60+"))))</f>
        <v>40-49</v>
      </c>
      <c r="M630" t="s">
        <v>24</v>
      </c>
      <c r="N630" t="s">
        <v>31</v>
      </c>
    </row>
    <row r="631" spans="1:14" x14ac:dyDescent="0.35">
      <c r="A631">
        <v>730</v>
      </c>
      <c r="B631" t="s">
        <v>26</v>
      </c>
      <c r="C631" s="6">
        <v>43419</v>
      </c>
      <c r="D631">
        <f>YEAR(Table1[[#This Row],[Join Date]])</f>
        <v>2018</v>
      </c>
      <c r="E631" s="6">
        <v>44303</v>
      </c>
      <c r="F631">
        <f>IFERROR(YEAR(Table1[[#This Row],[Exit Date]]), " ")</f>
        <v>2021</v>
      </c>
      <c r="G631">
        <f>IFERROR((Table1[[#This Row],[Exit Year]]-Table1[[#This Row],[Join Year]])+1," ")</f>
        <v>4</v>
      </c>
      <c r="H631" t="s">
        <v>22</v>
      </c>
      <c r="I631" t="s">
        <v>23</v>
      </c>
      <c r="J631" t="s">
        <v>12</v>
      </c>
      <c r="K631">
        <v>53</v>
      </c>
      <c r="L631" t="str">
        <f>IF(Table1[[#This Row],[Age]]&lt;30,"20-29",
IF(Table1[[#This Row],[Age]]&lt;40,"30-39",
IF(Table1[[#This Row],[Age]]&lt;50,"40-49",
IF(Table1[[#This Row],[Age]]&lt;60,"50-59","60+"))))</f>
        <v>50-59</v>
      </c>
      <c r="M631" t="s">
        <v>13</v>
      </c>
      <c r="N631" t="s">
        <v>32</v>
      </c>
    </row>
    <row r="632" spans="1:14" x14ac:dyDescent="0.35">
      <c r="A632">
        <v>731</v>
      </c>
      <c r="B632" t="s">
        <v>36</v>
      </c>
      <c r="C632" s="6">
        <v>44249</v>
      </c>
      <c r="D632">
        <f>YEAR(Table1[[#This Row],[Join Date]])</f>
        <v>2021</v>
      </c>
      <c r="E632" s="6" t="s">
        <v>48</v>
      </c>
      <c r="F632" t="str">
        <f>IFERROR(YEAR(Table1[[#This Row],[Exit Date]]), " ")</f>
        <v xml:space="preserve"> </v>
      </c>
      <c r="G632" t="str">
        <f>IFERROR((Table1[[#This Row],[Exit Year]]-Table1[[#This Row],[Join Year]])+1," ")</f>
        <v xml:space="preserve"> </v>
      </c>
      <c r="H632" t="s">
        <v>48</v>
      </c>
      <c r="I632" t="s">
        <v>11</v>
      </c>
      <c r="J632" t="s">
        <v>18</v>
      </c>
      <c r="K632">
        <v>35</v>
      </c>
      <c r="L632" t="str">
        <f>IF(Table1[[#This Row],[Age]]&lt;30,"20-29",
IF(Table1[[#This Row],[Age]]&lt;40,"30-39",
IF(Table1[[#This Row],[Age]]&lt;50,"40-49",
IF(Table1[[#This Row],[Age]]&lt;60,"50-59","60+"))))</f>
        <v>30-39</v>
      </c>
      <c r="M632" t="s">
        <v>30</v>
      </c>
      <c r="N632" t="s">
        <v>33</v>
      </c>
    </row>
    <row r="633" spans="1:14" x14ac:dyDescent="0.35">
      <c r="A633">
        <v>732</v>
      </c>
      <c r="B633" t="s">
        <v>10</v>
      </c>
      <c r="C633" s="6">
        <v>45533</v>
      </c>
      <c r="D633">
        <f>YEAR(Table1[[#This Row],[Join Date]])</f>
        <v>2024</v>
      </c>
      <c r="E633" s="6" t="s">
        <v>48</v>
      </c>
      <c r="F633" t="str">
        <f>IFERROR(YEAR(Table1[[#This Row],[Exit Date]]), " ")</f>
        <v xml:space="preserve"> </v>
      </c>
      <c r="G633" t="str">
        <f>IFERROR((Table1[[#This Row],[Exit Year]]-Table1[[#This Row],[Join Year]])+1," ")</f>
        <v xml:space="preserve"> </v>
      </c>
      <c r="H633" t="s">
        <v>48</v>
      </c>
      <c r="I633" t="s">
        <v>11</v>
      </c>
      <c r="J633" t="s">
        <v>12</v>
      </c>
      <c r="K633">
        <v>32</v>
      </c>
      <c r="L633" t="str">
        <f>IF(Table1[[#This Row],[Age]]&lt;30,"20-29",
IF(Table1[[#This Row],[Age]]&lt;40,"30-39",
IF(Table1[[#This Row],[Age]]&lt;50,"40-49",
IF(Table1[[#This Row],[Age]]&lt;60,"50-59","60+"))))</f>
        <v>30-39</v>
      </c>
      <c r="M633" t="s">
        <v>13</v>
      </c>
      <c r="N633" t="s">
        <v>35</v>
      </c>
    </row>
    <row r="634" spans="1:14" x14ac:dyDescent="0.35">
      <c r="A634">
        <v>733</v>
      </c>
      <c r="B634" t="s">
        <v>36</v>
      </c>
      <c r="C634" s="6">
        <v>44377</v>
      </c>
      <c r="D634">
        <f>YEAR(Table1[[#This Row],[Join Date]])</f>
        <v>2021</v>
      </c>
      <c r="E634" s="6" t="s">
        <v>48</v>
      </c>
      <c r="F634" t="str">
        <f>IFERROR(YEAR(Table1[[#This Row],[Exit Date]]), " ")</f>
        <v xml:space="preserve"> </v>
      </c>
      <c r="G634" t="str">
        <f>IFERROR((Table1[[#This Row],[Exit Year]]-Table1[[#This Row],[Join Year]])+1," ")</f>
        <v xml:space="preserve"> </v>
      </c>
      <c r="H634" t="s">
        <v>48</v>
      </c>
      <c r="I634" t="s">
        <v>11</v>
      </c>
      <c r="J634" t="s">
        <v>12</v>
      </c>
      <c r="K634">
        <v>46</v>
      </c>
      <c r="L634" t="str">
        <f>IF(Table1[[#This Row],[Age]]&lt;30,"20-29",
IF(Table1[[#This Row],[Age]]&lt;40,"30-39",
IF(Table1[[#This Row],[Age]]&lt;50,"40-49",
IF(Table1[[#This Row],[Age]]&lt;60,"50-59","60+"))))</f>
        <v>40-49</v>
      </c>
      <c r="M634" t="s">
        <v>13</v>
      </c>
      <c r="N634" t="s">
        <v>37</v>
      </c>
    </row>
    <row r="635" spans="1:14" x14ac:dyDescent="0.35">
      <c r="A635">
        <v>734</v>
      </c>
      <c r="B635" t="s">
        <v>10</v>
      </c>
      <c r="C635" s="6">
        <v>44088</v>
      </c>
      <c r="D635">
        <f>YEAR(Table1[[#This Row],[Join Date]])</f>
        <v>2020</v>
      </c>
      <c r="E635" s="6" t="s">
        <v>48</v>
      </c>
      <c r="F635" t="str">
        <f>IFERROR(YEAR(Table1[[#This Row],[Exit Date]]), " ")</f>
        <v xml:space="preserve"> </v>
      </c>
      <c r="G635" t="str">
        <f>IFERROR((Table1[[#This Row],[Exit Year]]-Table1[[#This Row],[Join Year]])+1," ")</f>
        <v xml:space="preserve"> </v>
      </c>
      <c r="H635" t="s">
        <v>48</v>
      </c>
      <c r="I635" t="s">
        <v>11</v>
      </c>
      <c r="J635" t="s">
        <v>12</v>
      </c>
      <c r="K635">
        <v>50</v>
      </c>
      <c r="L635" t="str">
        <f>IF(Table1[[#This Row],[Age]]&lt;30,"20-29",
IF(Table1[[#This Row],[Age]]&lt;40,"30-39",
IF(Table1[[#This Row],[Age]]&lt;50,"40-49",
IF(Table1[[#This Row],[Age]]&lt;60,"50-59","60+"))))</f>
        <v>50-59</v>
      </c>
      <c r="M635" t="s">
        <v>16</v>
      </c>
      <c r="N635" t="s">
        <v>19</v>
      </c>
    </row>
    <row r="636" spans="1:14" x14ac:dyDescent="0.35">
      <c r="A636">
        <v>735</v>
      </c>
      <c r="B636" t="s">
        <v>26</v>
      </c>
      <c r="C636" s="6">
        <v>43373</v>
      </c>
      <c r="D636">
        <f>YEAR(Table1[[#This Row],[Join Date]])</f>
        <v>2018</v>
      </c>
      <c r="E636" s="6">
        <v>44825</v>
      </c>
      <c r="F636">
        <f>IFERROR(YEAR(Table1[[#This Row],[Exit Date]]), " ")</f>
        <v>2022</v>
      </c>
      <c r="G636">
        <f>IFERROR((Table1[[#This Row],[Exit Year]]-Table1[[#This Row],[Join Year]])+1," ")</f>
        <v>5</v>
      </c>
      <c r="H636" t="s">
        <v>27</v>
      </c>
      <c r="I636" t="s">
        <v>23</v>
      </c>
      <c r="J636" t="s">
        <v>18</v>
      </c>
      <c r="K636">
        <v>65</v>
      </c>
      <c r="L636" t="str">
        <f>IF(Table1[[#This Row],[Age]]&lt;30,"20-29",
IF(Table1[[#This Row],[Age]]&lt;40,"30-39",
IF(Table1[[#This Row],[Age]]&lt;50,"40-49",
IF(Table1[[#This Row],[Age]]&lt;60,"50-59","60+"))))</f>
        <v>60+</v>
      </c>
      <c r="M636" t="s">
        <v>13</v>
      </c>
      <c r="N636" t="s">
        <v>25</v>
      </c>
    </row>
    <row r="637" spans="1:14" x14ac:dyDescent="0.35">
      <c r="A637">
        <v>736</v>
      </c>
      <c r="B637" t="s">
        <v>26</v>
      </c>
      <c r="C637" s="6">
        <v>43314</v>
      </c>
      <c r="D637">
        <f>YEAR(Table1[[#This Row],[Join Date]])</f>
        <v>2018</v>
      </c>
      <c r="E637" s="6" t="s">
        <v>48</v>
      </c>
      <c r="F637" t="str">
        <f>IFERROR(YEAR(Table1[[#This Row],[Exit Date]]), " ")</f>
        <v xml:space="preserve"> </v>
      </c>
      <c r="G637" t="str">
        <f>IFERROR((Table1[[#This Row],[Exit Year]]-Table1[[#This Row],[Join Year]])+1," ")</f>
        <v xml:space="preserve"> </v>
      </c>
      <c r="H637" t="s">
        <v>48</v>
      </c>
      <c r="I637" t="s">
        <v>11</v>
      </c>
      <c r="J637" t="s">
        <v>12</v>
      </c>
      <c r="K637">
        <v>29</v>
      </c>
      <c r="L637" t="str">
        <f>IF(Table1[[#This Row],[Age]]&lt;30,"20-29",
IF(Table1[[#This Row],[Age]]&lt;40,"30-39",
IF(Table1[[#This Row],[Age]]&lt;50,"40-49",
IF(Table1[[#This Row],[Age]]&lt;60,"50-59","60+"))))</f>
        <v>20-29</v>
      </c>
      <c r="M637" t="s">
        <v>20</v>
      </c>
      <c r="N637" t="s">
        <v>35</v>
      </c>
    </row>
    <row r="638" spans="1:14" x14ac:dyDescent="0.35">
      <c r="A638">
        <v>737</v>
      </c>
      <c r="B638" t="s">
        <v>26</v>
      </c>
      <c r="C638" s="6">
        <v>44418</v>
      </c>
      <c r="D638">
        <f>YEAR(Table1[[#This Row],[Join Date]])</f>
        <v>2021</v>
      </c>
      <c r="E638" s="6">
        <v>45628</v>
      </c>
      <c r="F638">
        <f>IFERROR(YEAR(Table1[[#This Row],[Exit Date]]), " ")</f>
        <v>2024</v>
      </c>
      <c r="G638">
        <f>IFERROR((Table1[[#This Row],[Exit Year]]-Table1[[#This Row],[Join Year]])+1," ")</f>
        <v>4</v>
      </c>
      <c r="H638" t="s">
        <v>22</v>
      </c>
      <c r="I638" t="s">
        <v>23</v>
      </c>
      <c r="J638" t="s">
        <v>18</v>
      </c>
      <c r="K638">
        <v>27</v>
      </c>
      <c r="L638" t="str">
        <f>IF(Table1[[#This Row],[Age]]&lt;30,"20-29",
IF(Table1[[#This Row],[Age]]&lt;40,"30-39",
IF(Table1[[#This Row],[Age]]&lt;50,"40-49",
IF(Table1[[#This Row],[Age]]&lt;60,"50-59","60+"))))</f>
        <v>20-29</v>
      </c>
      <c r="M638" t="s">
        <v>44</v>
      </c>
      <c r="N638" t="s">
        <v>17</v>
      </c>
    </row>
    <row r="639" spans="1:14" x14ac:dyDescent="0.35">
      <c r="A639">
        <v>738</v>
      </c>
      <c r="B639" t="s">
        <v>34</v>
      </c>
      <c r="C639" s="6">
        <v>44324</v>
      </c>
      <c r="D639">
        <f>YEAR(Table1[[#This Row],[Join Date]])</f>
        <v>2021</v>
      </c>
      <c r="E639" s="6">
        <v>45076</v>
      </c>
      <c r="F639">
        <f>IFERROR(YEAR(Table1[[#This Row],[Exit Date]]), " ")</f>
        <v>2023</v>
      </c>
      <c r="G639">
        <f>IFERROR((Table1[[#This Row],[Exit Year]]-Table1[[#This Row],[Join Year]])+1," ")</f>
        <v>3</v>
      </c>
      <c r="H639" t="s">
        <v>40</v>
      </c>
      <c r="I639" t="s">
        <v>23</v>
      </c>
      <c r="J639" t="s">
        <v>12</v>
      </c>
      <c r="K639">
        <v>31</v>
      </c>
      <c r="L639" t="str">
        <f>IF(Table1[[#This Row],[Age]]&lt;30,"20-29",
IF(Table1[[#This Row],[Age]]&lt;40,"30-39",
IF(Table1[[#This Row],[Age]]&lt;50,"40-49",
IF(Table1[[#This Row],[Age]]&lt;60,"50-59","60+"))))</f>
        <v>30-39</v>
      </c>
      <c r="M639" t="s">
        <v>13</v>
      </c>
      <c r="N639" t="s">
        <v>19</v>
      </c>
    </row>
    <row r="640" spans="1:14" x14ac:dyDescent="0.35">
      <c r="A640">
        <v>739</v>
      </c>
      <c r="B640" t="s">
        <v>10</v>
      </c>
      <c r="C640" s="6">
        <v>43513</v>
      </c>
      <c r="D640">
        <f>YEAR(Table1[[#This Row],[Join Date]])</f>
        <v>2019</v>
      </c>
      <c r="E640" s="6">
        <v>44923</v>
      </c>
      <c r="F640">
        <f>IFERROR(YEAR(Table1[[#This Row],[Exit Date]]), " ")</f>
        <v>2022</v>
      </c>
      <c r="G640">
        <f>IFERROR((Table1[[#This Row],[Exit Year]]-Table1[[#This Row],[Join Year]])+1," ")</f>
        <v>4</v>
      </c>
      <c r="H640" t="s">
        <v>46</v>
      </c>
      <c r="I640" t="s">
        <v>23</v>
      </c>
      <c r="J640" t="s">
        <v>18</v>
      </c>
      <c r="K640">
        <v>24</v>
      </c>
      <c r="L640" t="str">
        <f>IF(Table1[[#This Row],[Age]]&lt;30,"20-29",
IF(Table1[[#This Row],[Age]]&lt;40,"30-39",
IF(Table1[[#This Row],[Age]]&lt;50,"40-49",
IF(Table1[[#This Row],[Age]]&lt;60,"50-59","60+"))))</f>
        <v>20-29</v>
      </c>
      <c r="M640" t="s">
        <v>16</v>
      </c>
      <c r="N640" t="s">
        <v>21</v>
      </c>
    </row>
    <row r="641" spans="1:14" x14ac:dyDescent="0.35">
      <c r="A641">
        <v>740</v>
      </c>
      <c r="B641" t="s">
        <v>36</v>
      </c>
      <c r="C641" s="6">
        <v>44180</v>
      </c>
      <c r="D641">
        <f>YEAR(Table1[[#This Row],[Join Date]])</f>
        <v>2020</v>
      </c>
      <c r="E641" s="6" t="s">
        <v>48</v>
      </c>
      <c r="F641" t="str">
        <f>IFERROR(YEAR(Table1[[#This Row],[Exit Date]]), " ")</f>
        <v xml:space="preserve"> </v>
      </c>
      <c r="G641" t="str">
        <f>IFERROR((Table1[[#This Row],[Exit Year]]-Table1[[#This Row],[Join Year]])+1," ")</f>
        <v xml:space="preserve"> </v>
      </c>
      <c r="H641" t="s">
        <v>48</v>
      </c>
      <c r="I641" t="s">
        <v>11</v>
      </c>
      <c r="J641" t="s">
        <v>18</v>
      </c>
      <c r="K641">
        <v>37</v>
      </c>
      <c r="L641" t="str">
        <f>IF(Table1[[#This Row],[Age]]&lt;30,"20-29",
IF(Table1[[#This Row],[Age]]&lt;40,"30-39",
IF(Table1[[#This Row],[Age]]&lt;50,"40-49",
IF(Table1[[#This Row],[Age]]&lt;60,"50-59","60+"))))</f>
        <v>30-39</v>
      </c>
      <c r="M641" t="s">
        <v>16</v>
      </c>
      <c r="N641" t="s">
        <v>25</v>
      </c>
    </row>
    <row r="642" spans="1:14" x14ac:dyDescent="0.35">
      <c r="A642">
        <v>741</v>
      </c>
      <c r="B642" t="s">
        <v>34</v>
      </c>
      <c r="C642" s="6">
        <v>44099</v>
      </c>
      <c r="D642">
        <f>YEAR(Table1[[#This Row],[Join Date]])</f>
        <v>2020</v>
      </c>
      <c r="E642" s="6" t="s">
        <v>48</v>
      </c>
      <c r="F642" t="str">
        <f>IFERROR(YEAR(Table1[[#This Row],[Exit Date]]), " ")</f>
        <v xml:space="preserve"> </v>
      </c>
      <c r="G642" t="str">
        <f>IFERROR((Table1[[#This Row],[Exit Year]]-Table1[[#This Row],[Join Year]])+1," ")</f>
        <v xml:space="preserve"> </v>
      </c>
      <c r="H642" t="s">
        <v>48</v>
      </c>
      <c r="I642" t="s">
        <v>11</v>
      </c>
      <c r="J642" t="s">
        <v>12</v>
      </c>
      <c r="K642">
        <v>23</v>
      </c>
      <c r="L642" t="str">
        <f>IF(Table1[[#This Row],[Age]]&lt;30,"20-29",
IF(Table1[[#This Row],[Age]]&lt;40,"30-39",
IF(Table1[[#This Row],[Age]]&lt;50,"40-49",
IF(Table1[[#This Row],[Age]]&lt;60,"50-59","60+"))))</f>
        <v>20-29</v>
      </c>
      <c r="M642" t="s">
        <v>20</v>
      </c>
      <c r="N642" t="s">
        <v>35</v>
      </c>
    </row>
    <row r="643" spans="1:14" x14ac:dyDescent="0.35">
      <c r="A643">
        <v>742</v>
      </c>
      <c r="B643" t="s">
        <v>34</v>
      </c>
      <c r="C643" s="6">
        <v>45632</v>
      </c>
      <c r="D643">
        <f>YEAR(Table1[[#This Row],[Join Date]])</f>
        <v>2024</v>
      </c>
      <c r="E643" s="6" t="s">
        <v>48</v>
      </c>
      <c r="F643" t="str">
        <f>IFERROR(YEAR(Table1[[#This Row],[Exit Date]]), " ")</f>
        <v xml:space="preserve"> </v>
      </c>
      <c r="G643" t="str">
        <f>IFERROR((Table1[[#This Row],[Exit Year]]-Table1[[#This Row],[Join Year]])+1," ")</f>
        <v xml:space="preserve"> </v>
      </c>
      <c r="H643" t="s">
        <v>48</v>
      </c>
      <c r="I643" t="s">
        <v>11</v>
      </c>
      <c r="J643" t="s">
        <v>18</v>
      </c>
      <c r="K643">
        <v>31</v>
      </c>
      <c r="L643" t="str">
        <f>IF(Table1[[#This Row],[Age]]&lt;30,"20-29",
IF(Table1[[#This Row],[Age]]&lt;40,"30-39",
IF(Table1[[#This Row],[Age]]&lt;50,"40-49",
IF(Table1[[#This Row],[Age]]&lt;60,"50-59","60+"))))</f>
        <v>30-39</v>
      </c>
      <c r="M643" t="s">
        <v>24</v>
      </c>
      <c r="N643" t="s">
        <v>14</v>
      </c>
    </row>
    <row r="644" spans="1:14" x14ac:dyDescent="0.35">
      <c r="A644">
        <v>743</v>
      </c>
      <c r="B644" t="s">
        <v>36</v>
      </c>
      <c r="C644" s="6">
        <v>45294</v>
      </c>
      <c r="D644">
        <f>YEAR(Table1[[#This Row],[Join Date]])</f>
        <v>2024</v>
      </c>
      <c r="E644" s="6" t="s">
        <v>48</v>
      </c>
      <c r="F644" t="str">
        <f>IFERROR(YEAR(Table1[[#This Row],[Exit Date]]), " ")</f>
        <v xml:space="preserve"> </v>
      </c>
      <c r="G644" t="str">
        <f>IFERROR((Table1[[#This Row],[Exit Year]]-Table1[[#This Row],[Join Year]])+1," ")</f>
        <v xml:space="preserve"> </v>
      </c>
      <c r="H644" t="s">
        <v>48</v>
      </c>
      <c r="I644" t="s">
        <v>11</v>
      </c>
      <c r="J644" t="s">
        <v>18</v>
      </c>
      <c r="K644">
        <v>52</v>
      </c>
      <c r="L644" t="str">
        <f>IF(Table1[[#This Row],[Age]]&lt;30,"20-29",
IF(Table1[[#This Row],[Age]]&lt;40,"30-39",
IF(Table1[[#This Row],[Age]]&lt;50,"40-49",
IF(Table1[[#This Row],[Age]]&lt;60,"50-59","60+"))))</f>
        <v>50-59</v>
      </c>
      <c r="M644" t="s">
        <v>13</v>
      </c>
      <c r="N644" t="s">
        <v>19</v>
      </c>
    </row>
    <row r="645" spans="1:14" x14ac:dyDescent="0.35">
      <c r="A645">
        <v>744</v>
      </c>
      <c r="B645" t="s">
        <v>26</v>
      </c>
      <c r="C645" s="6">
        <v>44590</v>
      </c>
      <c r="D645">
        <f>YEAR(Table1[[#This Row],[Join Date]])</f>
        <v>2022</v>
      </c>
      <c r="E645" s="6" t="s">
        <v>48</v>
      </c>
      <c r="F645" t="str">
        <f>IFERROR(YEAR(Table1[[#This Row],[Exit Date]]), " ")</f>
        <v xml:space="preserve"> </v>
      </c>
      <c r="G645" t="str">
        <f>IFERROR((Table1[[#This Row],[Exit Year]]-Table1[[#This Row],[Join Year]])+1," ")</f>
        <v xml:space="preserve"> </v>
      </c>
      <c r="H645" t="s">
        <v>48</v>
      </c>
      <c r="I645" t="s">
        <v>11</v>
      </c>
      <c r="J645" t="s">
        <v>12</v>
      </c>
      <c r="K645">
        <v>25</v>
      </c>
      <c r="L645" t="str">
        <f>IF(Table1[[#This Row],[Age]]&lt;30,"20-29",
IF(Table1[[#This Row],[Age]]&lt;40,"30-39",
IF(Table1[[#This Row],[Age]]&lt;50,"40-49",
IF(Table1[[#This Row],[Age]]&lt;60,"50-59","60+"))))</f>
        <v>20-29</v>
      </c>
      <c r="M645" t="s">
        <v>30</v>
      </c>
      <c r="N645" t="s">
        <v>21</v>
      </c>
    </row>
    <row r="646" spans="1:14" x14ac:dyDescent="0.35">
      <c r="A646">
        <v>745</v>
      </c>
      <c r="B646" t="s">
        <v>15</v>
      </c>
      <c r="C646" s="6">
        <v>45215</v>
      </c>
      <c r="D646">
        <f>YEAR(Table1[[#This Row],[Join Date]])</f>
        <v>2023</v>
      </c>
      <c r="E646" s="6" t="s">
        <v>48</v>
      </c>
      <c r="F646" t="str">
        <f>IFERROR(YEAR(Table1[[#This Row],[Exit Date]]), " ")</f>
        <v xml:space="preserve"> </v>
      </c>
      <c r="G646" t="str">
        <f>IFERROR((Table1[[#This Row],[Exit Year]]-Table1[[#This Row],[Join Year]])+1," ")</f>
        <v xml:space="preserve"> </v>
      </c>
      <c r="H646" t="s">
        <v>48</v>
      </c>
      <c r="I646" t="s">
        <v>11</v>
      </c>
      <c r="J646" t="s">
        <v>12</v>
      </c>
      <c r="K646">
        <v>46</v>
      </c>
      <c r="L646" t="str">
        <f>IF(Table1[[#This Row],[Age]]&lt;30,"20-29",
IF(Table1[[#This Row],[Age]]&lt;40,"30-39",
IF(Table1[[#This Row],[Age]]&lt;50,"40-49",
IF(Table1[[#This Row],[Age]]&lt;60,"50-59","60+"))))</f>
        <v>40-49</v>
      </c>
      <c r="M646" t="s">
        <v>13</v>
      </c>
      <c r="N646" t="s">
        <v>37</v>
      </c>
    </row>
    <row r="647" spans="1:14" x14ac:dyDescent="0.35">
      <c r="A647">
        <v>746</v>
      </c>
      <c r="B647" t="s">
        <v>15</v>
      </c>
      <c r="C647" s="6">
        <v>43624</v>
      </c>
      <c r="D647">
        <f>YEAR(Table1[[#This Row],[Join Date]])</f>
        <v>2019</v>
      </c>
      <c r="E647" s="6">
        <v>44228</v>
      </c>
      <c r="F647">
        <f>IFERROR(YEAR(Table1[[#This Row],[Exit Date]]), " ")</f>
        <v>2021</v>
      </c>
      <c r="G647">
        <f>IFERROR((Table1[[#This Row],[Exit Year]]-Table1[[#This Row],[Join Year]])+1," ")</f>
        <v>3</v>
      </c>
      <c r="H647" t="s">
        <v>41</v>
      </c>
      <c r="I647" t="s">
        <v>23</v>
      </c>
      <c r="J647" t="s">
        <v>12</v>
      </c>
      <c r="K647">
        <v>24</v>
      </c>
      <c r="L647" t="str">
        <f>IF(Table1[[#This Row],[Age]]&lt;30,"20-29",
IF(Table1[[#This Row],[Age]]&lt;40,"30-39",
IF(Table1[[#This Row],[Age]]&lt;50,"40-49",
IF(Table1[[#This Row],[Age]]&lt;60,"50-59","60+"))))</f>
        <v>20-29</v>
      </c>
      <c r="M647" t="s">
        <v>13</v>
      </c>
      <c r="N647" t="s">
        <v>25</v>
      </c>
    </row>
    <row r="648" spans="1:14" x14ac:dyDescent="0.35">
      <c r="A648">
        <v>747</v>
      </c>
      <c r="B648" t="s">
        <v>15</v>
      </c>
      <c r="C648" s="6">
        <v>44514</v>
      </c>
      <c r="D648">
        <f>YEAR(Table1[[#This Row],[Join Date]])</f>
        <v>2021</v>
      </c>
      <c r="E648" s="6">
        <v>45529</v>
      </c>
      <c r="F648">
        <f>IFERROR(YEAR(Table1[[#This Row],[Exit Date]]), " ")</f>
        <v>2024</v>
      </c>
      <c r="G648">
        <f>IFERROR((Table1[[#This Row],[Exit Year]]-Table1[[#This Row],[Join Year]])+1," ")</f>
        <v>4</v>
      </c>
      <c r="H648" t="s">
        <v>41</v>
      </c>
      <c r="I648" t="s">
        <v>23</v>
      </c>
      <c r="J648" t="s">
        <v>18</v>
      </c>
      <c r="K648">
        <v>38</v>
      </c>
      <c r="L648" t="str">
        <f>IF(Table1[[#This Row],[Age]]&lt;30,"20-29",
IF(Table1[[#This Row],[Age]]&lt;40,"30-39",
IF(Table1[[#This Row],[Age]]&lt;50,"40-49",
IF(Table1[[#This Row],[Age]]&lt;60,"50-59","60+"))))</f>
        <v>30-39</v>
      </c>
      <c r="M648" t="s">
        <v>16</v>
      </c>
      <c r="N648" t="s">
        <v>35</v>
      </c>
    </row>
    <row r="649" spans="1:14" x14ac:dyDescent="0.35">
      <c r="A649">
        <v>748</v>
      </c>
      <c r="B649" t="s">
        <v>29</v>
      </c>
      <c r="C649" s="6">
        <v>43700</v>
      </c>
      <c r="D649">
        <f>YEAR(Table1[[#This Row],[Join Date]])</f>
        <v>2019</v>
      </c>
      <c r="E649" s="6" t="s">
        <v>48</v>
      </c>
      <c r="F649" t="str">
        <f>IFERROR(YEAR(Table1[[#This Row],[Exit Date]]), " ")</f>
        <v xml:space="preserve"> </v>
      </c>
      <c r="G649" t="str">
        <f>IFERROR((Table1[[#This Row],[Exit Year]]-Table1[[#This Row],[Join Year]])+1," ")</f>
        <v xml:space="preserve"> </v>
      </c>
      <c r="H649" t="s">
        <v>48</v>
      </c>
      <c r="I649" t="s">
        <v>11</v>
      </c>
      <c r="J649" t="s">
        <v>18</v>
      </c>
      <c r="K649">
        <v>49</v>
      </c>
      <c r="L649" t="str">
        <f>IF(Table1[[#This Row],[Age]]&lt;30,"20-29",
IF(Table1[[#This Row],[Age]]&lt;40,"30-39",
IF(Table1[[#This Row],[Age]]&lt;50,"40-49",
IF(Table1[[#This Row],[Age]]&lt;60,"50-59","60+"))))</f>
        <v>40-49</v>
      </c>
      <c r="M649" t="s">
        <v>13</v>
      </c>
      <c r="N649" t="s">
        <v>14</v>
      </c>
    </row>
    <row r="650" spans="1:14" x14ac:dyDescent="0.35">
      <c r="A650">
        <v>749</v>
      </c>
      <c r="B650" t="s">
        <v>34</v>
      </c>
      <c r="C650" s="6">
        <v>45540</v>
      </c>
      <c r="D650">
        <f>YEAR(Table1[[#This Row],[Join Date]])</f>
        <v>2024</v>
      </c>
      <c r="E650" s="6" t="s">
        <v>48</v>
      </c>
      <c r="F650" t="str">
        <f>IFERROR(YEAR(Table1[[#This Row],[Exit Date]]), " ")</f>
        <v xml:space="preserve"> </v>
      </c>
      <c r="G650" t="str">
        <f>IFERROR((Table1[[#This Row],[Exit Year]]-Table1[[#This Row],[Join Year]])+1," ")</f>
        <v xml:space="preserve"> </v>
      </c>
      <c r="H650" t="s">
        <v>48</v>
      </c>
      <c r="I650" t="s">
        <v>11</v>
      </c>
      <c r="J650" t="s">
        <v>12</v>
      </c>
      <c r="K650">
        <v>31</v>
      </c>
      <c r="L650" t="str">
        <f>IF(Table1[[#This Row],[Age]]&lt;30,"20-29",
IF(Table1[[#This Row],[Age]]&lt;40,"30-39",
IF(Table1[[#This Row],[Age]]&lt;50,"40-49",
IF(Table1[[#This Row],[Age]]&lt;60,"50-59","60+"))))</f>
        <v>30-39</v>
      </c>
      <c r="M650" t="s">
        <v>20</v>
      </c>
      <c r="N650" t="s">
        <v>17</v>
      </c>
    </row>
    <row r="651" spans="1:14" x14ac:dyDescent="0.35">
      <c r="A651">
        <v>750</v>
      </c>
      <c r="B651" t="s">
        <v>10</v>
      </c>
      <c r="C651" s="6">
        <v>43297</v>
      </c>
      <c r="D651">
        <f>YEAR(Table1[[#This Row],[Join Date]])</f>
        <v>2018</v>
      </c>
      <c r="E651" s="6">
        <v>44682</v>
      </c>
      <c r="F651">
        <f>IFERROR(YEAR(Table1[[#This Row],[Exit Date]]), " ")</f>
        <v>2022</v>
      </c>
      <c r="G651">
        <f>IFERROR((Table1[[#This Row],[Exit Year]]-Table1[[#This Row],[Join Year]])+1," ")</f>
        <v>5</v>
      </c>
      <c r="H651" t="s">
        <v>40</v>
      </c>
      <c r="I651" t="s">
        <v>23</v>
      </c>
      <c r="J651" t="s">
        <v>18</v>
      </c>
      <c r="K651">
        <v>51</v>
      </c>
      <c r="L651" t="str">
        <f>IF(Table1[[#This Row],[Age]]&lt;30,"20-29",
IF(Table1[[#This Row],[Age]]&lt;40,"30-39",
IF(Table1[[#This Row],[Age]]&lt;50,"40-49",
IF(Table1[[#This Row],[Age]]&lt;60,"50-59","60+"))))</f>
        <v>50-59</v>
      </c>
      <c r="M651" t="s">
        <v>39</v>
      </c>
      <c r="N651" t="s">
        <v>19</v>
      </c>
    </row>
    <row r="652" spans="1:14" x14ac:dyDescent="0.35">
      <c r="A652">
        <v>751</v>
      </c>
      <c r="B652" t="s">
        <v>10</v>
      </c>
      <c r="C652" s="6">
        <v>43407</v>
      </c>
      <c r="D652">
        <f>YEAR(Table1[[#This Row],[Join Date]])</f>
        <v>2018</v>
      </c>
      <c r="E652" s="6" t="s">
        <v>48</v>
      </c>
      <c r="F652" t="str">
        <f>IFERROR(YEAR(Table1[[#This Row],[Exit Date]]), " ")</f>
        <v xml:space="preserve"> </v>
      </c>
      <c r="G652" t="str">
        <f>IFERROR((Table1[[#This Row],[Exit Year]]-Table1[[#This Row],[Join Year]])+1," ")</f>
        <v xml:space="preserve"> </v>
      </c>
      <c r="H652" t="s">
        <v>48</v>
      </c>
      <c r="I652" t="s">
        <v>11</v>
      </c>
      <c r="J652" t="s">
        <v>12</v>
      </c>
      <c r="K652">
        <v>27</v>
      </c>
      <c r="L652" t="str">
        <f>IF(Table1[[#This Row],[Age]]&lt;30,"20-29",
IF(Table1[[#This Row],[Age]]&lt;40,"30-39",
IF(Table1[[#This Row],[Age]]&lt;50,"40-49",
IF(Table1[[#This Row],[Age]]&lt;60,"50-59","60+"))))</f>
        <v>20-29</v>
      </c>
      <c r="M652" t="s">
        <v>13</v>
      </c>
      <c r="N652" t="s">
        <v>21</v>
      </c>
    </row>
    <row r="653" spans="1:14" x14ac:dyDescent="0.35">
      <c r="A653">
        <v>752</v>
      </c>
      <c r="B653" t="s">
        <v>15</v>
      </c>
      <c r="C653" s="6">
        <v>44121</v>
      </c>
      <c r="D653">
        <f>YEAR(Table1[[#This Row],[Join Date]])</f>
        <v>2020</v>
      </c>
      <c r="E653" s="6" t="s">
        <v>48</v>
      </c>
      <c r="F653" t="str">
        <f>IFERROR(YEAR(Table1[[#This Row],[Exit Date]]), " ")</f>
        <v xml:space="preserve"> </v>
      </c>
      <c r="G653" t="str">
        <f>IFERROR((Table1[[#This Row],[Exit Year]]-Table1[[#This Row],[Join Year]])+1," ")</f>
        <v xml:space="preserve"> </v>
      </c>
      <c r="H653" t="s">
        <v>48</v>
      </c>
      <c r="I653" t="s">
        <v>11</v>
      </c>
      <c r="J653" t="s">
        <v>12</v>
      </c>
      <c r="K653">
        <v>22</v>
      </c>
      <c r="L653" t="str">
        <f>IF(Table1[[#This Row],[Age]]&lt;30,"20-29",
IF(Table1[[#This Row],[Age]]&lt;40,"30-39",
IF(Table1[[#This Row],[Age]]&lt;50,"40-49",
IF(Table1[[#This Row],[Age]]&lt;60,"50-59","60+"))))</f>
        <v>20-29</v>
      </c>
      <c r="M653" t="s">
        <v>16</v>
      </c>
      <c r="N653" t="s">
        <v>25</v>
      </c>
    </row>
    <row r="654" spans="1:14" x14ac:dyDescent="0.35">
      <c r="A654">
        <v>753</v>
      </c>
      <c r="B654" t="s">
        <v>15</v>
      </c>
      <c r="C654" s="6">
        <v>44423</v>
      </c>
      <c r="D654">
        <f>YEAR(Table1[[#This Row],[Join Date]])</f>
        <v>2021</v>
      </c>
      <c r="E654" s="6" t="s">
        <v>48</v>
      </c>
      <c r="F654" t="str">
        <f>IFERROR(YEAR(Table1[[#This Row],[Exit Date]]), " ")</f>
        <v xml:space="preserve"> </v>
      </c>
      <c r="G654" t="str">
        <f>IFERROR((Table1[[#This Row],[Exit Year]]-Table1[[#This Row],[Join Year]])+1," ")</f>
        <v xml:space="preserve"> </v>
      </c>
      <c r="H654" t="s">
        <v>48</v>
      </c>
      <c r="I654" t="s">
        <v>11</v>
      </c>
      <c r="J654" t="s">
        <v>12</v>
      </c>
      <c r="K654">
        <v>50</v>
      </c>
      <c r="L654" t="str">
        <f>IF(Table1[[#This Row],[Age]]&lt;30,"20-29",
IF(Table1[[#This Row],[Age]]&lt;40,"30-39",
IF(Table1[[#This Row],[Age]]&lt;50,"40-49",
IF(Table1[[#This Row],[Age]]&lt;60,"50-59","60+"))))</f>
        <v>50-59</v>
      </c>
      <c r="M654" t="s">
        <v>16</v>
      </c>
      <c r="N654" t="s">
        <v>28</v>
      </c>
    </row>
    <row r="655" spans="1:14" x14ac:dyDescent="0.35">
      <c r="A655">
        <v>754</v>
      </c>
      <c r="B655" t="s">
        <v>15</v>
      </c>
      <c r="C655" s="6">
        <v>45087</v>
      </c>
      <c r="D655">
        <f>YEAR(Table1[[#This Row],[Join Date]])</f>
        <v>2023</v>
      </c>
      <c r="E655" s="6" t="s">
        <v>48</v>
      </c>
      <c r="F655" t="str">
        <f>IFERROR(YEAR(Table1[[#This Row],[Exit Date]]), " ")</f>
        <v xml:space="preserve"> </v>
      </c>
      <c r="G655" t="str">
        <f>IFERROR((Table1[[#This Row],[Exit Year]]-Table1[[#This Row],[Join Year]])+1," ")</f>
        <v xml:space="preserve"> </v>
      </c>
      <c r="H655" t="s">
        <v>48</v>
      </c>
      <c r="I655" t="s">
        <v>11</v>
      </c>
      <c r="J655" t="s">
        <v>18</v>
      </c>
      <c r="K655">
        <v>24</v>
      </c>
      <c r="L655" t="str">
        <f>IF(Table1[[#This Row],[Age]]&lt;30,"20-29",
IF(Table1[[#This Row],[Age]]&lt;40,"30-39",
IF(Table1[[#This Row],[Age]]&lt;50,"40-49",
IF(Table1[[#This Row],[Age]]&lt;60,"50-59","60+"))))</f>
        <v>20-29</v>
      </c>
      <c r="M655" t="s">
        <v>20</v>
      </c>
      <c r="N655" t="s">
        <v>31</v>
      </c>
    </row>
    <row r="656" spans="1:14" x14ac:dyDescent="0.35">
      <c r="A656">
        <v>755</v>
      </c>
      <c r="B656" t="s">
        <v>15</v>
      </c>
      <c r="C656" s="6">
        <v>43479</v>
      </c>
      <c r="D656">
        <f>YEAR(Table1[[#This Row],[Join Date]])</f>
        <v>2019</v>
      </c>
      <c r="E656" s="6">
        <v>44449</v>
      </c>
      <c r="F656">
        <f>IFERROR(YEAR(Table1[[#This Row],[Exit Date]]), " ")</f>
        <v>2021</v>
      </c>
      <c r="G656">
        <f>IFERROR((Table1[[#This Row],[Exit Year]]-Table1[[#This Row],[Join Year]])+1," ")</f>
        <v>3</v>
      </c>
      <c r="H656" t="s">
        <v>46</v>
      </c>
      <c r="I656" t="s">
        <v>23</v>
      </c>
      <c r="J656" t="s">
        <v>12</v>
      </c>
      <c r="K656">
        <v>50</v>
      </c>
      <c r="L656" t="str">
        <f>IF(Table1[[#This Row],[Age]]&lt;30,"20-29",
IF(Table1[[#This Row],[Age]]&lt;40,"30-39",
IF(Table1[[#This Row],[Age]]&lt;50,"40-49",
IF(Table1[[#This Row],[Age]]&lt;60,"50-59","60+"))))</f>
        <v>50-59</v>
      </c>
      <c r="M656" t="s">
        <v>24</v>
      </c>
      <c r="N656" t="s">
        <v>32</v>
      </c>
    </row>
    <row r="657" spans="1:14" x14ac:dyDescent="0.35">
      <c r="A657">
        <v>756</v>
      </c>
      <c r="B657" t="s">
        <v>26</v>
      </c>
      <c r="C657" s="6">
        <v>44749</v>
      </c>
      <c r="D657">
        <f>YEAR(Table1[[#This Row],[Join Date]])</f>
        <v>2022</v>
      </c>
      <c r="E657" s="6">
        <v>44972</v>
      </c>
      <c r="F657">
        <f>IFERROR(YEAR(Table1[[#This Row],[Exit Date]]), " ")</f>
        <v>2023</v>
      </c>
      <c r="G657">
        <f>IFERROR((Table1[[#This Row],[Exit Year]]-Table1[[#This Row],[Join Year]])+1," ")</f>
        <v>2</v>
      </c>
      <c r="H657" t="s">
        <v>46</v>
      </c>
      <c r="I657" t="s">
        <v>23</v>
      </c>
      <c r="J657" t="s">
        <v>18</v>
      </c>
      <c r="K657">
        <v>28</v>
      </c>
      <c r="L657" t="str">
        <f>IF(Table1[[#This Row],[Age]]&lt;30,"20-29",
IF(Table1[[#This Row],[Age]]&lt;40,"30-39",
IF(Table1[[#This Row],[Age]]&lt;50,"40-49",
IF(Table1[[#This Row],[Age]]&lt;60,"50-59","60+"))))</f>
        <v>20-29</v>
      </c>
      <c r="M657" t="s">
        <v>13</v>
      </c>
      <c r="N657" t="s">
        <v>33</v>
      </c>
    </row>
    <row r="658" spans="1:14" x14ac:dyDescent="0.35">
      <c r="A658">
        <v>757</v>
      </c>
      <c r="B658" t="s">
        <v>29</v>
      </c>
      <c r="C658" s="6">
        <v>45457</v>
      </c>
      <c r="D658">
        <f>YEAR(Table1[[#This Row],[Join Date]])</f>
        <v>2024</v>
      </c>
      <c r="E658" s="6" t="s">
        <v>48</v>
      </c>
      <c r="F658" t="str">
        <f>IFERROR(YEAR(Table1[[#This Row],[Exit Date]]), " ")</f>
        <v xml:space="preserve"> </v>
      </c>
      <c r="G658" t="str">
        <f>IFERROR((Table1[[#This Row],[Exit Year]]-Table1[[#This Row],[Join Year]])+1," ")</f>
        <v xml:space="preserve"> </v>
      </c>
      <c r="H658" t="s">
        <v>48</v>
      </c>
      <c r="I658" t="s">
        <v>11</v>
      </c>
      <c r="J658" t="s">
        <v>12</v>
      </c>
      <c r="K658">
        <v>40</v>
      </c>
      <c r="L658" t="str">
        <f>IF(Table1[[#This Row],[Age]]&lt;30,"20-29",
IF(Table1[[#This Row],[Age]]&lt;40,"30-39",
IF(Table1[[#This Row],[Age]]&lt;50,"40-49",
IF(Table1[[#This Row],[Age]]&lt;60,"50-59","60+"))))</f>
        <v>40-49</v>
      </c>
      <c r="M658" t="s">
        <v>30</v>
      </c>
      <c r="N658" t="s">
        <v>35</v>
      </c>
    </row>
    <row r="659" spans="1:14" x14ac:dyDescent="0.35">
      <c r="A659">
        <v>758</v>
      </c>
      <c r="B659" t="s">
        <v>10</v>
      </c>
      <c r="C659" s="6">
        <v>43304</v>
      </c>
      <c r="D659">
        <f>YEAR(Table1[[#This Row],[Join Date]])</f>
        <v>2018</v>
      </c>
      <c r="E659" s="6" t="s">
        <v>48</v>
      </c>
      <c r="F659" t="str">
        <f>IFERROR(YEAR(Table1[[#This Row],[Exit Date]]), " ")</f>
        <v xml:space="preserve"> </v>
      </c>
      <c r="G659" t="str">
        <f>IFERROR((Table1[[#This Row],[Exit Year]]-Table1[[#This Row],[Join Year]])+1," ")</f>
        <v xml:space="preserve"> </v>
      </c>
      <c r="H659" t="s">
        <v>48</v>
      </c>
      <c r="I659" t="s">
        <v>11</v>
      </c>
      <c r="J659" t="s">
        <v>18</v>
      </c>
      <c r="K659">
        <v>32</v>
      </c>
      <c r="L659" t="str">
        <f>IF(Table1[[#This Row],[Age]]&lt;30,"20-29",
IF(Table1[[#This Row],[Age]]&lt;40,"30-39",
IF(Table1[[#This Row],[Age]]&lt;50,"40-49",
IF(Table1[[#This Row],[Age]]&lt;60,"50-59","60+"))))</f>
        <v>30-39</v>
      </c>
      <c r="M659" t="s">
        <v>13</v>
      </c>
      <c r="N659" t="s">
        <v>37</v>
      </c>
    </row>
    <row r="660" spans="1:14" x14ac:dyDescent="0.35">
      <c r="A660">
        <v>759</v>
      </c>
      <c r="B660" t="s">
        <v>15</v>
      </c>
      <c r="C660" s="6">
        <v>44987</v>
      </c>
      <c r="D660">
        <f>YEAR(Table1[[#This Row],[Join Date]])</f>
        <v>2023</v>
      </c>
      <c r="E660" s="6" t="s">
        <v>48</v>
      </c>
      <c r="F660" t="str">
        <f>IFERROR(YEAR(Table1[[#This Row],[Exit Date]]), " ")</f>
        <v xml:space="preserve"> </v>
      </c>
      <c r="G660" t="str">
        <f>IFERROR((Table1[[#This Row],[Exit Year]]-Table1[[#This Row],[Join Year]])+1," ")</f>
        <v xml:space="preserve"> </v>
      </c>
      <c r="H660" t="s">
        <v>48</v>
      </c>
      <c r="I660" t="s">
        <v>11</v>
      </c>
      <c r="J660" t="s">
        <v>18</v>
      </c>
      <c r="K660">
        <v>50</v>
      </c>
      <c r="L660" t="str">
        <f>IF(Table1[[#This Row],[Age]]&lt;30,"20-29",
IF(Table1[[#This Row],[Age]]&lt;40,"30-39",
IF(Table1[[#This Row],[Age]]&lt;50,"40-49",
IF(Table1[[#This Row],[Age]]&lt;60,"50-59","60+"))))</f>
        <v>50-59</v>
      </c>
      <c r="M660" t="s">
        <v>13</v>
      </c>
      <c r="N660" t="s">
        <v>19</v>
      </c>
    </row>
    <row r="661" spans="1:14" x14ac:dyDescent="0.35">
      <c r="A661">
        <v>760</v>
      </c>
      <c r="B661" t="s">
        <v>34</v>
      </c>
      <c r="C661" s="6">
        <v>45326</v>
      </c>
      <c r="D661">
        <f>YEAR(Table1[[#This Row],[Join Date]])</f>
        <v>2024</v>
      </c>
      <c r="E661" s="6" t="s">
        <v>48</v>
      </c>
      <c r="F661" t="str">
        <f>IFERROR(YEAR(Table1[[#This Row],[Exit Date]]), " ")</f>
        <v xml:space="preserve"> </v>
      </c>
      <c r="G661" t="str">
        <f>IFERROR((Table1[[#This Row],[Exit Year]]-Table1[[#This Row],[Join Year]])+1," ")</f>
        <v xml:space="preserve"> </v>
      </c>
      <c r="H661" t="s">
        <v>48</v>
      </c>
      <c r="I661" t="s">
        <v>11</v>
      </c>
      <c r="J661" t="s">
        <v>12</v>
      </c>
      <c r="K661">
        <v>24</v>
      </c>
      <c r="L661" t="str">
        <f>IF(Table1[[#This Row],[Age]]&lt;30,"20-29",
IF(Table1[[#This Row],[Age]]&lt;40,"30-39",
IF(Table1[[#This Row],[Age]]&lt;50,"40-49",
IF(Table1[[#This Row],[Age]]&lt;60,"50-59","60+"))))</f>
        <v>20-29</v>
      </c>
      <c r="M661" t="s">
        <v>16</v>
      </c>
      <c r="N661" t="s">
        <v>25</v>
      </c>
    </row>
    <row r="662" spans="1:14" x14ac:dyDescent="0.35">
      <c r="A662">
        <v>761</v>
      </c>
      <c r="B662" t="s">
        <v>36</v>
      </c>
      <c r="C662" s="6">
        <v>45474</v>
      </c>
      <c r="D662">
        <f>YEAR(Table1[[#This Row],[Join Date]])</f>
        <v>2024</v>
      </c>
      <c r="E662" s="6" t="s">
        <v>48</v>
      </c>
      <c r="F662" t="str">
        <f>IFERROR(YEAR(Table1[[#This Row],[Exit Date]]), " ")</f>
        <v xml:space="preserve"> </v>
      </c>
      <c r="G662" t="str">
        <f>IFERROR((Table1[[#This Row],[Exit Year]]-Table1[[#This Row],[Join Year]])+1," ")</f>
        <v xml:space="preserve"> </v>
      </c>
      <c r="H662" t="s">
        <v>48</v>
      </c>
      <c r="I662" t="s">
        <v>11</v>
      </c>
      <c r="J662" t="s">
        <v>18</v>
      </c>
      <c r="K662">
        <v>36</v>
      </c>
      <c r="L662" t="str">
        <f>IF(Table1[[#This Row],[Age]]&lt;30,"20-29",
IF(Table1[[#This Row],[Age]]&lt;40,"30-39",
IF(Table1[[#This Row],[Age]]&lt;50,"40-49",
IF(Table1[[#This Row],[Age]]&lt;60,"50-59","60+"))))</f>
        <v>30-39</v>
      </c>
      <c r="M662" t="s">
        <v>13</v>
      </c>
      <c r="N662" t="s">
        <v>35</v>
      </c>
    </row>
    <row r="663" spans="1:14" x14ac:dyDescent="0.35">
      <c r="A663">
        <v>762</v>
      </c>
      <c r="B663" t="s">
        <v>29</v>
      </c>
      <c r="C663" s="6">
        <v>44227</v>
      </c>
      <c r="D663">
        <f>YEAR(Table1[[#This Row],[Join Date]])</f>
        <v>2021</v>
      </c>
      <c r="E663" s="6">
        <v>45322</v>
      </c>
      <c r="F663">
        <f>IFERROR(YEAR(Table1[[#This Row],[Exit Date]]), " ")</f>
        <v>2024</v>
      </c>
      <c r="G663">
        <f>IFERROR((Table1[[#This Row],[Exit Year]]-Table1[[#This Row],[Join Year]])+1," ")</f>
        <v>4</v>
      </c>
      <c r="H663" t="s">
        <v>46</v>
      </c>
      <c r="I663" t="s">
        <v>23</v>
      </c>
      <c r="J663" t="s">
        <v>18</v>
      </c>
      <c r="K663">
        <v>49</v>
      </c>
      <c r="L663" t="str">
        <f>IF(Table1[[#This Row],[Age]]&lt;30,"20-29",
IF(Table1[[#This Row],[Age]]&lt;40,"30-39",
IF(Table1[[#This Row],[Age]]&lt;50,"40-49",
IF(Table1[[#This Row],[Age]]&lt;60,"50-59","60+"))))</f>
        <v>40-49</v>
      </c>
      <c r="M663" t="s">
        <v>20</v>
      </c>
      <c r="N663" t="s">
        <v>17</v>
      </c>
    </row>
    <row r="664" spans="1:14" x14ac:dyDescent="0.35">
      <c r="A664">
        <v>763</v>
      </c>
      <c r="B664" t="s">
        <v>10</v>
      </c>
      <c r="C664" s="6">
        <v>43446</v>
      </c>
      <c r="D664">
        <f>YEAR(Table1[[#This Row],[Join Date]])</f>
        <v>2018</v>
      </c>
      <c r="E664" s="6">
        <v>43936</v>
      </c>
      <c r="F664">
        <f>IFERROR(YEAR(Table1[[#This Row],[Exit Date]]), " ")</f>
        <v>2020</v>
      </c>
      <c r="G664">
        <f>IFERROR((Table1[[#This Row],[Exit Year]]-Table1[[#This Row],[Join Year]])+1," ")</f>
        <v>3</v>
      </c>
      <c r="H664" t="s">
        <v>38</v>
      </c>
      <c r="I664" t="s">
        <v>23</v>
      </c>
      <c r="J664" t="s">
        <v>12</v>
      </c>
      <c r="K664">
        <v>43</v>
      </c>
      <c r="L664" t="str">
        <f>IF(Table1[[#This Row],[Age]]&lt;30,"20-29",
IF(Table1[[#This Row],[Age]]&lt;40,"30-39",
IF(Table1[[#This Row],[Age]]&lt;50,"40-49",
IF(Table1[[#This Row],[Age]]&lt;60,"50-59","60+"))))</f>
        <v>40-49</v>
      </c>
      <c r="M664" t="s">
        <v>39</v>
      </c>
      <c r="N664" t="s">
        <v>19</v>
      </c>
    </row>
    <row r="665" spans="1:14" x14ac:dyDescent="0.35">
      <c r="A665">
        <v>764</v>
      </c>
      <c r="B665" t="s">
        <v>15</v>
      </c>
      <c r="C665" s="6">
        <v>45314</v>
      </c>
      <c r="D665">
        <f>YEAR(Table1[[#This Row],[Join Date]])</f>
        <v>2024</v>
      </c>
      <c r="E665" s="6" t="s">
        <v>48</v>
      </c>
      <c r="F665" t="str">
        <f>IFERROR(YEAR(Table1[[#This Row],[Exit Date]]), " ")</f>
        <v xml:space="preserve"> </v>
      </c>
      <c r="G665" t="str">
        <f>IFERROR((Table1[[#This Row],[Exit Year]]-Table1[[#This Row],[Join Year]])+1," ")</f>
        <v xml:space="preserve"> </v>
      </c>
      <c r="H665" t="s">
        <v>48</v>
      </c>
      <c r="I665" t="s">
        <v>11</v>
      </c>
      <c r="J665" t="s">
        <v>18</v>
      </c>
      <c r="K665">
        <v>40</v>
      </c>
      <c r="L665" t="str">
        <f>IF(Table1[[#This Row],[Age]]&lt;30,"20-29",
IF(Table1[[#This Row],[Age]]&lt;40,"30-39",
IF(Table1[[#This Row],[Age]]&lt;50,"40-49",
IF(Table1[[#This Row],[Age]]&lt;60,"50-59","60+"))))</f>
        <v>40-49</v>
      </c>
      <c r="M665" t="s">
        <v>13</v>
      </c>
      <c r="N665" t="s">
        <v>21</v>
      </c>
    </row>
    <row r="666" spans="1:14" x14ac:dyDescent="0.35">
      <c r="A666">
        <v>765</v>
      </c>
      <c r="B666" t="s">
        <v>15</v>
      </c>
      <c r="C666" s="6">
        <v>43123</v>
      </c>
      <c r="D666">
        <f>YEAR(Table1[[#This Row],[Join Date]])</f>
        <v>2018</v>
      </c>
      <c r="E666" s="6" t="s">
        <v>48</v>
      </c>
      <c r="F666" t="str">
        <f>IFERROR(YEAR(Table1[[#This Row],[Exit Date]]), " ")</f>
        <v xml:space="preserve"> </v>
      </c>
      <c r="G666" t="str">
        <f>IFERROR((Table1[[#This Row],[Exit Year]]-Table1[[#This Row],[Join Year]])+1," ")</f>
        <v xml:space="preserve"> </v>
      </c>
      <c r="H666" t="s">
        <v>48</v>
      </c>
      <c r="I666" t="s">
        <v>11</v>
      </c>
      <c r="J666" t="s">
        <v>18</v>
      </c>
      <c r="K666">
        <v>42</v>
      </c>
      <c r="L666" t="str">
        <f>IF(Table1[[#This Row],[Age]]&lt;30,"20-29",
IF(Table1[[#This Row],[Age]]&lt;40,"30-39",
IF(Table1[[#This Row],[Age]]&lt;50,"40-49",
IF(Table1[[#This Row],[Age]]&lt;60,"50-59","60+"))))</f>
        <v>40-49</v>
      </c>
      <c r="M666" t="s">
        <v>16</v>
      </c>
      <c r="N666" t="s">
        <v>25</v>
      </c>
    </row>
    <row r="667" spans="1:14" x14ac:dyDescent="0.35">
      <c r="A667">
        <v>766</v>
      </c>
      <c r="B667" t="s">
        <v>10</v>
      </c>
      <c r="C667" s="6">
        <v>43717</v>
      </c>
      <c r="D667">
        <f>YEAR(Table1[[#This Row],[Join Date]])</f>
        <v>2019</v>
      </c>
      <c r="E667" s="6">
        <v>44677</v>
      </c>
      <c r="F667">
        <f>IFERROR(YEAR(Table1[[#This Row],[Exit Date]]), " ")</f>
        <v>2022</v>
      </c>
      <c r="G667">
        <f>IFERROR((Table1[[#This Row],[Exit Year]]-Table1[[#This Row],[Join Year]])+1," ")</f>
        <v>4</v>
      </c>
      <c r="H667" t="s">
        <v>40</v>
      </c>
      <c r="I667" t="s">
        <v>23</v>
      </c>
      <c r="J667" t="s">
        <v>12</v>
      </c>
      <c r="K667">
        <v>35</v>
      </c>
      <c r="L667" t="str">
        <f>IF(Table1[[#This Row],[Age]]&lt;30,"20-29",
IF(Table1[[#This Row],[Age]]&lt;40,"30-39",
IF(Table1[[#This Row],[Age]]&lt;50,"40-49",
IF(Table1[[#This Row],[Age]]&lt;60,"50-59","60+"))))</f>
        <v>30-39</v>
      </c>
      <c r="M667" t="s">
        <v>16</v>
      </c>
      <c r="N667" t="s">
        <v>35</v>
      </c>
    </row>
    <row r="668" spans="1:14" x14ac:dyDescent="0.35">
      <c r="A668">
        <v>767</v>
      </c>
      <c r="B668" t="s">
        <v>29</v>
      </c>
      <c r="C668" s="6">
        <v>43534</v>
      </c>
      <c r="D668">
        <f>YEAR(Table1[[#This Row],[Join Date]])</f>
        <v>2019</v>
      </c>
      <c r="E668" s="6">
        <v>44117</v>
      </c>
      <c r="F668">
        <f>IFERROR(YEAR(Table1[[#This Row],[Exit Date]]), " ")</f>
        <v>2020</v>
      </c>
      <c r="G668">
        <f>IFERROR((Table1[[#This Row],[Exit Year]]-Table1[[#This Row],[Join Year]])+1," ")</f>
        <v>2</v>
      </c>
      <c r="H668" t="s">
        <v>38</v>
      </c>
      <c r="I668" t="s">
        <v>23</v>
      </c>
      <c r="J668" t="s">
        <v>18</v>
      </c>
      <c r="K668">
        <v>31</v>
      </c>
      <c r="L668" t="str">
        <f>IF(Table1[[#This Row],[Age]]&lt;30,"20-29",
IF(Table1[[#This Row],[Age]]&lt;40,"30-39",
IF(Table1[[#This Row],[Age]]&lt;50,"40-49",
IF(Table1[[#This Row],[Age]]&lt;60,"50-59","60+"))))</f>
        <v>30-39</v>
      </c>
      <c r="M668" t="s">
        <v>20</v>
      </c>
      <c r="N668" t="s">
        <v>14</v>
      </c>
    </row>
    <row r="669" spans="1:14" x14ac:dyDescent="0.35">
      <c r="A669">
        <v>768</v>
      </c>
      <c r="B669" t="s">
        <v>36</v>
      </c>
      <c r="C669" s="6">
        <v>44619</v>
      </c>
      <c r="D669">
        <f>YEAR(Table1[[#This Row],[Join Date]])</f>
        <v>2022</v>
      </c>
      <c r="E669" s="6" t="s">
        <v>48</v>
      </c>
      <c r="F669" t="str">
        <f>IFERROR(YEAR(Table1[[#This Row],[Exit Date]]), " ")</f>
        <v xml:space="preserve"> </v>
      </c>
      <c r="G669" t="str">
        <f>IFERROR((Table1[[#This Row],[Exit Year]]-Table1[[#This Row],[Join Year]])+1," ")</f>
        <v xml:space="preserve"> </v>
      </c>
      <c r="H669" t="s">
        <v>48</v>
      </c>
      <c r="I669" t="s">
        <v>11</v>
      </c>
      <c r="J669" t="s">
        <v>12</v>
      </c>
      <c r="K669">
        <v>51</v>
      </c>
      <c r="L669" t="str">
        <f>IF(Table1[[#This Row],[Age]]&lt;30,"20-29",
IF(Table1[[#This Row],[Age]]&lt;40,"30-39",
IF(Table1[[#This Row],[Age]]&lt;50,"40-49",
IF(Table1[[#This Row],[Age]]&lt;60,"50-59","60+"))))</f>
        <v>50-59</v>
      </c>
      <c r="M669" t="s">
        <v>24</v>
      </c>
      <c r="N669" t="s">
        <v>19</v>
      </c>
    </row>
    <row r="670" spans="1:14" x14ac:dyDescent="0.35">
      <c r="A670">
        <v>769</v>
      </c>
      <c r="B670" t="s">
        <v>10</v>
      </c>
      <c r="C670" s="6">
        <v>45485</v>
      </c>
      <c r="D670">
        <f>YEAR(Table1[[#This Row],[Join Date]])</f>
        <v>2024</v>
      </c>
      <c r="E670" s="6" t="s">
        <v>48</v>
      </c>
      <c r="F670" t="str">
        <f>IFERROR(YEAR(Table1[[#This Row],[Exit Date]]), " ")</f>
        <v xml:space="preserve"> </v>
      </c>
      <c r="G670" t="str">
        <f>IFERROR((Table1[[#This Row],[Exit Year]]-Table1[[#This Row],[Join Year]])+1," ")</f>
        <v xml:space="preserve"> </v>
      </c>
      <c r="H670" t="s">
        <v>48</v>
      </c>
      <c r="I670" t="s">
        <v>11</v>
      </c>
      <c r="J670" t="s">
        <v>12</v>
      </c>
      <c r="K670">
        <v>48</v>
      </c>
      <c r="L670" t="str">
        <f>IF(Table1[[#This Row],[Age]]&lt;30,"20-29",
IF(Table1[[#This Row],[Age]]&lt;40,"30-39",
IF(Table1[[#This Row],[Age]]&lt;50,"40-49",
IF(Table1[[#This Row],[Age]]&lt;60,"50-59","60+"))))</f>
        <v>40-49</v>
      </c>
      <c r="M670" t="s">
        <v>13</v>
      </c>
      <c r="N670" t="s">
        <v>21</v>
      </c>
    </row>
    <row r="671" spans="1:14" x14ac:dyDescent="0.35">
      <c r="A671">
        <v>770</v>
      </c>
      <c r="B671" t="s">
        <v>29</v>
      </c>
      <c r="C671" s="6">
        <v>43588</v>
      </c>
      <c r="D671">
        <f>YEAR(Table1[[#This Row],[Join Date]])</f>
        <v>2019</v>
      </c>
      <c r="E671" s="6">
        <v>44896</v>
      </c>
      <c r="F671">
        <f>IFERROR(YEAR(Table1[[#This Row],[Exit Date]]), " ")</f>
        <v>2022</v>
      </c>
      <c r="G671">
        <f>IFERROR((Table1[[#This Row],[Exit Year]]-Table1[[#This Row],[Join Year]])+1," ")</f>
        <v>4</v>
      </c>
      <c r="H671" t="s">
        <v>41</v>
      </c>
      <c r="I671" t="s">
        <v>23</v>
      </c>
      <c r="J671" t="s">
        <v>12</v>
      </c>
      <c r="K671">
        <v>41</v>
      </c>
      <c r="L671" t="str">
        <f>IF(Table1[[#This Row],[Age]]&lt;30,"20-29",
IF(Table1[[#This Row],[Age]]&lt;40,"30-39",
IF(Table1[[#This Row],[Age]]&lt;50,"40-49",
IF(Table1[[#This Row],[Age]]&lt;60,"50-59","60+"))))</f>
        <v>40-49</v>
      </c>
      <c r="M671" t="s">
        <v>42</v>
      </c>
      <c r="N671" t="s">
        <v>37</v>
      </c>
    </row>
    <row r="672" spans="1:14" x14ac:dyDescent="0.35">
      <c r="A672">
        <v>771</v>
      </c>
      <c r="B672" t="s">
        <v>36</v>
      </c>
      <c r="C672" s="6">
        <v>44250</v>
      </c>
      <c r="D672">
        <f>YEAR(Table1[[#This Row],[Join Date]])</f>
        <v>2021</v>
      </c>
      <c r="E672" s="6">
        <v>45392</v>
      </c>
      <c r="F672">
        <f>IFERROR(YEAR(Table1[[#This Row],[Exit Date]]), " ")</f>
        <v>2024</v>
      </c>
      <c r="G672">
        <f>IFERROR((Table1[[#This Row],[Exit Year]]-Table1[[#This Row],[Join Year]])+1," ")</f>
        <v>4</v>
      </c>
      <c r="H672" t="s">
        <v>46</v>
      </c>
      <c r="I672" t="s">
        <v>23</v>
      </c>
      <c r="J672" t="s">
        <v>18</v>
      </c>
      <c r="K672">
        <v>35</v>
      </c>
      <c r="L672" t="str">
        <f>IF(Table1[[#This Row],[Age]]&lt;30,"20-29",
IF(Table1[[#This Row],[Age]]&lt;40,"30-39",
IF(Table1[[#This Row],[Age]]&lt;50,"40-49",
IF(Table1[[#This Row],[Age]]&lt;60,"50-59","60+"))))</f>
        <v>30-39</v>
      </c>
      <c r="M672" t="s">
        <v>13</v>
      </c>
      <c r="N672" t="s">
        <v>25</v>
      </c>
    </row>
    <row r="673" spans="1:14" x14ac:dyDescent="0.35">
      <c r="A673">
        <v>772</v>
      </c>
      <c r="B673" t="s">
        <v>26</v>
      </c>
      <c r="C673" s="6">
        <v>45244</v>
      </c>
      <c r="D673">
        <f>YEAR(Table1[[#This Row],[Join Date]])</f>
        <v>2023</v>
      </c>
      <c r="E673" s="6">
        <v>45446</v>
      </c>
      <c r="F673">
        <f>IFERROR(YEAR(Table1[[#This Row],[Exit Date]]), " ")</f>
        <v>2024</v>
      </c>
      <c r="G673">
        <f>IFERROR((Table1[[#This Row],[Exit Year]]-Table1[[#This Row],[Join Year]])+1," ")</f>
        <v>2</v>
      </c>
      <c r="H673" t="s">
        <v>40</v>
      </c>
      <c r="I673" t="s">
        <v>23</v>
      </c>
      <c r="J673" t="s">
        <v>12</v>
      </c>
      <c r="K673">
        <v>24</v>
      </c>
      <c r="L673" t="str">
        <f>IF(Table1[[#This Row],[Age]]&lt;30,"20-29",
IF(Table1[[#This Row],[Age]]&lt;40,"30-39",
IF(Table1[[#This Row],[Age]]&lt;50,"40-49",
IF(Table1[[#This Row],[Age]]&lt;60,"50-59","60+"))))</f>
        <v>20-29</v>
      </c>
      <c r="M673" t="s">
        <v>13</v>
      </c>
      <c r="N673" t="s">
        <v>35</v>
      </c>
    </row>
    <row r="674" spans="1:14" x14ac:dyDescent="0.35">
      <c r="A674">
        <v>773</v>
      </c>
      <c r="B674" t="s">
        <v>15</v>
      </c>
      <c r="C674" s="6">
        <v>45256</v>
      </c>
      <c r="D674">
        <f>YEAR(Table1[[#This Row],[Join Date]])</f>
        <v>2023</v>
      </c>
      <c r="E674" s="6" t="s">
        <v>48</v>
      </c>
      <c r="F674" t="str">
        <f>IFERROR(YEAR(Table1[[#This Row],[Exit Date]]), " ")</f>
        <v xml:space="preserve"> </v>
      </c>
      <c r="G674" t="str">
        <f>IFERROR((Table1[[#This Row],[Exit Year]]-Table1[[#This Row],[Join Year]])+1," ")</f>
        <v xml:space="preserve"> </v>
      </c>
      <c r="H674" t="s">
        <v>48</v>
      </c>
      <c r="I674" t="s">
        <v>11</v>
      </c>
      <c r="J674" t="s">
        <v>18</v>
      </c>
      <c r="K674">
        <v>41</v>
      </c>
      <c r="L674" t="str">
        <f>IF(Table1[[#This Row],[Age]]&lt;30,"20-29",
IF(Table1[[#This Row],[Age]]&lt;40,"30-39",
IF(Table1[[#This Row],[Age]]&lt;50,"40-49",
IF(Table1[[#This Row],[Age]]&lt;60,"50-59","60+"))))</f>
        <v>40-49</v>
      </c>
      <c r="M674" t="s">
        <v>16</v>
      </c>
      <c r="N674" t="s">
        <v>17</v>
      </c>
    </row>
    <row r="675" spans="1:14" x14ac:dyDescent="0.35">
      <c r="A675">
        <v>774</v>
      </c>
      <c r="B675" t="s">
        <v>26</v>
      </c>
      <c r="C675" s="6">
        <v>45465</v>
      </c>
      <c r="D675">
        <f>YEAR(Table1[[#This Row],[Join Date]])</f>
        <v>2024</v>
      </c>
      <c r="E675" s="6" t="s">
        <v>48</v>
      </c>
      <c r="F675" t="str">
        <f>IFERROR(YEAR(Table1[[#This Row],[Exit Date]]), " ")</f>
        <v xml:space="preserve"> </v>
      </c>
      <c r="G675" t="str">
        <f>IFERROR((Table1[[#This Row],[Exit Year]]-Table1[[#This Row],[Join Year]])+1," ")</f>
        <v xml:space="preserve"> </v>
      </c>
      <c r="H675" t="s">
        <v>48</v>
      </c>
      <c r="I675" t="s">
        <v>11</v>
      </c>
      <c r="J675" t="s">
        <v>12</v>
      </c>
      <c r="K675">
        <v>40</v>
      </c>
      <c r="L675" t="str">
        <f>IF(Table1[[#This Row],[Age]]&lt;30,"20-29",
IF(Table1[[#This Row],[Age]]&lt;40,"30-39",
IF(Table1[[#This Row],[Age]]&lt;50,"40-49",
IF(Table1[[#This Row],[Age]]&lt;60,"50-59","60+"))))</f>
        <v>40-49</v>
      </c>
      <c r="M675" t="s">
        <v>13</v>
      </c>
      <c r="N675" t="s">
        <v>19</v>
      </c>
    </row>
    <row r="676" spans="1:14" x14ac:dyDescent="0.35">
      <c r="A676">
        <v>775</v>
      </c>
      <c r="B676" t="s">
        <v>10</v>
      </c>
      <c r="C676" s="6">
        <v>43597</v>
      </c>
      <c r="D676">
        <f>YEAR(Table1[[#This Row],[Join Date]])</f>
        <v>2019</v>
      </c>
      <c r="E676" s="6" t="s">
        <v>48</v>
      </c>
      <c r="F676" t="str">
        <f>IFERROR(YEAR(Table1[[#This Row],[Exit Date]]), " ")</f>
        <v xml:space="preserve"> </v>
      </c>
      <c r="G676" t="str">
        <f>IFERROR((Table1[[#This Row],[Exit Year]]-Table1[[#This Row],[Join Year]])+1," ")</f>
        <v xml:space="preserve"> </v>
      </c>
      <c r="H676" t="s">
        <v>48</v>
      </c>
      <c r="I676" t="s">
        <v>11</v>
      </c>
      <c r="J676" t="s">
        <v>18</v>
      </c>
      <c r="K676">
        <v>48</v>
      </c>
      <c r="L676" t="str">
        <f>IF(Table1[[#This Row],[Age]]&lt;30,"20-29",
IF(Table1[[#This Row],[Age]]&lt;40,"30-39",
IF(Table1[[#This Row],[Age]]&lt;50,"40-49",
IF(Table1[[#This Row],[Age]]&lt;60,"50-59","60+"))))</f>
        <v>40-49</v>
      </c>
      <c r="M676" t="s">
        <v>20</v>
      </c>
      <c r="N676" t="s">
        <v>21</v>
      </c>
    </row>
    <row r="677" spans="1:14" x14ac:dyDescent="0.35">
      <c r="A677">
        <v>776</v>
      </c>
      <c r="B677" t="s">
        <v>15</v>
      </c>
      <c r="C677" s="6">
        <v>44866</v>
      </c>
      <c r="D677">
        <f>YEAR(Table1[[#This Row],[Join Date]])</f>
        <v>2022</v>
      </c>
      <c r="E677" s="6" t="s">
        <v>48</v>
      </c>
      <c r="F677" t="str">
        <f>IFERROR(YEAR(Table1[[#This Row],[Exit Date]]), " ")</f>
        <v xml:space="preserve"> </v>
      </c>
      <c r="G677" t="str">
        <f>IFERROR((Table1[[#This Row],[Exit Year]]-Table1[[#This Row],[Join Year]])+1," ")</f>
        <v xml:space="preserve"> </v>
      </c>
      <c r="H677" t="s">
        <v>48</v>
      </c>
      <c r="I677" t="s">
        <v>11</v>
      </c>
      <c r="J677" t="s">
        <v>18</v>
      </c>
      <c r="K677">
        <v>52</v>
      </c>
      <c r="L677" t="str">
        <f>IF(Table1[[#This Row],[Age]]&lt;30,"20-29",
IF(Table1[[#This Row],[Age]]&lt;40,"30-39",
IF(Table1[[#This Row],[Age]]&lt;50,"40-49",
IF(Table1[[#This Row],[Age]]&lt;60,"50-59","60+"))))</f>
        <v>50-59</v>
      </c>
      <c r="M677" t="s">
        <v>39</v>
      </c>
      <c r="N677" t="s">
        <v>25</v>
      </c>
    </row>
    <row r="678" spans="1:14" x14ac:dyDescent="0.35">
      <c r="A678">
        <v>777</v>
      </c>
      <c r="B678" t="s">
        <v>34</v>
      </c>
      <c r="C678" s="6">
        <v>44006</v>
      </c>
      <c r="D678">
        <f>YEAR(Table1[[#This Row],[Join Date]])</f>
        <v>2020</v>
      </c>
      <c r="E678" s="6">
        <v>44463</v>
      </c>
      <c r="F678">
        <f>IFERROR(YEAR(Table1[[#This Row],[Exit Date]]), " ")</f>
        <v>2021</v>
      </c>
      <c r="G678">
        <f>IFERROR((Table1[[#This Row],[Exit Year]]-Table1[[#This Row],[Join Year]])+1," ")</f>
        <v>2</v>
      </c>
      <c r="H678" t="s">
        <v>43</v>
      </c>
      <c r="I678" t="s">
        <v>23</v>
      </c>
      <c r="J678" t="s">
        <v>12</v>
      </c>
      <c r="K678">
        <v>33</v>
      </c>
      <c r="L678" t="str">
        <f>IF(Table1[[#This Row],[Age]]&lt;30,"20-29",
IF(Table1[[#This Row],[Age]]&lt;40,"30-39",
IF(Table1[[#This Row],[Age]]&lt;50,"40-49",
IF(Table1[[#This Row],[Age]]&lt;60,"50-59","60+"))))</f>
        <v>30-39</v>
      </c>
      <c r="M678" t="s">
        <v>13</v>
      </c>
      <c r="N678" t="s">
        <v>35</v>
      </c>
    </row>
    <row r="679" spans="1:14" x14ac:dyDescent="0.35">
      <c r="A679">
        <v>778</v>
      </c>
      <c r="B679" t="s">
        <v>26</v>
      </c>
      <c r="C679" s="6">
        <v>45095</v>
      </c>
      <c r="D679">
        <f>YEAR(Table1[[#This Row],[Join Date]])</f>
        <v>2023</v>
      </c>
      <c r="E679" s="6" t="s">
        <v>48</v>
      </c>
      <c r="F679" t="str">
        <f>IFERROR(YEAR(Table1[[#This Row],[Exit Date]]), " ")</f>
        <v xml:space="preserve"> </v>
      </c>
      <c r="G679" t="str">
        <f>IFERROR((Table1[[#This Row],[Exit Year]]-Table1[[#This Row],[Join Year]])+1," ")</f>
        <v xml:space="preserve"> </v>
      </c>
      <c r="H679" t="s">
        <v>48</v>
      </c>
      <c r="I679" t="s">
        <v>11</v>
      </c>
      <c r="J679" t="s">
        <v>18</v>
      </c>
      <c r="K679">
        <v>51</v>
      </c>
      <c r="L679" t="str">
        <f>IF(Table1[[#This Row],[Age]]&lt;30,"20-29",
IF(Table1[[#This Row],[Age]]&lt;40,"30-39",
IF(Table1[[#This Row],[Age]]&lt;50,"40-49",
IF(Table1[[#This Row],[Age]]&lt;60,"50-59","60+"))))</f>
        <v>50-59</v>
      </c>
      <c r="M679" t="s">
        <v>16</v>
      </c>
      <c r="N679" t="s">
        <v>14</v>
      </c>
    </row>
    <row r="680" spans="1:14" x14ac:dyDescent="0.35">
      <c r="A680">
        <v>779</v>
      </c>
      <c r="B680" t="s">
        <v>10</v>
      </c>
      <c r="C680" s="6">
        <v>44360</v>
      </c>
      <c r="D680">
        <f>YEAR(Table1[[#This Row],[Join Date]])</f>
        <v>2021</v>
      </c>
      <c r="E680" s="6">
        <v>44755</v>
      </c>
      <c r="F680">
        <f>IFERROR(YEAR(Table1[[#This Row],[Exit Date]]), " ")</f>
        <v>2022</v>
      </c>
      <c r="G680">
        <f>IFERROR((Table1[[#This Row],[Exit Year]]-Table1[[#This Row],[Join Year]])+1," ")</f>
        <v>2</v>
      </c>
      <c r="H680" t="s">
        <v>38</v>
      </c>
      <c r="I680" t="s">
        <v>23</v>
      </c>
      <c r="J680" t="s">
        <v>18</v>
      </c>
      <c r="K680">
        <v>46</v>
      </c>
      <c r="L680" t="str">
        <f>IF(Table1[[#This Row],[Age]]&lt;30,"20-29",
IF(Table1[[#This Row],[Age]]&lt;40,"30-39",
IF(Table1[[#This Row],[Age]]&lt;50,"40-49",
IF(Table1[[#This Row],[Age]]&lt;60,"50-59","60+"))))</f>
        <v>40-49</v>
      </c>
      <c r="M680" t="s">
        <v>16</v>
      </c>
      <c r="N680" t="s">
        <v>19</v>
      </c>
    </row>
    <row r="681" spans="1:14" x14ac:dyDescent="0.35">
      <c r="A681">
        <v>780</v>
      </c>
      <c r="B681" t="s">
        <v>26</v>
      </c>
      <c r="C681" s="6">
        <v>43419</v>
      </c>
      <c r="D681">
        <f>YEAR(Table1[[#This Row],[Join Date]])</f>
        <v>2018</v>
      </c>
      <c r="E681" s="6">
        <v>44303</v>
      </c>
      <c r="F681">
        <f>IFERROR(YEAR(Table1[[#This Row],[Exit Date]]), " ")</f>
        <v>2021</v>
      </c>
      <c r="G681">
        <f>IFERROR((Table1[[#This Row],[Exit Year]]-Table1[[#This Row],[Join Year]])+1," ")</f>
        <v>4</v>
      </c>
      <c r="H681" t="s">
        <v>22</v>
      </c>
      <c r="I681" t="s">
        <v>23</v>
      </c>
      <c r="J681" t="s">
        <v>12</v>
      </c>
      <c r="K681">
        <v>53</v>
      </c>
      <c r="L681" t="str">
        <f>IF(Table1[[#This Row],[Age]]&lt;30,"20-29",
IF(Table1[[#This Row],[Age]]&lt;40,"30-39",
IF(Table1[[#This Row],[Age]]&lt;50,"40-49",
IF(Table1[[#This Row],[Age]]&lt;60,"50-59","60+"))))</f>
        <v>50-59</v>
      </c>
      <c r="M681" t="s">
        <v>20</v>
      </c>
      <c r="N681" t="s">
        <v>21</v>
      </c>
    </row>
    <row r="682" spans="1:14" x14ac:dyDescent="0.35">
      <c r="A682">
        <v>781</v>
      </c>
      <c r="B682" t="s">
        <v>36</v>
      </c>
      <c r="C682" s="6">
        <v>44249</v>
      </c>
      <c r="D682">
        <f>YEAR(Table1[[#This Row],[Join Date]])</f>
        <v>2021</v>
      </c>
      <c r="E682" s="6" t="s">
        <v>48</v>
      </c>
      <c r="F682" t="str">
        <f>IFERROR(YEAR(Table1[[#This Row],[Exit Date]]), " ")</f>
        <v xml:space="preserve"> </v>
      </c>
      <c r="G682" t="str">
        <f>IFERROR((Table1[[#This Row],[Exit Year]]-Table1[[#This Row],[Join Year]])+1," ")</f>
        <v xml:space="preserve"> </v>
      </c>
      <c r="H682" t="s">
        <v>48</v>
      </c>
      <c r="I682" t="s">
        <v>11</v>
      </c>
      <c r="J682" t="s">
        <v>18</v>
      </c>
      <c r="K682">
        <v>35</v>
      </c>
      <c r="L682" t="str">
        <f>IF(Table1[[#This Row],[Age]]&lt;30,"20-29",
IF(Table1[[#This Row],[Age]]&lt;40,"30-39",
IF(Table1[[#This Row],[Age]]&lt;50,"40-49",
IF(Table1[[#This Row],[Age]]&lt;60,"50-59","60+"))))</f>
        <v>30-39</v>
      </c>
      <c r="M682" t="s">
        <v>24</v>
      </c>
      <c r="N682" t="s">
        <v>37</v>
      </c>
    </row>
    <row r="683" spans="1:14" x14ac:dyDescent="0.35">
      <c r="A683">
        <v>782</v>
      </c>
      <c r="B683" t="s">
        <v>10</v>
      </c>
      <c r="C683" s="6">
        <v>45533</v>
      </c>
      <c r="D683">
        <f>YEAR(Table1[[#This Row],[Join Date]])</f>
        <v>2024</v>
      </c>
      <c r="E683" s="6" t="s">
        <v>48</v>
      </c>
      <c r="F683" t="str">
        <f>IFERROR(YEAR(Table1[[#This Row],[Exit Date]]), " ")</f>
        <v xml:space="preserve"> </v>
      </c>
      <c r="G683" t="str">
        <f>IFERROR((Table1[[#This Row],[Exit Year]]-Table1[[#This Row],[Join Year]])+1," ")</f>
        <v xml:space="preserve"> </v>
      </c>
      <c r="H683" t="s">
        <v>48</v>
      </c>
      <c r="I683" t="s">
        <v>11</v>
      </c>
      <c r="J683" t="s">
        <v>18</v>
      </c>
      <c r="K683">
        <v>32</v>
      </c>
      <c r="L683" t="str">
        <f>IF(Table1[[#This Row],[Age]]&lt;30,"20-29",
IF(Table1[[#This Row],[Age]]&lt;40,"30-39",
IF(Table1[[#This Row],[Age]]&lt;50,"40-49",
IF(Table1[[#This Row],[Age]]&lt;60,"50-59","60+"))))</f>
        <v>30-39</v>
      </c>
      <c r="M683" t="s">
        <v>13</v>
      </c>
      <c r="N683" t="s">
        <v>25</v>
      </c>
    </row>
    <row r="684" spans="1:14" x14ac:dyDescent="0.35">
      <c r="A684">
        <v>783</v>
      </c>
      <c r="B684" t="s">
        <v>36</v>
      </c>
      <c r="C684" s="6">
        <v>44377</v>
      </c>
      <c r="D684">
        <f>YEAR(Table1[[#This Row],[Join Date]])</f>
        <v>2021</v>
      </c>
      <c r="E684" s="6" t="s">
        <v>48</v>
      </c>
      <c r="F684" t="str">
        <f>IFERROR(YEAR(Table1[[#This Row],[Exit Date]]), " ")</f>
        <v xml:space="preserve"> </v>
      </c>
      <c r="G684" t="str">
        <f>IFERROR((Table1[[#This Row],[Exit Year]]-Table1[[#This Row],[Join Year]])+1," ")</f>
        <v xml:space="preserve"> </v>
      </c>
      <c r="H684" t="s">
        <v>48</v>
      </c>
      <c r="I684" t="s">
        <v>11</v>
      </c>
      <c r="J684" t="s">
        <v>18</v>
      </c>
      <c r="K684">
        <v>46</v>
      </c>
      <c r="L684" t="str">
        <f>IF(Table1[[#This Row],[Age]]&lt;30,"20-29",
IF(Table1[[#This Row],[Age]]&lt;40,"30-39",
IF(Table1[[#This Row],[Age]]&lt;50,"40-49",
IF(Table1[[#This Row],[Age]]&lt;60,"50-59","60+"))))</f>
        <v>40-49</v>
      </c>
      <c r="M684" t="s">
        <v>42</v>
      </c>
      <c r="N684" t="s">
        <v>35</v>
      </c>
    </row>
    <row r="685" spans="1:14" x14ac:dyDescent="0.35">
      <c r="A685">
        <v>784</v>
      </c>
      <c r="B685" t="s">
        <v>10</v>
      </c>
      <c r="C685" s="6">
        <v>44088</v>
      </c>
      <c r="D685">
        <f>YEAR(Table1[[#This Row],[Join Date]])</f>
        <v>2020</v>
      </c>
      <c r="E685" s="6" t="s">
        <v>48</v>
      </c>
      <c r="F685" t="str">
        <f>IFERROR(YEAR(Table1[[#This Row],[Exit Date]]), " ")</f>
        <v xml:space="preserve"> </v>
      </c>
      <c r="G685" t="str">
        <f>IFERROR((Table1[[#This Row],[Exit Year]]-Table1[[#This Row],[Join Year]])+1," ")</f>
        <v xml:space="preserve"> </v>
      </c>
      <c r="H685" t="s">
        <v>48</v>
      </c>
      <c r="I685" t="s">
        <v>11</v>
      </c>
      <c r="J685" t="s">
        <v>12</v>
      </c>
      <c r="K685">
        <v>50</v>
      </c>
      <c r="L685" t="str">
        <f>IF(Table1[[#This Row],[Age]]&lt;30,"20-29",
IF(Table1[[#This Row],[Age]]&lt;40,"30-39",
IF(Table1[[#This Row],[Age]]&lt;50,"40-49",
IF(Table1[[#This Row],[Age]]&lt;60,"50-59","60+"))))</f>
        <v>50-59</v>
      </c>
      <c r="M685" t="s">
        <v>13</v>
      </c>
      <c r="N685" t="s">
        <v>14</v>
      </c>
    </row>
    <row r="686" spans="1:14" x14ac:dyDescent="0.35">
      <c r="A686">
        <v>785</v>
      </c>
      <c r="B686" t="s">
        <v>26</v>
      </c>
      <c r="C686" s="6">
        <v>43373</v>
      </c>
      <c r="D686">
        <f>YEAR(Table1[[#This Row],[Join Date]])</f>
        <v>2018</v>
      </c>
      <c r="E686" s="6">
        <v>44825</v>
      </c>
      <c r="F686">
        <f>IFERROR(YEAR(Table1[[#This Row],[Exit Date]]), " ")</f>
        <v>2022</v>
      </c>
      <c r="G686">
        <f>IFERROR((Table1[[#This Row],[Exit Year]]-Table1[[#This Row],[Join Year]])+1," ")</f>
        <v>5</v>
      </c>
      <c r="H686" t="s">
        <v>27</v>
      </c>
      <c r="I686" t="s">
        <v>23</v>
      </c>
      <c r="J686" t="s">
        <v>18</v>
      </c>
      <c r="K686">
        <v>64</v>
      </c>
      <c r="L686" t="str">
        <f>IF(Table1[[#This Row],[Age]]&lt;30,"20-29",
IF(Table1[[#This Row],[Age]]&lt;40,"30-39",
IF(Table1[[#This Row],[Age]]&lt;50,"40-49",
IF(Table1[[#This Row],[Age]]&lt;60,"50-59","60+"))))</f>
        <v>60+</v>
      </c>
      <c r="M686" t="s">
        <v>13</v>
      </c>
      <c r="N686" t="s">
        <v>17</v>
      </c>
    </row>
    <row r="687" spans="1:14" x14ac:dyDescent="0.35">
      <c r="A687">
        <v>786</v>
      </c>
      <c r="B687" t="s">
        <v>26</v>
      </c>
      <c r="C687" s="6">
        <v>43314</v>
      </c>
      <c r="D687">
        <f>YEAR(Table1[[#This Row],[Join Date]])</f>
        <v>2018</v>
      </c>
      <c r="E687" s="6" t="s">
        <v>48</v>
      </c>
      <c r="F687" t="str">
        <f>IFERROR(YEAR(Table1[[#This Row],[Exit Date]]), " ")</f>
        <v xml:space="preserve"> </v>
      </c>
      <c r="G687" t="str">
        <f>IFERROR((Table1[[#This Row],[Exit Year]]-Table1[[#This Row],[Join Year]])+1," ")</f>
        <v xml:space="preserve"> </v>
      </c>
      <c r="H687" t="s">
        <v>48</v>
      </c>
      <c r="I687" t="s">
        <v>11</v>
      </c>
      <c r="J687" t="s">
        <v>12</v>
      </c>
      <c r="K687">
        <v>29</v>
      </c>
      <c r="L687" t="str">
        <f>IF(Table1[[#This Row],[Age]]&lt;30,"20-29",
IF(Table1[[#This Row],[Age]]&lt;40,"30-39",
IF(Table1[[#This Row],[Age]]&lt;50,"40-49",
IF(Table1[[#This Row],[Age]]&lt;60,"50-59","60+"))))</f>
        <v>20-29</v>
      </c>
      <c r="M687" t="s">
        <v>16</v>
      </c>
      <c r="N687" t="s">
        <v>19</v>
      </c>
    </row>
    <row r="688" spans="1:14" x14ac:dyDescent="0.35">
      <c r="A688">
        <v>787</v>
      </c>
      <c r="B688" t="s">
        <v>26</v>
      </c>
      <c r="C688" s="6">
        <v>44418</v>
      </c>
      <c r="D688">
        <f>YEAR(Table1[[#This Row],[Join Date]])</f>
        <v>2021</v>
      </c>
      <c r="E688" s="6">
        <v>45628</v>
      </c>
      <c r="F688">
        <f>IFERROR(YEAR(Table1[[#This Row],[Exit Date]]), " ")</f>
        <v>2024</v>
      </c>
      <c r="G688">
        <f>IFERROR((Table1[[#This Row],[Exit Year]]-Table1[[#This Row],[Join Year]])+1," ")</f>
        <v>4</v>
      </c>
      <c r="H688" t="s">
        <v>46</v>
      </c>
      <c r="I688" t="s">
        <v>23</v>
      </c>
      <c r="J688" t="s">
        <v>12</v>
      </c>
      <c r="K688">
        <v>27</v>
      </c>
      <c r="L688" t="str">
        <f>IF(Table1[[#This Row],[Age]]&lt;30,"20-29",
IF(Table1[[#This Row],[Age]]&lt;40,"30-39",
IF(Table1[[#This Row],[Age]]&lt;50,"40-49",
IF(Table1[[#This Row],[Age]]&lt;60,"50-59","60+"))))</f>
        <v>20-29</v>
      </c>
      <c r="M688" t="s">
        <v>13</v>
      </c>
      <c r="N688" t="s">
        <v>21</v>
      </c>
    </row>
    <row r="689" spans="1:14" x14ac:dyDescent="0.35">
      <c r="A689">
        <v>788</v>
      </c>
      <c r="B689" t="s">
        <v>34</v>
      </c>
      <c r="C689" s="6">
        <v>44324</v>
      </c>
      <c r="D689">
        <f>YEAR(Table1[[#This Row],[Join Date]])</f>
        <v>2021</v>
      </c>
      <c r="E689" s="6">
        <v>45076</v>
      </c>
      <c r="F689">
        <f>IFERROR(YEAR(Table1[[#This Row],[Exit Date]]), " ")</f>
        <v>2023</v>
      </c>
      <c r="G689">
        <f>IFERROR((Table1[[#This Row],[Exit Year]]-Table1[[#This Row],[Join Year]])+1," ")</f>
        <v>3</v>
      </c>
      <c r="H689" t="s">
        <v>40</v>
      </c>
      <c r="I689" t="s">
        <v>23</v>
      </c>
      <c r="J689" t="s">
        <v>12</v>
      </c>
      <c r="K689">
        <v>31</v>
      </c>
      <c r="L689" t="str">
        <f>IF(Table1[[#This Row],[Age]]&lt;30,"20-29",
IF(Table1[[#This Row],[Age]]&lt;40,"30-39",
IF(Table1[[#This Row],[Age]]&lt;50,"40-49",
IF(Table1[[#This Row],[Age]]&lt;60,"50-59","60+"))))</f>
        <v>30-39</v>
      </c>
      <c r="M689" t="s">
        <v>20</v>
      </c>
      <c r="N689" t="s">
        <v>25</v>
      </c>
    </row>
    <row r="690" spans="1:14" x14ac:dyDescent="0.35">
      <c r="A690">
        <v>789</v>
      </c>
      <c r="B690" t="s">
        <v>10</v>
      </c>
      <c r="C690" s="6">
        <v>43513</v>
      </c>
      <c r="D690">
        <f>YEAR(Table1[[#This Row],[Join Date]])</f>
        <v>2019</v>
      </c>
      <c r="E690" s="6">
        <v>44923</v>
      </c>
      <c r="F690">
        <f>IFERROR(YEAR(Table1[[#This Row],[Exit Date]]), " ")</f>
        <v>2022</v>
      </c>
      <c r="G690">
        <f>IFERROR((Table1[[#This Row],[Exit Year]]-Table1[[#This Row],[Join Year]])+1," ")</f>
        <v>4</v>
      </c>
      <c r="H690" t="s">
        <v>38</v>
      </c>
      <c r="I690" t="s">
        <v>23</v>
      </c>
      <c r="J690" t="s">
        <v>18</v>
      </c>
      <c r="K690">
        <v>24</v>
      </c>
      <c r="L690" t="str">
        <f>IF(Table1[[#This Row],[Age]]&lt;30,"20-29",
IF(Table1[[#This Row],[Age]]&lt;40,"30-39",
IF(Table1[[#This Row],[Age]]&lt;50,"40-49",
IF(Table1[[#This Row],[Age]]&lt;60,"50-59","60+"))))</f>
        <v>20-29</v>
      </c>
      <c r="M690" t="s">
        <v>44</v>
      </c>
      <c r="N690" t="s">
        <v>28</v>
      </c>
    </row>
    <row r="691" spans="1:14" x14ac:dyDescent="0.35">
      <c r="A691">
        <v>790</v>
      </c>
      <c r="B691" t="s">
        <v>36</v>
      </c>
      <c r="C691" s="6">
        <v>44180</v>
      </c>
      <c r="D691">
        <f>YEAR(Table1[[#This Row],[Join Date]])</f>
        <v>2020</v>
      </c>
      <c r="E691" s="6" t="s">
        <v>48</v>
      </c>
      <c r="F691" t="str">
        <f>IFERROR(YEAR(Table1[[#This Row],[Exit Date]]), " ")</f>
        <v xml:space="preserve"> </v>
      </c>
      <c r="G691" t="str">
        <f>IFERROR((Table1[[#This Row],[Exit Year]]-Table1[[#This Row],[Join Year]])+1," ")</f>
        <v xml:space="preserve"> </v>
      </c>
      <c r="H691" t="s">
        <v>48</v>
      </c>
      <c r="I691" t="s">
        <v>11</v>
      </c>
      <c r="J691" t="s">
        <v>12</v>
      </c>
      <c r="K691">
        <v>37</v>
      </c>
      <c r="L691" t="str">
        <f>IF(Table1[[#This Row],[Age]]&lt;30,"20-29",
IF(Table1[[#This Row],[Age]]&lt;40,"30-39",
IF(Table1[[#This Row],[Age]]&lt;50,"40-49",
IF(Table1[[#This Row],[Age]]&lt;60,"50-59","60+"))))</f>
        <v>30-39</v>
      </c>
      <c r="M691" t="s">
        <v>13</v>
      </c>
      <c r="N691" t="s">
        <v>31</v>
      </c>
    </row>
    <row r="692" spans="1:14" x14ac:dyDescent="0.35">
      <c r="A692">
        <v>791</v>
      </c>
      <c r="B692" t="s">
        <v>34</v>
      </c>
      <c r="C692" s="6">
        <v>44099</v>
      </c>
      <c r="D692">
        <f>YEAR(Table1[[#This Row],[Join Date]])</f>
        <v>2020</v>
      </c>
      <c r="E692" s="6" t="s">
        <v>48</v>
      </c>
      <c r="F692" t="str">
        <f>IFERROR(YEAR(Table1[[#This Row],[Exit Date]]), " ")</f>
        <v xml:space="preserve"> </v>
      </c>
      <c r="G692" t="str">
        <f>IFERROR((Table1[[#This Row],[Exit Year]]-Table1[[#This Row],[Join Year]])+1," ")</f>
        <v xml:space="preserve"> </v>
      </c>
      <c r="H692" t="s">
        <v>48</v>
      </c>
      <c r="I692" t="s">
        <v>11</v>
      </c>
      <c r="J692" t="s">
        <v>18</v>
      </c>
      <c r="K692">
        <v>23</v>
      </c>
      <c r="L692" t="str">
        <f>IF(Table1[[#This Row],[Age]]&lt;30,"20-29",
IF(Table1[[#This Row],[Age]]&lt;40,"30-39",
IF(Table1[[#This Row],[Age]]&lt;50,"40-49",
IF(Table1[[#This Row],[Age]]&lt;60,"50-59","60+"))))</f>
        <v>20-29</v>
      </c>
      <c r="M692" t="s">
        <v>16</v>
      </c>
      <c r="N692" t="s">
        <v>32</v>
      </c>
    </row>
    <row r="693" spans="1:14" x14ac:dyDescent="0.35">
      <c r="A693">
        <v>792</v>
      </c>
      <c r="B693" t="s">
        <v>34</v>
      </c>
      <c r="C693" s="6">
        <v>45632</v>
      </c>
      <c r="D693">
        <f>YEAR(Table1[[#This Row],[Join Date]])</f>
        <v>2024</v>
      </c>
      <c r="E693" s="6" t="s">
        <v>48</v>
      </c>
      <c r="F693" t="str">
        <f>IFERROR(YEAR(Table1[[#This Row],[Exit Date]]), " ")</f>
        <v xml:space="preserve"> </v>
      </c>
      <c r="G693" t="str">
        <f>IFERROR((Table1[[#This Row],[Exit Year]]-Table1[[#This Row],[Join Year]])+1," ")</f>
        <v xml:space="preserve"> </v>
      </c>
      <c r="H693" t="s">
        <v>48</v>
      </c>
      <c r="I693" t="s">
        <v>11</v>
      </c>
      <c r="J693" t="s">
        <v>12</v>
      </c>
      <c r="K693">
        <v>31</v>
      </c>
      <c r="L693" t="str">
        <f>IF(Table1[[#This Row],[Age]]&lt;30,"20-29",
IF(Table1[[#This Row],[Age]]&lt;40,"30-39",
IF(Table1[[#This Row],[Age]]&lt;50,"40-49",
IF(Table1[[#This Row],[Age]]&lt;60,"50-59","60+"))))</f>
        <v>30-39</v>
      </c>
      <c r="M693" t="s">
        <v>16</v>
      </c>
      <c r="N693" t="s">
        <v>33</v>
      </c>
    </row>
    <row r="694" spans="1:14" x14ac:dyDescent="0.35">
      <c r="A694">
        <v>793</v>
      </c>
      <c r="B694" t="s">
        <v>36</v>
      </c>
      <c r="C694" s="6">
        <v>45294</v>
      </c>
      <c r="D694">
        <f>YEAR(Table1[[#This Row],[Join Date]])</f>
        <v>2024</v>
      </c>
      <c r="E694" s="6" t="s">
        <v>48</v>
      </c>
      <c r="F694" t="str">
        <f>IFERROR(YEAR(Table1[[#This Row],[Exit Date]]), " ")</f>
        <v xml:space="preserve"> </v>
      </c>
      <c r="G694" t="str">
        <f>IFERROR((Table1[[#This Row],[Exit Year]]-Table1[[#This Row],[Join Year]])+1," ")</f>
        <v xml:space="preserve"> </v>
      </c>
      <c r="H694" t="s">
        <v>48</v>
      </c>
      <c r="I694" t="s">
        <v>11</v>
      </c>
      <c r="J694" t="s">
        <v>18</v>
      </c>
      <c r="K694">
        <v>52</v>
      </c>
      <c r="L694" t="str">
        <f>IF(Table1[[#This Row],[Age]]&lt;30,"20-29",
IF(Table1[[#This Row],[Age]]&lt;40,"30-39",
IF(Table1[[#This Row],[Age]]&lt;50,"40-49",
IF(Table1[[#This Row],[Age]]&lt;60,"50-59","60+"))))</f>
        <v>50-59</v>
      </c>
      <c r="M694" t="s">
        <v>20</v>
      </c>
      <c r="N694" t="s">
        <v>35</v>
      </c>
    </row>
    <row r="695" spans="1:14" x14ac:dyDescent="0.35">
      <c r="A695">
        <v>794</v>
      </c>
      <c r="B695" t="s">
        <v>26</v>
      </c>
      <c r="C695" s="6">
        <v>44590</v>
      </c>
      <c r="D695">
        <f>YEAR(Table1[[#This Row],[Join Date]])</f>
        <v>2022</v>
      </c>
      <c r="E695" s="6" t="s">
        <v>48</v>
      </c>
      <c r="F695" t="str">
        <f>IFERROR(YEAR(Table1[[#This Row],[Exit Date]]), " ")</f>
        <v xml:space="preserve"> </v>
      </c>
      <c r="G695" t="str">
        <f>IFERROR((Table1[[#This Row],[Exit Year]]-Table1[[#This Row],[Join Year]])+1," ")</f>
        <v xml:space="preserve"> </v>
      </c>
      <c r="H695" t="s">
        <v>48</v>
      </c>
      <c r="I695" t="s">
        <v>11</v>
      </c>
      <c r="J695" t="s">
        <v>18</v>
      </c>
      <c r="K695">
        <v>25</v>
      </c>
      <c r="L695" t="str">
        <f>IF(Table1[[#This Row],[Age]]&lt;30,"20-29",
IF(Table1[[#This Row],[Age]]&lt;40,"30-39",
IF(Table1[[#This Row],[Age]]&lt;50,"40-49",
IF(Table1[[#This Row],[Age]]&lt;60,"50-59","60+"))))</f>
        <v>20-29</v>
      </c>
      <c r="M695" t="s">
        <v>24</v>
      </c>
      <c r="N695" t="s">
        <v>37</v>
      </c>
    </row>
    <row r="696" spans="1:14" x14ac:dyDescent="0.35">
      <c r="A696">
        <v>795</v>
      </c>
      <c r="B696" t="s">
        <v>15</v>
      </c>
      <c r="C696" s="6">
        <v>45215</v>
      </c>
      <c r="D696">
        <f>YEAR(Table1[[#This Row],[Join Date]])</f>
        <v>2023</v>
      </c>
      <c r="E696" s="6" t="s">
        <v>48</v>
      </c>
      <c r="F696" t="str">
        <f>IFERROR(YEAR(Table1[[#This Row],[Exit Date]]), " ")</f>
        <v xml:space="preserve"> </v>
      </c>
      <c r="G696" t="str">
        <f>IFERROR((Table1[[#This Row],[Exit Year]]-Table1[[#This Row],[Join Year]])+1," ")</f>
        <v xml:space="preserve"> </v>
      </c>
      <c r="H696" t="s">
        <v>48</v>
      </c>
      <c r="I696" t="s">
        <v>11</v>
      </c>
      <c r="J696" t="s">
        <v>12</v>
      </c>
      <c r="K696">
        <v>46</v>
      </c>
      <c r="L696" t="str">
        <f>IF(Table1[[#This Row],[Age]]&lt;30,"20-29",
IF(Table1[[#This Row],[Age]]&lt;40,"30-39",
IF(Table1[[#This Row],[Age]]&lt;50,"40-49",
IF(Table1[[#This Row],[Age]]&lt;60,"50-59","60+"))))</f>
        <v>40-49</v>
      </c>
      <c r="M696" t="s">
        <v>13</v>
      </c>
      <c r="N696" t="s">
        <v>19</v>
      </c>
    </row>
    <row r="697" spans="1:14" x14ac:dyDescent="0.35">
      <c r="A697">
        <v>796</v>
      </c>
      <c r="B697" t="s">
        <v>15</v>
      </c>
      <c r="C697" s="6">
        <v>43624</v>
      </c>
      <c r="D697">
        <f>YEAR(Table1[[#This Row],[Join Date]])</f>
        <v>2019</v>
      </c>
      <c r="E697" s="6">
        <v>44228</v>
      </c>
      <c r="F697">
        <f>IFERROR(YEAR(Table1[[#This Row],[Exit Date]]), " ")</f>
        <v>2021</v>
      </c>
      <c r="G697">
        <f>IFERROR((Table1[[#This Row],[Exit Year]]-Table1[[#This Row],[Join Year]])+1," ")</f>
        <v>3</v>
      </c>
      <c r="H697" t="s">
        <v>41</v>
      </c>
      <c r="I697" t="s">
        <v>23</v>
      </c>
      <c r="J697" t="s">
        <v>18</v>
      </c>
      <c r="K697">
        <v>24</v>
      </c>
      <c r="L697" t="str">
        <f>IF(Table1[[#This Row],[Age]]&lt;30,"20-29",
IF(Table1[[#This Row],[Age]]&lt;40,"30-39",
IF(Table1[[#This Row],[Age]]&lt;50,"40-49",
IF(Table1[[#This Row],[Age]]&lt;60,"50-59","60+"))))</f>
        <v>20-29</v>
      </c>
      <c r="M697" t="s">
        <v>44</v>
      </c>
      <c r="N697" t="s">
        <v>25</v>
      </c>
    </row>
    <row r="698" spans="1:14" x14ac:dyDescent="0.35">
      <c r="A698">
        <v>797</v>
      </c>
      <c r="B698" t="s">
        <v>15</v>
      </c>
      <c r="C698" s="6">
        <v>44514</v>
      </c>
      <c r="D698">
        <f>YEAR(Table1[[#This Row],[Join Date]])</f>
        <v>2021</v>
      </c>
      <c r="E698" s="6">
        <v>45529</v>
      </c>
      <c r="F698">
        <f>IFERROR(YEAR(Table1[[#This Row],[Exit Date]]), " ")</f>
        <v>2024</v>
      </c>
      <c r="G698">
        <f>IFERROR((Table1[[#This Row],[Exit Year]]-Table1[[#This Row],[Join Year]])+1," ")</f>
        <v>4</v>
      </c>
      <c r="H698" t="s">
        <v>46</v>
      </c>
      <c r="I698" t="s">
        <v>23</v>
      </c>
      <c r="J698" t="s">
        <v>18</v>
      </c>
      <c r="K698">
        <v>38</v>
      </c>
      <c r="L698" t="str">
        <f>IF(Table1[[#This Row],[Age]]&lt;30,"20-29",
IF(Table1[[#This Row],[Age]]&lt;40,"30-39",
IF(Table1[[#This Row],[Age]]&lt;50,"40-49",
IF(Table1[[#This Row],[Age]]&lt;60,"50-59","60+"))))</f>
        <v>30-39</v>
      </c>
      <c r="M698" t="s">
        <v>13</v>
      </c>
      <c r="N698" t="s">
        <v>35</v>
      </c>
    </row>
    <row r="699" spans="1:14" x14ac:dyDescent="0.35">
      <c r="A699">
        <v>798</v>
      </c>
      <c r="B699" t="s">
        <v>29</v>
      </c>
      <c r="C699" s="6">
        <v>43700</v>
      </c>
      <c r="D699">
        <f>YEAR(Table1[[#This Row],[Join Date]])</f>
        <v>2019</v>
      </c>
      <c r="E699" s="6" t="s">
        <v>48</v>
      </c>
      <c r="F699" t="str">
        <f>IFERROR(YEAR(Table1[[#This Row],[Exit Date]]), " ")</f>
        <v xml:space="preserve"> </v>
      </c>
      <c r="G699" t="str">
        <f>IFERROR((Table1[[#This Row],[Exit Year]]-Table1[[#This Row],[Join Year]])+1," ")</f>
        <v xml:space="preserve"> </v>
      </c>
      <c r="H699" t="s">
        <v>48</v>
      </c>
      <c r="I699" t="s">
        <v>11</v>
      </c>
      <c r="J699" t="s">
        <v>12</v>
      </c>
      <c r="K699">
        <v>49</v>
      </c>
      <c r="L699" t="str">
        <f>IF(Table1[[#This Row],[Age]]&lt;30,"20-29",
IF(Table1[[#This Row],[Age]]&lt;40,"30-39",
IF(Table1[[#This Row],[Age]]&lt;50,"40-49",
IF(Table1[[#This Row],[Age]]&lt;60,"50-59","60+"))))</f>
        <v>40-49</v>
      </c>
      <c r="M699" t="s">
        <v>13</v>
      </c>
      <c r="N699" t="s">
        <v>17</v>
      </c>
    </row>
    <row r="700" spans="1:14" x14ac:dyDescent="0.35">
      <c r="A700">
        <v>799</v>
      </c>
      <c r="B700" t="s">
        <v>34</v>
      </c>
      <c r="C700" s="6">
        <v>45540</v>
      </c>
      <c r="D700">
        <f>YEAR(Table1[[#This Row],[Join Date]])</f>
        <v>2024</v>
      </c>
      <c r="E700" s="6" t="s">
        <v>48</v>
      </c>
      <c r="F700" t="str">
        <f>IFERROR(YEAR(Table1[[#This Row],[Exit Date]]), " ")</f>
        <v xml:space="preserve"> </v>
      </c>
      <c r="G700" t="str">
        <f>IFERROR((Table1[[#This Row],[Exit Year]]-Table1[[#This Row],[Join Year]])+1," ")</f>
        <v xml:space="preserve"> </v>
      </c>
      <c r="H700" t="s">
        <v>48</v>
      </c>
      <c r="I700" t="s">
        <v>11</v>
      </c>
      <c r="J700" t="s">
        <v>18</v>
      </c>
      <c r="K700">
        <v>31</v>
      </c>
      <c r="L700" t="str">
        <f>IF(Table1[[#This Row],[Age]]&lt;30,"20-29",
IF(Table1[[#This Row],[Age]]&lt;40,"30-39",
IF(Table1[[#This Row],[Age]]&lt;50,"40-49",
IF(Table1[[#This Row],[Age]]&lt;60,"50-59","60+"))))</f>
        <v>30-39</v>
      </c>
      <c r="M700" t="s">
        <v>16</v>
      </c>
      <c r="N700" t="s">
        <v>19</v>
      </c>
    </row>
    <row r="701" spans="1:14" x14ac:dyDescent="0.35">
      <c r="A701">
        <v>800</v>
      </c>
      <c r="B701" t="s">
        <v>10</v>
      </c>
      <c r="C701" s="6">
        <v>43297</v>
      </c>
      <c r="D701">
        <f>YEAR(Table1[[#This Row],[Join Date]])</f>
        <v>2018</v>
      </c>
      <c r="E701" s="6">
        <v>44682</v>
      </c>
      <c r="F701">
        <f>IFERROR(YEAR(Table1[[#This Row],[Exit Date]]), " ")</f>
        <v>2022</v>
      </c>
      <c r="G701">
        <f>IFERROR((Table1[[#This Row],[Exit Year]]-Table1[[#This Row],[Join Year]])+1," ")</f>
        <v>5</v>
      </c>
      <c r="H701" t="s">
        <v>40</v>
      </c>
      <c r="I701" t="s">
        <v>23</v>
      </c>
      <c r="J701" t="s">
        <v>18</v>
      </c>
      <c r="K701">
        <v>51</v>
      </c>
      <c r="L701" t="str">
        <f>IF(Table1[[#This Row],[Age]]&lt;30,"20-29",
IF(Table1[[#This Row],[Age]]&lt;40,"30-39",
IF(Table1[[#This Row],[Age]]&lt;50,"40-49",
IF(Table1[[#This Row],[Age]]&lt;60,"50-59","60+"))))</f>
        <v>50-59</v>
      </c>
      <c r="M701" t="s">
        <v>13</v>
      </c>
      <c r="N701" t="s">
        <v>21</v>
      </c>
    </row>
    <row r="702" spans="1:14" x14ac:dyDescent="0.35">
      <c r="A702">
        <v>801</v>
      </c>
      <c r="B702" t="s">
        <v>10</v>
      </c>
      <c r="C702" s="6">
        <v>43407</v>
      </c>
      <c r="D702">
        <f>YEAR(Table1[[#This Row],[Join Date]])</f>
        <v>2018</v>
      </c>
      <c r="E702" s="6" t="s">
        <v>48</v>
      </c>
      <c r="F702" t="str">
        <f>IFERROR(YEAR(Table1[[#This Row],[Exit Date]]), " ")</f>
        <v xml:space="preserve"> </v>
      </c>
      <c r="G702" t="str">
        <f>IFERROR((Table1[[#This Row],[Exit Year]]-Table1[[#This Row],[Join Year]])+1," ")</f>
        <v xml:space="preserve"> </v>
      </c>
      <c r="H702" t="s">
        <v>48</v>
      </c>
      <c r="I702" t="s">
        <v>11</v>
      </c>
      <c r="J702" t="s">
        <v>18</v>
      </c>
      <c r="K702">
        <v>27</v>
      </c>
      <c r="L702" t="str">
        <f>IF(Table1[[#This Row],[Age]]&lt;30,"20-29",
IF(Table1[[#This Row],[Age]]&lt;40,"30-39",
IF(Table1[[#This Row],[Age]]&lt;50,"40-49",
IF(Table1[[#This Row],[Age]]&lt;60,"50-59","60+"))))</f>
        <v>20-29</v>
      </c>
      <c r="M702" t="s">
        <v>20</v>
      </c>
      <c r="N702" t="s">
        <v>25</v>
      </c>
    </row>
    <row r="703" spans="1:14" x14ac:dyDescent="0.35">
      <c r="A703">
        <v>802</v>
      </c>
      <c r="B703" t="s">
        <v>15</v>
      </c>
      <c r="C703" s="6">
        <v>44121</v>
      </c>
      <c r="D703">
        <f>YEAR(Table1[[#This Row],[Join Date]])</f>
        <v>2020</v>
      </c>
      <c r="E703" s="6" t="s">
        <v>48</v>
      </c>
      <c r="F703" t="str">
        <f>IFERROR(YEAR(Table1[[#This Row],[Exit Date]]), " ")</f>
        <v xml:space="preserve"> </v>
      </c>
      <c r="G703" t="str">
        <f>IFERROR((Table1[[#This Row],[Exit Year]]-Table1[[#This Row],[Join Year]])+1," ")</f>
        <v xml:space="preserve"> </v>
      </c>
      <c r="H703" t="s">
        <v>48</v>
      </c>
      <c r="I703" t="s">
        <v>11</v>
      </c>
      <c r="J703" t="s">
        <v>12</v>
      </c>
      <c r="K703">
        <v>22</v>
      </c>
      <c r="L703" t="str">
        <f>IF(Table1[[#This Row],[Age]]&lt;30,"20-29",
IF(Table1[[#This Row],[Age]]&lt;40,"30-39",
IF(Table1[[#This Row],[Age]]&lt;50,"40-49",
IF(Table1[[#This Row],[Age]]&lt;60,"50-59","60+"))))</f>
        <v>20-29</v>
      </c>
      <c r="M703" t="s">
        <v>44</v>
      </c>
      <c r="N703" t="s">
        <v>35</v>
      </c>
    </row>
    <row r="704" spans="1:14" x14ac:dyDescent="0.35">
      <c r="A704">
        <v>803</v>
      </c>
      <c r="B704" t="s">
        <v>15</v>
      </c>
      <c r="C704" s="6">
        <v>44423</v>
      </c>
      <c r="D704">
        <f>YEAR(Table1[[#This Row],[Join Date]])</f>
        <v>2021</v>
      </c>
      <c r="E704" s="6" t="s">
        <v>48</v>
      </c>
      <c r="F704" t="str">
        <f>IFERROR(YEAR(Table1[[#This Row],[Exit Date]]), " ")</f>
        <v xml:space="preserve"> </v>
      </c>
      <c r="G704" t="str">
        <f>IFERROR((Table1[[#This Row],[Exit Year]]-Table1[[#This Row],[Join Year]])+1," ")</f>
        <v xml:space="preserve"> </v>
      </c>
      <c r="H704" t="s">
        <v>48</v>
      </c>
      <c r="I704" t="s">
        <v>11</v>
      </c>
      <c r="J704" t="s">
        <v>18</v>
      </c>
      <c r="K704">
        <v>50</v>
      </c>
      <c r="L704" t="str">
        <f>IF(Table1[[#This Row],[Age]]&lt;30,"20-29",
IF(Table1[[#This Row],[Age]]&lt;40,"30-39",
IF(Table1[[#This Row],[Age]]&lt;50,"40-49",
IF(Table1[[#This Row],[Age]]&lt;60,"50-59","60+"))))</f>
        <v>50-59</v>
      </c>
      <c r="M704" t="s">
        <v>13</v>
      </c>
      <c r="N704" t="s">
        <v>14</v>
      </c>
    </row>
    <row r="705" spans="1:14" x14ac:dyDescent="0.35">
      <c r="A705">
        <v>804</v>
      </c>
      <c r="B705" t="s">
        <v>15</v>
      </c>
      <c r="C705" s="6">
        <v>45087</v>
      </c>
      <c r="D705">
        <f>YEAR(Table1[[#This Row],[Join Date]])</f>
        <v>2023</v>
      </c>
      <c r="E705" s="6" t="s">
        <v>48</v>
      </c>
      <c r="F705" t="str">
        <f>IFERROR(YEAR(Table1[[#This Row],[Exit Date]]), " ")</f>
        <v xml:space="preserve"> </v>
      </c>
      <c r="G705" t="str">
        <f>IFERROR((Table1[[#This Row],[Exit Year]]-Table1[[#This Row],[Join Year]])+1," ")</f>
        <v xml:space="preserve"> </v>
      </c>
      <c r="H705" t="s">
        <v>48</v>
      </c>
      <c r="I705" t="s">
        <v>11</v>
      </c>
      <c r="J705" t="s">
        <v>12</v>
      </c>
      <c r="K705">
        <v>24</v>
      </c>
      <c r="L705" t="str">
        <f>IF(Table1[[#This Row],[Age]]&lt;30,"20-29",
IF(Table1[[#This Row],[Age]]&lt;40,"30-39",
IF(Table1[[#This Row],[Age]]&lt;50,"40-49",
IF(Table1[[#This Row],[Age]]&lt;60,"50-59","60+"))))</f>
        <v>20-29</v>
      </c>
      <c r="M705" t="s">
        <v>16</v>
      </c>
      <c r="N705" t="s">
        <v>19</v>
      </c>
    </row>
    <row r="706" spans="1:14" x14ac:dyDescent="0.35">
      <c r="A706">
        <v>805</v>
      </c>
      <c r="B706" t="s">
        <v>15</v>
      </c>
      <c r="C706" s="6">
        <v>43479</v>
      </c>
      <c r="D706">
        <f>YEAR(Table1[[#This Row],[Join Date]])</f>
        <v>2019</v>
      </c>
      <c r="E706" s="6">
        <v>44449</v>
      </c>
      <c r="F706">
        <f>IFERROR(YEAR(Table1[[#This Row],[Exit Date]]), " ")</f>
        <v>2021</v>
      </c>
      <c r="G706">
        <f>IFERROR((Table1[[#This Row],[Exit Year]]-Table1[[#This Row],[Join Year]])+1," ")</f>
        <v>3</v>
      </c>
      <c r="H706" t="s">
        <v>22</v>
      </c>
      <c r="I706" t="s">
        <v>23</v>
      </c>
      <c r="J706" t="s">
        <v>12</v>
      </c>
      <c r="K706">
        <v>50</v>
      </c>
      <c r="L706" t="str">
        <f>IF(Table1[[#This Row],[Age]]&lt;30,"20-29",
IF(Table1[[#This Row],[Age]]&lt;40,"30-39",
IF(Table1[[#This Row],[Age]]&lt;50,"40-49",
IF(Table1[[#This Row],[Age]]&lt;60,"50-59","60+"))))</f>
        <v>50-59</v>
      </c>
      <c r="M706" t="s">
        <v>16</v>
      </c>
      <c r="N706" t="s">
        <v>21</v>
      </c>
    </row>
    <row r="707" spans="1:14" x14ac:dyDescent="0.35">
      <c r="A707">
        <v>806</v>
      </c>
      <c r="B707" t="s">
        <v>26</v>
      </c>
      <c r="C707" s="6">
        <v>44749</v>
      </c>
      <c r="D707">
        <f>YEAR(Table1[[#This Row],[Join Date]])</f>
        <v>2022</v>
      </c>
      <c r="E707" s="6">
        <v>44972</v>
      </c>
      <c r="F707">
        <f>IFERROR(YEAR(Table1[[#This Row],[Exit Date]]), " ")</f>
        <v>2023</v>
      </c>
      <c r="G707">
        <f>IFERROR((Table1[[#This Row],[Exit Year]]-Table1[[#This Row],[Join Year]])+1," ")</f>
        <v>2</v>
      </c>
      <c r="H707" t="s">
        <v>46</v>
      </c>
      <c r="I707" t="s">
        <v>23</v>
      </c>
      <c r="J707" t="s">
        <v>12</v>
      </c>
      <c r="K707">
        <v>28</v>
      </c>
      <c r="L707" t="str">
        <f>IF(Table1[[#This Row],[Age]]&lt;30,"20-29",
IF(Table1[[#This Row],[Age]]&lt;40,"30-39",
IF(Table1[[#This Row],[Age]]&lt;50,"40-49",
IF(Table1[[#This Row],[Age]]&lt;60,"50-59","60+"))))</f>
        <v>20-29</v>
      </c>
      <c r="M707" t="s">
        <v>20</v>
      </c>
      <c r="N707" t="s">
        <v>37</v>
      </c>
    </row>
    <row r="708" spans="1:14" x14ac:dyDescent="0.35">
      <c r="A708">
        <v>807</v>
      </c>
      <c r="B708" t="s">
        <v>29</v>
      </c>
      <c r="C708" s="6">
        <v>45457</v>
      </c>
      <c r="D708">
        <f>YEAR(Table1[[#This Row],[Join Date]])</f>
        <v>2024</v>
      </c>
      <c r="E708" s="6" t="s">
        <v>48</v>
      </c>
      <c r="F708" t="str">
        <f>IFERROR(YEAR(Table1[[#This Row],[Exit Date]]), " ")</f>
        <v xml:space="preserve"> </v>
      </c>
      <c r="G708" t="str">
        <f>IFERROR((Table1[[#This Row],[Exit Year]]-Table1[[#This Row],[Join Year]])+1," ")</f>
        <v xml:space="preserve"> </v>
      </c>
      <c r="H708" t="s">
        <v>48</v>
      </c>
      <c r="I708" t="s">
        <v>11</v>
      </c>
      <c r="J708" t="s">
        <v>12</v>
      </c>
      <c r="K708">
        <v>40</v>
      </c>
      <c r="L708" t="str">
        <f>IF(Table1[[#This Row],[Age]]&lt;30,"20-29",
IF(Table1[[#This Row],[Age]]&lt;40,"30-39",
IF(Table1[[#This Row],[Age]]&lt;50,"40-49",
IF(Table1[[#This Row],[Age]]&lt;60,"50-59","60+"))))</f>
        <v>40-49</v>
      </c>
      <c r="M708" t="s">
        <v>24</v>
      </c>
      <c r="N708" t="s">
        <v>25</v>
      </c>
    </row>
    <row r="709" spans="1:14" x14ac:dyDescent="0.35">
      <c r="A709">
        <v>808</v>
      </c>
      <c r="B709" t="s">
        <v>10</v>
      </c>
      <c r="C709" s="6">
        <v>43304</v>
      </c>
      <c r="D709">
        <f>YEAR(Table1[[#This Row],[Join Date]])</f>
        <v>2018</v>
      </c>
      <c r="E709" s="6" t="s">
        <v>48</v>
      </c>
      <c r="F709" t="str">
        <f>IFERROR(YEAR(Table1[[#This Row],[Exit Date]]), " ")</f>
        <v xml:space="preserve"> </v>
      </c>
      <c r="G709" t="str">
        <f>IFERROR((Table1[[#This Row],[Exit Year]]-Table1[[#This Row],[Join Year]])+1," ")</f>
        <v xml:space="preserve"> </v>
      </c>
      <c r="H709" t="s">
        <v>48</v>
      </c>
      <c r="I709" t="s">
        <v>11</v>
      </c>
      <c r="J709" t="s">
        <v>18</v>
      </c>
      <c r="K709">
        <v>32</v>
      </c>
      <c r="L709" t="str">
        <f>IF(Table1[[#This Row],[Age]]&lt;30,"20-29",
IF(Table1[[#This Row],[Age]]&lt;40,"30-39",
IF(Table1[[#This Row],[Age]]&lt;50,"40-49",
IF(Table1[[#This Row],[Age]]&lt;60,"50-59","60+"))))</f>
        <v>30-39</v>
      </c>
      <c r="M709" t="s">
        <v>13</v>
      </c>
      <c r="N709" t="s">
        <v>35</v>
      </c>
    </row>
    <row r="710" spans="1:14" x14ac:dyDescent="0.35">
      <c r="A710">
        <v>809</v>
      </c>
      <c r="B710" t="s">
        <v>15</v>
      </c>
      <c r="C710" s="6">
        <v>44987</v>
      </c>
      <c r="D710">
        <f>YEAR(Table1[[#This Row],[Join Date]])</f>
        <v>2023</v>
      </c>
      <c r="E710" s="6" t="s">
        <v>48</v>
      </c>
      <c r="F710" t="str">
        <f>IFERROR(YEAR(Table1[[#This Row],[Exit Date]]), " ")</f>
        <v xml:space="preserve"> </v>
      </c>
      <c r="G710" t="str">
        <f>IFERROR((Table1[[#This Row],[Exit Year]]-Table1[[#This Row],[Join Year]])+1," ")</f>
        <v xml:space="preserve"> </v>
      </c>
      <c r="H710" t="s">
        <v>48</v>
      </c>
      <c r="I710" t="s">
        <v>11</v>
      </c>
      <c r="J710" t="s">
        <v>18</v>
      </c>
      <c r="K710">
        <v>50</v>
      </c>
      <c r="L710" t="str">
        <f>IF(Table1[[#This Row],[Age]]&lt;30,"20-29",
IF(Table1[[#This Row],[Age]]&lt;40,"30-39",
IF(Table1[[#This Row],[Age]]&lt;50,"40-49",
IF(Table1[[#This Row],[Age]]&lt;60,"50-59","60+"))))</f>
        <v>50-59</v>
      </c>
      <c r="M710" t="s">
        <v>42</v>
      </c>
      <c r="N710" t="s">
        <v>19</v>
      </c>
    </row>
    <row r="711" spans="1:14" x14ac:dyDescent="0.35">
      <c r="A711">
        <v>810</v>
      </c>
      <c r="B711" t="s">
        <v>34</v>
      </c>
      <c r="C711" s="6">
        <v>45326</v>
      </c>
      <c r="D711">
        <f>YEAR(Table1[[#This Row],[Join Date]])</f>
        <v>2024</v>
      </c>
      <c r="E711" s="6" t="s">
        <v>48</v>
      </c>
      <c r="F711" t="str">
        <f>IFERROR(YEAR(Table1[[#This Row],[Exit Date]]), " ")</f>
        <v xml:space="preserve"> </v>
      </c>
      <c r="G711" t="str">
        <f>IFERROR((Table1[[#This Row],[Exit Year]]-Table1[[#This Row],[Join Year]])+1," ")</f>
        <v xml:space="preserve"> </v>
      </c>
      <c r="H711" t="s">
        <v>48</v>
      </c>
      <c r="I711" t="s">
        <v>11</v>
      </c>
      <c r="J711" t="s">
        <v>12</v>
      </c>
      <c r="K711">
        <v>24</v>
      </c>
      <c r="L711" t="str">
        <f>IF(Table1[[#This Row],[Age]]&lt;30,"20-29",
IF(Table1[[#This Row],[Age]]&lt;40,"30-39",
IF(Table1[[#This Row],[Age]]&lt;50,"40-49",
IF(Table1[[#This Row],[Age]]&lt;60,"50-59","60+"))))</f>
        <v>20-29</v>
      </c>
      <c r="M711" t="s">
        <v>13</v>
      </c>
      <c r="N711" t="s">
        <v>21</v>
      </c>
    </row>
    <row r="712" spans="1:14" x14ac:dyDescent="0.35">
      <c r="A712">
        <v>811</v>
      </c>
      <c r="B712" t="s">
        <v>36</v>
      </c>
      <c r="C712" s="6">
        <v>45474</v>
      </c>
      <c r="D712">
        <f>YEAR(Table1[[#This Row],[Join Date]])</f>
        <v>2024</v>
      </c>
      <c r="E712" s="6" t="s">
        <v>48</v>
      </c>
      <c r="F712" t="str">
        <f>IFERROR(YEAR(Table1[[#This Row],[Exit Date]]), " ")</f>
        <v xml:space="preserve"> </v>
      </c>
      <c r="G712" t="str">
        <f>IFERROR((Table1[[#This Row],[Exit Year]]-Table1[[#This Row],[Join Year]])+1," ")</f>
        <v xml:space="preserve"> </v>
      </c>
      <c r="H712" t="s">
        <v>48</v>
      </c>
      <c r="I712" t="s">
        <v>11</v>
      </c>
      <c r="J712" t="s">
        <v>12</v>
      </c>
      <c r="K712">
        <v>36</v>
      </c>
      <c r="L712" t="str">
        <f>IF(Table1[[#This Row],[Age]]&lt;30,"20-29",
IF(Table1[[#This Row],[Age]]&lt;40,"30-39",
IF(Table1[[#This Row],[Age]]&lt;50,"40-49",
IF(Table1[[#This Row],[Age]]&lt;60,"50-59","60+"))))</f>
        <v>30-39</v>
      </c>
      <c r="M712" t="s">
        <v>13</v>
      </c>
      <c r="N712" t="s">
        <v>25</v>
      </c>
    </row>
    <row r="713" spans="1:14" x14ac:dyDescent="0.35">
      <c r="A713">
        <v>812</v>
      </c>
      <c r="B713" t="s">
        <v>29</v>
      </c>
      <c r="C713" s="6">
        <v>44227</v>
      </c>
      <c r="D713">
        <f>YEAR(Table1[[#This Row],[Join Date]])</f>
        <v>2021</v>
      </c>
      <c r="E713" s="6">
        <v>45322</v>
      </c>
      <c r="F713">
        <f>IFERROR(YEAR(Table1[[#This Row],[Exit Date]]), " ")</f>
        <v>2024</v>
      </c>
      <c r="G713">
        <f>IFERROR((Table1[[#This Row],[Exit Year]]-Table1[[#This Row],[Join Year]])+1," ")</f>
        <v>4</v>
      </c>
      <c r="H713" t="s">
        <v>46</v>
      </c>
      <c r="I713" t="s">
        <v>23</v>
      </c>
      <c r="J713" t="s">
        <v>12</v>
      </c>
      <c r="K713">
        <v>49</v>
      </c>
      <c r="L713" t="str">
        <f>IF(Table1[[#This Row],[Age]]&lt;30,"20-29",
IF(Table1[[#This Row],[Age]]&lt;40,"30-39",
IF(Table1[[#This Row],[Age]]&lt;50,"40-49",
IF(Table1[[#This Row],[Age]]&lt;60,"50-59","60+"))))</f>
        <v>40-49</v>
      </c>
      <c r="M713" t="s">
        <v>16</v>
      </c>
      <c r="N713" t="s">
        <v>35</v>
      </c>
    </row>
    <row r="714" spans="1:14" x14ac:dyDescent="0.35">
      <c r="A714">
        <v>813</v>
      </c>
      <c r="B714" t="s">
        <v>10</v>
      </c>
      <c r="C714" s="6">
        <v>43446</v>
      </c>
      <c r="D714">
        <f>YEAR(Table1[[#This Row],[Join Date]])</f>
        <v>2018</v>
      </c>
      <c r="E714" s="6">
        <v>43936</v>
      </c>
      <c r="F714">
        <f>IFERROR(YEAR(Table1[[#This Row],[Exit Date]]), " ")</f>
        <v>2020</v>
      </c>
      <c r="G714">
        <f>IFERROR((Table1[[#This Row],[Exit Year]]-Table1[[#This Row],[Join Year]])+1," ")</f>
        <v>3</v>
      </c>
      <c r="H714" t="s">
        <v>46</v>
      </c>
      <c r="I714" t="s">
        <v>23</v>
      </c>
      <c r="J714" t="s">
        <v>18</v>
      </c>
      <c r="K714">
        <v>43</v>
      </c>
      <c r="L714" t="str">
        <f>IF(Table1[[#This Row],[Age]]&lt;30,"20-29",
IF(Table1[[#This Row],[Age]]&lt;40,"30-39",
IF(Table1[[#This Row],[Age]]&lt;50,"40-49",
IF(Table1[[#This Row],[Age]]&lt;60,"50-59","60+"))))</f>
        <v>40-49</v>
      </c>
      <c r="M714" t="s">
        <v>13</v>
      </c>
      <c r="N714" t="s">
        <v>14</v>
      </c>
    </row>
    <row r="715" spans="1:14" x14ac:dyDescent="0.35">
      <c r="A715">
        <v>814</v>
      </c>
      <c r="B715" t="s">
        <v>15</v>
      </c>
      <c r="C715" s="6">
        <v>45314</v>
      </c>
      <c r="D715">
        <f>YEAR(Table1[[#This Row],[Join Date]])</f>
        <v>2024</v>
      </c>
      <c r="E715" s="6" t="s">
        <v>48</v>
      </c>
      <c r="F715" t="str">
        <f>IFERROR(YEAR(Table1[[#This Row],[Exit Date]]), " ")</f>
        <v xml:space="preserve"> </v>
      </c>
      <c r="G715" t="str">
        <f>IFERROR((Table1[[#This Row],[Exit Year]]-Table1[[#This Row],[Join Year]])+1," ")</f>
        <v xml:space="preserve"> </v>
      </c>
      <c r="H715" t="s">
        <v>48</v>
      </c>
      <c r="I715" t="s">
        <v>11</v>
      </c>
      <c r="J715" t="s">
        <v>12</v>
      </c>
      <c r="K715">
        <v>40</v>
      </c>
      <c r="L715" t="str">
        <f>IF(Table1[[#This Row],[Age]]&lt;30,"20-29",
IF(Table1[[#This Row],[Age]]&lt;40,"30-39",
IF(Table1[[#This Row],[Age]]&lt;50,"40-49",
IF(Table1[[#This Row],[Age]]&lt;60,"50-59","60+"))))</f>
        <v>40-49</v>
      </c>
      <c r="M715" t="s">
        <v>20</v>
      </c>
      <c r="N715" t="s">
        <v>19</v>
      </c>
    </row>
    <row r="716" spans="1:14" x14ac:dyDescent="0.35">
      <c r="A716">
        <v>815</v>
      </c>
      <c r="B716" t="s">
        <v>15</v>
      </c>
      <c r="C716" s="6">
        <v>43123</v>
      </c>
      <c r="D716">
        <f>YEAR(Table1[[#This Row],[Join Date]])</f>
        <v>2018</v>
      </c>
      <c r="E716" s="6" t="s">
        <v>48</v>
      </c>
      <c r="F716" t="str">
        <f>IFERROR(YEAR(Table1[[#This Row],[Exit Date]]), " ")</f>
        <v xml:space="preserve"> </v>
      </c>
      <c r="G716" t="str">
        <f>IFERROR((Table1[[#This Row],[Exit Year]]-Table1[[#This Row],[Join Year]])+1," ")</f>
        <v xml:space="preserve"> </v>
      </c>
      <c r="H716" t="s">
        <v>48</v>
      </c>
      <c r="I716" t="s">
        <v>11</v>
      </c>
      <c r="J716" t="s">
        <v>12</v>
      </c>
      <c r="K716">
        <v>42</v>
      </c>
      <c r="L716" t="str">
        <f>IF(Table1[[#This Row],[Age]]&lt;30,"20-29",
IF(Table1[[#This Row],[Age]]&lt;40,"30-39",
IF(Table1[[#This Row],[Age]]&lt;50,"40-49",
IF(Table1[[#This Row],[Age]]&lt;60,"50-59","60+"))))</f>
        <v>40-49</v>
      </c>
      <c r="M716" t="s">
        <v>39</v>
      </c>
      <c r="N716" t="s">
        <v>21</v>
      </c>
    </row>
    <row r="717" spans="1:14" x14ac:dyDescent="0.35">
      <c r="A717">
        <v>816</v>
      </c>
      <c r="B717" t="s">
        <v>10</v>
      </c>
      <c r="C717" s="6">
        <v>43717</v>
      </c>
      <c r="D717">
        <f>YEAR(Table1[[#This Row],[Join Date]])</f>
        <v>2019</v>
      </c>
      <c r="E717" s="6">
        <v>44677</v>
      </c>
      <c r="F717">
        <f>IFERROR(YEAR(Table1[[#This Row],[Exit Date]]), " ")</f>
        <v>2022</v>
      </c>
      <c r="G717">
        <f>IFERROR((Table1[[#This Row],[Exit Year]]-Table1[[#This Row],[Join Year]])+1," ")</f>
        <v>4</v>
      </c>
      <c r="H717" t="s">
        <v>40</v>
      </c>
      <c r="I717" t="s">
        <v>23</v>
      </c>
      <c r="J717" t="s">
        <v>18</v>
      </c>
      <c r="K717">
        <v>35</v>
      </c>
      <c r="L717" t="str">
        <f>IF(Table1[[#This Row],[Age]]&lt;30,"20-29",
IF(Table1[[#This Row],[Age]]&lt;40,"30-39",
IF(Table1[[#This Row],[Age]]&lt;50,"40-49",
IF(Table1[[#This Row],[Age]]&lt;60,"50-59","60+"))))</f>
        <v>30-39</v>
      </c>
      <c r="M717" t="s">
        <v>13</v>
      </c>
      <c r="N717" t="s">
        <v>37</v>
      </c>
    </row>
    <row r="718" spans="1:14" x14ac:dyDescent="0.35">
      <c r="A718">
        <v>817</v>
      </c>
      <c r="B718" t="s">
        <v>29</v>
      </c>
      <c r="C718" s="6">
        <v>43534</v>
      </c>
      <c r="D718">
        <f>YEAR(Table1[[#This Row],[Join Date]])</f>
        <v>2019</v>
      </c>
      <c r="E718" s="6">
        <v>44117</v>
      </c>
      <c r="F718">
        <f>IFERROR(YEAR(Table1[[#This Row],[Exit Date]]), " ")</f>
        <v>2020</v>
      </c>
      <c r="G718">
        <f>IFERROR((Table1[[#This Row],[Exit Year]]-Table1[[#This Row],[Join Year]])+1," ")</f>
        <v>2</v>
      </c>
      <c r="H718" t="s">
        <v>38</v>
      </c>
      <c r="I718" t="s">
        <v>23</v>
      </c>
      <c r="J718" t="s">
        <v>12</v>
      </c>
      <c r="K718">
        <v>31</v>
      </c>
      <c r="L718" t="str">
        <f>IF(Table1[[#This Row],[Age]]&lt;30,"20-29",
IF(Table1[[#This Row],[Age]]&lt;40,"30-39",
IF(Table1[[#This Row],[Age]]&lt;50,"40-49",
IF(Table1[[#This Row],[Age]]&lt;60,"50-59","60+"))))</f>
        <v>30-39</v>
      </c>
      <c r="M718" t="s">
        <v>16</v>
      </c>
      <c r="N718" t="s">
        <v>25</v>
      </c>
    </row>
    <row r="719" spans="1:14" x14ac:dyDescent="0.35">
      <c r="A719">
        <v>818</v>
      </c>
      <c r="B719" t="s">
        <v>36</v>
      </c>
      <c r="C719" s="6">
        <v>44619</v>
      </c>
      <c r="D719">
        <f>YEAR(Table1[[#This Row],[Join Date]])</f>
        <v>2022</v>
      </c>
      <c r="E719" s="6" t="s">
        <v>48</v>
      </c>
      <c r="F719" t="str">
        <f>IFERROR(YEAR(Table1[[#This Row],[Exit Date]]), " ")</f>
        <v xml:space="preserve"> </v>
      </c>
      <c r="G719" t="str">
        <f>IFERROR((Table1[[#This Row],[Exit Year]]-Table1[[#This Row],[Join Year]])+1," ")</f>
        <v xml:space="preserve"> </v>
      </c>
      <c r="H719" t="s">
        <v>48</v>
      </c>
      <c r="I719" t="s">
        <v>11</v>
      </c>
      <c r="J719" t="s">
        <v>18</v>
      </c>
      <c r="K719">
        <v>51</v>
      </c>
      <c r="L719" t="str">
        <f>IF(Table1[[#This Row],[Age]]&lt;30,"20-29",
IF(Table1[[#This Row],[Age]]&lt;40,"30-39",
IF(Table1[[#This Row],[Age]]&lt;50,"40-49",
IF(Table1[[#This Row],[Age]]&lt;60,"50-59","60+"))))</f>
        <v>50-59</v>
      </c>
      <c r="M719" t="s">
        <v>16</v>
      </c>
      <c r="N719" t="s">
        <v>35</v>
      </c>
    </row>
    <row r="720" spans="1:14" x14ac:dyDescent="0.35">
      <c r="A720">
        <v>819</v>
      </c>
      <c r="B720" t="s">
        <v>10</v>
      </c>
      <c r="C720" s="6">
        <v>45485</v>
      </c>
      <c r="D720">
        <f>YEAR(Table1[[#This Row],[Join Date]])</f>
        <v>2024</v>
      </c>
      <c r="E720" s="6" t="s">
        <v>48</v>
      </c>
      <c r="F720" t="str">
        <f>IFERROR(YEAR(Table1[[#This Row],[Exit Date]]), " ")</f>
        <v xml:space="preserve"> </v>
      </c>
      <c r="G720" t="str">
        <f>IFERROR((Table1[[#This Row],[Exit Year]]-Table1[[#This Row],[Join Year]])+1," ")</f>
        <v xml:space="preserve"> </v>
      </c>
      <c r="H720" t="s">
        <v>48</v>
      </c>
      <c r="I720" t="s">
        <v>11</v>
      </c>
      <c r="J720" t="s">
        <v>18</v>
      </c>
      <c r="K720">
        <v>48</v>
      </c>
      <c r="L720" t="str">
        <f>IF(Table1[[#This Row],[Age]]&lt;30,"20-29",
IF(Table1[[#This Row],[Age]]&lt;40,"30-39",
IF(Table1[[#This Row],[Age]]&lt;50,"40-49",
IF(Table1[[#This Row],[Age]]&lt;60,"50-59","60+"))))</f>
        <v>40-49</v>
      </c>
      <c r="M720" t="s">
        <v>20</v>
      </c>
      <c r="N720" t="s">
        <v>14</v>
      </c>
    </row>
    <row r="721" spans="1:14" x14ac:dyDescent="0.35">
      <c r="A721">
        <v>820</v>
      </c>
      <c r="B721" t="s">
        <v>29</v>
      </c>
      <c r="C721" s="6">
        <v>43588</v>
      </c>
      <c r="D721">
        <f>YEAR(Table1[[#This Row],[Join Date]])</f>
        <v>2019</v>
      </c>
      <c r="E721" s="6">
        <v>44896</v>
      </c>
      <c r="F721">
        <f>IFERROR(YEAR(Table1[[#This Row],[Exit Date]]), " ")</f>
        <v>2022</v>
      </c>
      <c r="G721">
        <f>IFERROR((Table1[[#This Row],[Exit Year]]-Table1[[#This Row],[Join Year]])+1," ")</f>
        <v>4</v>
      </c>
      <c r="H721" t="s">
        <v>41</v>
      </c>
      <c r="I721" t="s">
        <v>23</v>
      </c>
      <c r="J721" t="s">
        <v>12</v>
      </c>
      <c r="K721">
        <v>41</v>
      </c>
      <c r="L721" t="str">
        <f>IF(Table1[[#This Row],[Age]]&lt;30,"20-29",
IF(Table1[[#This Row],[Age]]&lt;40,"30-39",
IF(Table1[[#This Row],[Age]]&lt;50,"40-49",
IF(Table1[[#This Row],[Age]]&lt;60,"50-59","60+"))))</f>
        <v>40-49</v>
      </c>
      <c r="M721" t="s">
        <v>24</v>
      </c>
      <c r="N721" t="s">
        <v>17</v>
      </c>
    </row>
    <row r="722" spans="1:14" x14ac:dyDescent="0.35">
      <c r="A722">
        <v>821</v>
      </c>
      <c r="B722" t="s">
        <v>36</v>
      </c>
      <c r="C722" s="6">
        <v>44250</v>
      </c>
      <c r="D722">
        <f>YEAR(Table1[[#This Row],[Join Date]])</f>
        <v>2021</v>
      </c>
      <c r="E722" s="6">
        <v>45392</v>
      </c>
      <c r="F722">
        <f>IFERROR(YEAR(Table1[[#This Row],[Exit Date]]), " ")</f>
        <v>2024</v>
      </c>
      <c r="G722">
        <f>IFERROR((Table1[[#This Row],[Exit Year]]-Table1[[#This Row],[Join Year]])+1," ")</f>
        <v>4</v>
      </c>
      <c r="H722" t="s">
        <v>46</v>
      </c>
      <c r="I722" t="s">
        <v>23</v>
      </c>
      <c r="J722" t="s">
        <v>12</v>
      </c>
      <c r="K722">
        <v>35</v>
      </c>
      <c r="L722" t="str">
        <f>IF(Table1[[#This Row],[Age]]&lt;30,"20-29",
IF(Table1[[#This Row],[Age]]&lt;40,"30-39",
IF(Table1[[#This Row],[Age]]&lt;50,"40-49",
IF(Table1[[#This Row],[Age]]&lt;60,"50-59","60+"))))</f>
        <v>30-39</v>
      </c>
      <c r="M722" t="s">
        <v>13</v>
      </c>
      <c r="N722" t="s">
        <v>19</v>
      </c>
    </row>
    <row r="723" spans="1:14" x14ac:dyDescent="0.35">
      <c r="A723">
        <v>822</v>
      </c>
      <c r="B723" t="s">
        <v>26</v>
      </c>
      <c r="C723" s="6">
        <v>45244</v>
      </c>
      <c r="D723">
        <f>YEAR(Table1[[#This Row],[Join Date]])</f>
        <v>2023</v>
      </c>
      <c r="E723" s="6">
        <v>45446</v>
      </c>
      <c r="F723">
        <f>IFERROR(YEAR(Table1[[#This Row],[Exit Date]]), " ")</f>
        <v>2024</v>
      </c>
      <c r="G723">
        <f>IFERROR((Table1[[#This Row],[Exit Year]]-Table1[[#This Row],[Join Year]])+1," ")</f>
        <v>2</v>
      </c>
      <c r="H723" t="s">
        <v>40</v>
      </c>
      <c r="I723" t="s">
        <v>23</v>
      </c>
      <c r="J723" t="s">
        <v>12</v>
      </c>
      <c r="K723">
        <v>24</v>
      </c>
      <c r="L723" t="str">
        <f>IF(Table1[[#This Row],[Age]]&lt;30,"20-29",
IF(Table1[[#This Row],[Age]]&lt;40,"30-39",
IF(Table1[[#This Row],[Age]]&lt;50,"40-49",
IF(Table1[[#This Row],[Age]]&lt;60,"50-59","60+"))))</f>
        <v>20-29</v>
      </c>
      <c r="M723" t="s">
        <v>44</v>
      </c>
      <c r="N723" t="s">
        <v>21</v>
      </c>
    </row>
    <row r="724" spans="1:14" x14ac:dyDescent="0.35">
      <c r="A724">
        <v>823</v>
      </c>
      <c r="B724" t="s">
        <v>15</v>
      </c>
      <c r="C724" s="6">
        <v>45256</v>
      </c>
      <c r="D724">
        <f>YEAR(Table1[[#This Row],[Join Date]])</f>
        <v>2023</v>
      </c>
      <c r="E724" s="6" t="s">
        <v>48</v>
      </c>
      <c r="F724" t="str">
        <f>IFERROR(YEAR(Table1[[#This Row],[Exit Date]]), " ")</f>
        <v xml:space="preserve"> </v>
      </c>
      <c r="G724" t="str">
        <f>IFERROR((Table1[[#This Row],[Exit Year]]-Table1[[#This Row],[Join Year]])+1," ")</f>
        <v xml:space="preserve"> </v>
      </c>
      <c r="H724" t="s">
        <v>48</v>
      </c>
      <c r="I724" t="s">
        <v>11</v>
      </c>
      <c r="J724" t="s">
        <v>18</v>
      </c>
      <c r="K724">
        <v>41</v>
      </c>
      <c r="L724" t="str">
        <f>IF(Table1[[#This Row],[Age]]&lt;30,"20-29",
IF(Table1[[#This Row],[Age]]&lt;40,"30-39",
IF(Table1[[#This Row],[Age]]&lt;50,"40-49",
IF(Table1[[#This Row],[Age]]&lt;60,"50-59","60+"))))</f>
        <v>40-49</v>
      </c>
      <c r="M724" t="s">
        <v>13</v>
      </c>
      <c r="N724" t="s">
        <v>25</v>
      </c>
    </row>
    <row r="725" spans="1:14" x14ac:dyDescent="0.35">
      <c r="A725">
        <v>824</v>
      </c>
      <c r="B725" t="s">
        <v>26</v>
      </c>
      <c r="C725" s="6">
        <v>45465</v>
      </c>
      <c r="D725">
        <f>YEAR(Table1[[#This Row],[Join Date]])</f>
        <v>2024</v>
      </c>
      <c r="E725" s="6" t="s">
        <v>48</v>
      </c>
      <c r="F725" t="str">
        <f>IFERROR(YEAR(Table1[[#This Row],[Exit Date]]), " ")</f>
        <v xml:space="preserve"> </v>
      </c>
      <c r="G725" t="str">
        <f>IFERROR((Table1[[#This Row],[Exit Year]]-Table1[[#This Row],[Join Year]])+1," ")</f>
        <v xml:space="preserve"> </v>
      </c>
      <c r="H725" t="s">
        <v>48</v>
      </c>
      <c r="I725" t="s">
        <v>11</v>
      </c>
      <c r="J725" t="s">
        <v>18</v>
      </c>
      <c r="K725">
        <v>40</v>
      </c>
      <c r="L725" t="str">
        <f>IF(Table1[[#This Row],[Age]]&lt;30,"20-29",
IF(Table1[[#This Row],[Age]]&lt;40,"30-39",
IF(Table1[[#This Row],[Age]]&lt;50,"40-49",
IF(Table1[[#This Row],[Age]]&lt;60,"50-59","60+"))))</f>
        <v>40-49</v>
      </c>
      <c r="M725" t="s">
        <v>13</v>
      </c>
      <c r="N725" t="s">
        <v>28</v>
      </c>
    </row>
    <row r="726" spans="1:14" x14ac:dyDescent="0.35">
      <c r="A726">
        <v>825</v>
      </c>
      <c r="B726" t="s">
        <v>10</v>
      </c>
      <c r="C726" s="6">
        <v>43597</v>
      </c>
      <c r="D726">
        <f>YEAR(Table1[[#This Row],[Join Date]])</f>
        <v>2019</v>
      </c>
      <c r="E726" s="6" t="s">
        <v>48</v>
      </c>
      <c r="F726" t="str">
        <f>IFERROR(YEAR(Table1[[#This Row],[Exit Date]]), " ")</f>
        <v xml:space="preserve"> </v>
      </c>
      <c r="G726" t="str">
        <f>IFERROR((Table1[[#This Row],[Exit Year]]-Table1[[#This Row],[Join Year]])+1," ")</f>
        <v xml:space="preserve"> </v>
      </c>
      <c r="H726" t="s">
        <v>48</v>
      </c>
      <c r="I726" t="s">
        <v>11</v>
      </c>
      <c r="J726" t="s">
        <v>12</v>
      </c>
      <c r="K726">
        <v>48</v>
      </c>
      <c r="L726" t="str">
        <f>IF(Table1[[#This Row],[Age]]&lt;30,"20-29",
IF(Table1[[#This Row],[Age]]&lt;40,"30-39",
IF(Table1[[#This Row],[Age]]&lt;50,"40-49",
IF(Table1[[#This Row],[Age]]&lt;60,"50-59","60+"))))</f>
        <v>40-49</v>
      </c>
      <c r="M726" t="s">
        <v>16</v>
      </c>
      <c r="N726" t="s">
        <v>31</v>
      </c>
    </row>
    <row r="727" spans="1:14" x14ac:dyDescent="0.35">
      <c r="A727">
        <v>826</v>
      </c>
      <c r="B727" t="s">
        <v>15</v>
      </c>
      <c r="C727" s="6">
        <v>44866</v>
      </c>
      <c r="D727">
        <f>YEAR(Table1[[#This Row],[Join Date]])</f>
        <v>2022</v>
      </c>
      <c r="E727" s="6" t="s">
        <v>48</v>
      </c>
      <c r="F727" t="str">
        <f>IFERROR(YEAR(Table1[[#This Row],[Exit Date]]), " ")</f>
        <v xml:space="preserve"> </v>
      </c>
      <c r="G727" t="str">
        <f>IFERROR((Table1[[#This Row],[Exit Year]]-Table1[[#This Row],[Join Year]])+1," ")</f>
        <v xml:space="preserve"> </v>
      </c>
      <c r="H727" t="s">
        <v>48</v>
      </c>
      <c r="I727" t="s">
        <v>11</v>
      </c>
      <c r="J727" t="s">
        <v>18</v>
      </c>
      <c r="K727">
        <v>52</v>
      </c>
      <c r="L727" t="str">
        <f>IF(Table1[[#This Row],[Age]]&lt;30,"20-29",
IF(Table1[[#This Row],[Age]]&lt;40,"30-39",
IF(Table1[[#This Row],[Age]]&lt;50,"40-49",
IF(Table1[[#This Row],[Age]]&lt;60,"50-59","60+"))))</f>
        <v>50-59</v>
      </c>
      <c r="M727" t="s">
        <v>13</v>
      </c>
      <c r="N727" t="s">
        <v>32</v>
      </c>
    </row>
    <row r="728" spans="1:14" x14ac:dyDescent="0.35">
      <c r="A728">
        <v>827</v>
      </c>
      <c r="B728" t="s">
        <v>34</v>
      </c>
      <c r="C728" s="6">
        <v>44006</v>
      </c>
      <c r="D728">
        <f>YEAR(Table1[[#This Row],[Join Date]])</f>
        <v>2020</v>
      </c>
      <c r="E728" s="6">
        <v>44463</v>
      </c>
      <c r="F728">
        <f>IFERROR(YEAR(Table1[[#This Row],[Exit Date]]), " ")</f>
        <v>2021</v>
      </c>
      <c r="G728">
        <f>IFERROR((Table1[[#This Row],[Exit Year]]-Table1[[#This Row],[Join Year]])+1," ")</f>
        <v>2</v>
      </c>
      <c r="H728" t="s">
        <v>43</v>
      </c>
      <c r="I728" t="s">
        <v>23</v>
      </c>
      <c r="J728" t="s">
        <v>18</v>
      </c>
      <c r="K728">
        <v>33</v>
      </c>
      <c r="L728" t="str">
        <f>IF(Table1[[#This Row],[Age]]&lt;30,"20-29",
IF(Table1[[#This Row],[Age]]&lt;40,"30-39",
IF(Table1[[#This Row],[Age]]&lt;50,"40-49",
IF(Table1[[#This Row],[Age]]&lt;60,"50-59","60+"))))</f>
        <v>30-39</v>
      </c>
      <c r="M728" t="s">
        <v>20</v>
      </c>
      <c r="N728" t="s">
        <v>33</v>
      </c>
    </row>
    <row r="729" spans="1:14" x14ac:dyDescent="0.35">
      <c r="A729">
        <v>828</v>
      </c>
      <c r="B729" t="s">
        <v>26</v>
      </c>
      <c r="C729" s="6">
        <v>45095</v>
      </c>
      <c r="D729">
        <f>YEAR(Table1[[#This Row],[Join Date]])</f>
        <v>2023</v>
      </c>
      <c r="E729" s="6" t="s">
        <v>48</v>
      </c>
      <c r="F729" t="str">
        <f>IFERROR(YEAR(Table1[[#This Row],[Exit Date]]), " ")</f>
        <v xml:space="preserve"> </v>
      </c>
      <c r="G729" t="str">
        <f>IFERROR((Table1[[#This Row],[Exit Year]]-Table1[[#This Row],[Join Year]])+1," ")</f>
        <v xml:space="preserve"> </v>
      </c>
      <c r="H729" t="s">
        <v>48</v>
      </c>
      <c r="I729" t="s">
        <v>11</v>
      </c>
      <c r="J729" t="s">
        <v>12</v>
      </c>
      <c r="K729">
        <v>51</v>
      </c>
      <c r="L729" t="str">
        <f>IF(Table1[[#This Row],[Age]]&lt;30,"20-29",
IF(Table1[[#This Row],[Age]]&lt;40,"30-39",
IF(Table1[[#This Row],[Age]]&lt;50,"40-49",
IF(Table1[[#This Row],[Age]]&lt;60,"50-59","60+"))))</f>
        <v>50-59</v>
      </c>
      <c r="M729" t="s">
        <v>39</v>
      </c>
      <c r="N729" t="s">
        <v>35</v>
      </c>
    </row>
    <row r="730" spans="1:14" x14ac:dyDescent="0.35">
      <c r="A730">
        <v>829</v>
      </c>
      <c r="B730" t="s">
        <v>10</v>
      </c>
      <c r="C730" s="6">
        <v>44360</v>
      </c>
      <c r="D730">
        <f>YEAR(Table1[[#This Row],[Join Date]])</f>
        <v>2021</v>
      </c>
      <c r="E730" s="6">
        <v>44755</v>
      </c>
      <c r="F730">
        <f>IFERROR(YEAR(Table1[[#This Row],[Exit Date]]), " ")</f>
        <v>2022</v>
      </c>
      <c r="G730">
        <f>IFERROR((Table1[[#This Row],[Exit Year]]-Table1[[#This Row],[Join Year]])+1," ")</f>
        <v>2</v>
      </c>
      <c r="H730" t="s">
        <v>46</v>
      </c>
      <c r="I730" t="s">
        <v>23</v>
      </c>
      <c r="J730" t="s">
        <v>12</v>
      </c>
      <c r="K730">
        <v>46</v>
      </c>
      <c r="L730" t="str">
        <f>IF(Table1[[#This Row],[Age]]&lt;30,"20-29",
IF(Table1[[#This Row],[Age]]&lt;40,"30-39",
IF(Table1[[#This Row],[Age]]&lt;50,"40-49",
IF(Table1[[#This Row],[Age]]&lt;60,"50-59","60+"))))</f>
        <v>40-49</v>
      </c>
      <c r="M730" t="s">
        <v>13</v>
      </c>
      <c r="N730" t="s">
        <v>37</v>
      </c>
    </row>
    <row r="731" spans="1:14" x14ac:dyDescent="0.35">
      <c r="A731">
        <v>830</v>
      </c>
      <c r="B731" t="s">
        <v>26</v>
      </c>
      <c r="C731" s="6">
        <v>43419</v>
      </c>
      <c r="D731">
        <f>YEAR(Table1[[#This Row],[Join Date]])</f>
        <v>2018</v>
      </c>
      <c r="E731" s="6">
        <v>44303</v>
      </c>
      <c r="F731">
        <f>IFERROR(YEAR(Table1[[#This Row],[Exit Date]]), " ")</f>
        <v>2021</v>
      </c>
      <c r="G731">
        <f>IFERROR((Table1[[#This Row],[Exit Year]]-Table1[[#This Row],[Join Year]])+1," ")</f>
        <v>4</v>
      </c>
      <c r="H731" t="s">
        <v>22</v>
      </c>
      <c r="I731" t="s">
        <v>23</v>
      </c>
      <c r="J731" t="s">
        <v>12</v>
      </c>
      <c r="K731">
        <v>53</v>
      </c>
      <c r="L731" t="str">
        <f>IF(Table1[[#This Row],[Age]]&lt;30,"20-29",
IF(Table1[[#This Row],[Age]]&lt;40,"30-39",
IF(Table1[[#This Row],[Age]]&lt;50,"40-49",
IF(Table1[[#This Row],[Age]]&lt;60,"50-59","60+"))))</f>
        <v>50-59</v>
      </c>
      <c r="M731" t="s">
        <v>16</v>
      </c>
      <c r="N731" t="s">
        <v>19</v>
      </c>
    </row>
    <row r="732" spans="1:14" x14ac:dyDescent="0.35">
      <c r="A732">
        <v>831</v>
      </c>
      <c r="B732" t="s">
        <v>36</v>
      </c>
      <c r="C732" s="6">
        <v>44249</v>
      </c>
      <c r="D732">
        <f>YEAR(Table1[[#This Row],[Join Date]])</f>
        <v>2021</v>
      </c>
      <c r="E732" s="6" t="s">
        <v>48</v>
      </c>
      <c r="F732" t="str">
        <f>IFERROR(YEAR(Table1[[#This Row],[Exit Date]]), " ")</f>
        <v xml:space="preserve"> </v>
      </c>
      <c r="G732" t="str">
        <f>IFERROR((Table1[[#This Row],[Exit Year]]-Table1[[#This Row],[Join Year]])+1," ")</f>
        <v xml:space="preserve"> </v>
      </c>
      <c r="H732" t="s">
        <v>48</v>
      </c>
      <c r="I732" t="s">
        <v>11</v>
      </c>
      <c r="J732" t="s">
        <v>12</v>
      </c>
      <c r="K732">
        <v>35</v>
      </c>
      <c r="L732" t="str">
        <f>IF(Table1[[#This Row],[Age]]&lt;30,"20-29",
IF(Table1[[#This Row],[Age]]&lt;40,"30-39",
IF(Table1[[#This Row],[Age]]&lt;50,"40-49",
IF(Table1[[#This Row],[Age]]&lt;60,"50-59","60+"))))</f>
        <v>30-39</v>
      </c>
      <c r="M732" t="s">
        <v>16</v>
      </c>
      <c r="N732" t="s">
        <v>25</v>
      </c>
    </row>
    <row r="733" spans="1:14" x14ac:dyDescent="0.35">
      <c r="A733">
        <v>832</v>
      </c>
      <c r="B733" t="s">
        <v>10</v>
      </c>
      <c r="C733" s="6">
        <v>45533</v>
      </c>
      <c r="D733">
        <f>YEAR(Table1[[#This Row],[Join Date]])</f>
        <v>2024</v>
      </c>
      <c r="E733" s="6" t="s">
        <v>48</v>
      </c>
      <c r="F733" t="str">
        <f>IFERROR(YEAR(Table1[[#This Row],[Exit Date]]), " ")</f>
        <v xml:space="preserve"> </v>
      </c>
      <c r="G733" t="str">
        <f>IFERROR((Table1[[#This Row],[Exit Year]]-Table1[[#This Row],[Join Year]])+1," ")</f>
        <v xml:space="preserve"> </v>
      </c>
      <c r="H733" t="s">
        <v>48</v>
      </c>
      <c r="I733" t="s">
        <v>11</v>
      </c>
      <c r="J733" t="s">
        <v>18</v>
      </c>
      <c r="K733">
        <v>32</v>
      </c>
      <c r="L733" t="str">
        <f>IF(Table1[[#This Row],[Age]]&lt;30,"20-29",
IF(Table1[[#This Row],[Age]]&lt;40,"30-39",
IF(Table1[[#This Row],[Age]]&lt;50,"40-49",
IF(Table1[[#This Row],[Age]]&lt;60,"50-59","60+"))))</f>
        <v>30-39</v>
      </c>
      <c r="M733" t="s">
        <v>20</v>
      </c>
      <c r="N733" t="s">
        <v>35</v>
      </c>
    </row>
    <row r="734" spans="1:14" x14ac:dyDescent="0.35">
      <c r="A734">
        <v>833</v>
      </c>
      <c r="B734" t="s">
        <v>36</v>
      </c>
      <c r="C734" s="6">
        <v>44377</v>
      </c>
      <c r="D734">
        <f>YEAR(Table1[[#This Row],[Join Date]])</f>
        <v>2021</v>
      </c>
      <c r="E734" s="6" t="s">
        <v>48</v>
      </c>
      <c r="F734" t="str">
        <f>IFERROR(YEAR(Table1[[#This Row],[Exit Date]]), " ")</f>
        <v xml:space="preserve"> </v>
      </c>
      <c r="G734" t="str">
        <f>IFERROR((Table1[[#This Row],[Exit Year]]-Table1[[#This Row],[Join Year]])+1," ")</f>
        <v xml:space="preserve"> </v>
      </c>
      <c r="H734" t="s">
        <v>48</v>
      </c>
      <c r="I734" t="s">
        <v>11</v>
      </c>
      <c r="J734" t="s">
        <v>18</v>
      </c>
      <c r="K734">
        <v>46</v>
      </c>
      <c r="L734" t="str">
        <f>IF(Table1[[#This Row],[Age]]&lt;30,"20-29",
IF(Table1[[#This Row],[Age]]&lt;40,"30-39",
IF(Table1[[#This Row],[Age]]&lt;50,"40-49",
IF(Table1[[#This Row],[Age]]&lt;60,"50-59","60+"))))</f>
        <v>40-49</v>
      </c>
      <c r="M734" t="s">
        <v>24</v>
      </c>
      <c r="N734" t="s">
        <v>17</v>
      </c>
    </row>
    <row r="735" spans="1:14" x14ac:dyDescent="0.35">
      <c r="A735">
        <v>834</v>
      </c>
      <c r="B735" t="s">
        <v>10</v>
      </c>
      <c r="C735" s="6">
        <v>44088</v>
      </c>
      <c r="D735">
        <f>YEAR(Table1[[#This Row],[Join Date]])</f>
        <v>2020</v>
      </c>
      <c r="E735" s="6" t="s">
        <v>48</v>
      </c>
      <c r="F735" t="str">
        <f>IFERROR(YEAR(Table1[[#This Row],[Exit Date]]), " ")</f>
        <v xml:space="preserve"> </v>
      </c>
      <c r="G735" t="str">
        <f>IFERROR((Table1[[#This Row],[Exit Year]]-Table1[[#This Row],[Join Year]])+1," ")</f>
        <v xml:space="preserve"> </v>
      </c>
      <c r="H735" t="s">
        <v>48</v>
      </c>
      <c r="I735" t="s">
        <v>11</v>
      </c>
      <c r="J735" t="s">
        <v>18</v>
      </c>
      <c r="K735">
        <v>50</v>
      </c>
      <c r="L735" t="str">
        <f>IF(Table1[[#This Row],[Age]]&lt;30,"20-29",
IF(Table1[[#This Row],[Age]]&lt;40,"30-39",
IF(Table1[[#This Row],[Age]]&lt;50,"40-49",
IF(Table1[[#This Row],[Age]]&lt;60,"50-59","60+"))))</f>
        <v>50-59</v>
      </c>
      <c r="M735" t="s">
        <v>13</v>
      </c>
      <c r="N735" t="s">
        <v>19</v>
      </c>
    </row>
    <row r="736" spans="1:14" x14ac:dyDescent="0.35">
      <c r="A736">
        <v>835</v>
      </c>
      <c r="B736" t="s">
        <v>26</v>
      </c>
      <c r="C736" s="6">
        <v>43373</v>
      </c>
      <c r="D736">
        <f>YEAR(Table1[[#This Row],[Join Date]])</f>
        <v>2018</v>
      </c>
      <c r="E736" s="6">
        <v>44825</v>
      </c>
      <c r="F736">
        <f>IFERROR(YEAR(Table1[[#This Row],[Exit Date]]), " ")</f>
        <v>2022</v>
      </c>
      <c r="G736">
        <f>IFERROR((Table1[[#This Row],[Exit Year]]-Table1[[#This Row],[Join Year]])+1," ")</f>
        <v>5</v>
      </c>
      <c r="H736" t="s">
        <v>27</v>
      </c>
      <c r="I736" t="s">
        <v>23</v>
      </c>
      <c r="J736" t="s">
        <v>12</v>
      </c>
      <c r="K736">
        <v>62</v>
      </c>
      <c r="L736" t="str">
        <f>IF(Table1[[#This Row],[Age]]&lt;30,"20-29",
IF(Table1[[#This Row],[Age]]&lt;40,"30-39",
IF(Table1[[#This Row],[Age]]&lt;50,"40-49",
IF(Table1[[#This Row],[Age]]&lt;60,"50-59","60+"))))</f>
        <v>60+</v>
      </c>
      <c r="M736" t="s">
        <v>42</v>
      </c>
      <c r="N736" t="s">
        <v>21</v>
      </c>
    </row>
    <row r="737" spans="1:14" x14ac:dyDescent="0.35">
      <c r="A737">
        <v>836</v>
      </c>
      <c r="B737" t="s">
        <v>26</v>
      </c>
      <c r="C737" s="6">
        <v>43314</v>
      </c>
      <c r="D737">
        <f>YEAR(Table1[[#This Row],[Join Date]])</f>
        <v>2018</v>
      </c>
      <c r="E737" s="6" t="s">
        <v>48</v>
      </c>
      <c r="F737" t="str">
        <f>IFERROR(YEAR(Table1[[#This Row],[Exit Date]]), " ")</f>
        <v xml:space="preserve"> </v>
      </c>
      <c r="G737" t="str">
        <f>IFERROR((Table1[[#This Row],[Exit Year]]-Table1[[#This Row],[Join Year]])+1," ")</f>
        <v xml:space="preserve"> </v>
      </c>
      <c r="H737" t="s">
        <v>48</v>
      </c>
      <c r="I737" t="s">
        <v>11</v>
      </c>
      <c r="J737" t="s">
        <v>18</v>
      </c>
      <c r="K737">
        <v>29</v>
      </c>
      <c r="L737" t="str">
        <f>IF(Table1[[#This Row],[Age]]&lt;30,"20-29",
IF(Table1[[#This Row],[Age]]&lt;40,"30-39",
IF(Table1[[#This Row],[Age]]&lt;50,"40-49",
IF(Table1[[#This Row],[Age]]&lt;60,"50-59","60+"))))</f>
        <v>20-29</v>
      </c>
      <c r="M737" t="s">
        <v>13</v>
      </c>
      <c r="N737" t="s">
        <v>25</v>
      </c>
    </row>
    <row r="738" spans="1:14" x14ac:dyDescent="0.35">
      <c r="A738">
        <v>837</v>
      </c>
      <c r="B738" t="s">
        <v>26</v>
      </c>
      <c r="C738" s="6">
        <v>44418</v>
      </c>
      <c r="D738">
        <f>YEAR(Table1[[#This Row],[Join Date]])</f>
        <v>2021</v>
      </c>
      <c r="E738" s="6">
        <v>45628</v>
      </c>
      <c r="F738">
        <f>IFERROR(YEAR(Table1[[#This Row],[Exit Date]]), " ")</f>
        <v>2024</v>
      </c>
      <c r="G738">
        <f>IFERROR((Table1[[#This Row],[Exit Year]]-Table1[[#This Row],[Join Year]])+1," ")</f>
        <v>4</v>
      </c>
      <c r="H738" t="s">
        <v>22</v>
      </c>
      <c r="I738" t="s">
        <v>23</v>
      </c>
      <c r="J738" t="s">
        <v>18</v>
      </c>
      <c r="K738">
        <v>27</v>
      </c>
      <c r="L738" t="str">
        <f>IF(Table1[[#This Row],[Age]]&lt;30,"20-29",
IF(Table1[[#This Row],[Age]]&lt;40,"30-39",
IF(Table1[[#This Row],[Age]]&lt;50,"40-49",
IF(Table1[[#This Row],[Age]]&lt;60,"50-59","60+"))))</f>
        <v>20-29</v>
      </c>
      <c r="M738" t="s">
        <v>13</v>
      </c>
      <c r="N738" t="s">
        <v>35</v>
      </c>
    </row>
    <row r="739" spans="1:14" x14ac:dyDescent="0.35">
      <c r="A739">
        <v>838</v>
      </c>
      <c r="B739" t="s">
        <v>34</v>
      </c>
      <c r="C739" s="6">
        <v>44324</v>
      </c>
      <c r="D739">
        <f>YEAR(Table1[[#This Row],[Join Date]])</f>
        <v>2021</v>
      </c>
      <c r="E739" s="6">
        <v>45076</v>
      </c>
      <c r="F739">
        <f>IFERROR(YEAR(Table1[[#This Row],[Exit Date]]), " ")</f>
        <v>2023</v>
      </c>
      <c r="G739">
        <f>IFERROR((Table1[[#This Row],[Exit Year]]-Table1[[#This Row],[Join Year]])+1," ")</f>
        <v>3</v>
      </c>
      <c r="H739" t="s">
        <v>40</v>
      </c>
      <c r="I739" t="s">
        <v>23</v>
      </c>
      <c r="J739" t="s">
        <v>12</v>
      </c>
      <c r="K739">
        <v>31</v>
      </c>
      <c r="L739" t="str">
        <f>IF(Table1[[#This Row],[Age]]&lt;30,"20-29",
IF(Table1[[#This Row],[Age]]&lt;40,"30-39",
IF(Table1[[#This Row],[Age]]&lt;50,"40-49",
IF(Table1[[#This Row],[Age]]&lt;60,"50-59","60+"))))</f>
        <v>30-39</v>
      </c>
      <c r="M739" t="s">
        <v>16</v>
      </c>
      <c r="N739" t="s">
        <v>14</v>
      </c>
    </row>
    <row r="740" spans="1:14" x14ac:dyDescent="0.35">
      <c r="A740">
        <v>839</v>
      </c>
      <c r="B740" t="s">
        <v>10</v>
      </c>
      <c r="C740" s="6">
        <v>43513</v>
      </c>
      <c r="D740">
        <f>YEAR(Table1[[#This Row],[Join Date]])</f>
        <v>2019</v>
      </c>
      <c r="E740" s="6">
        <v>44923</v>
      </c>
      <c r="F740">
        <f>IFERROR(YEAR(Table1[[#This Row],[Exit Date]]), " ")</f>
        <v>2022</v>
      </c>
      <c r="G740">
        <f>IFERROR((Table1[[#This Row],[Exit Year]]-Table1[[#This Row],[Join Year]])+1," ")</f>
        <v>4</v>
      </c>
      <c r="H740" t="s">
        <v>38</v>
      </c>
      <c r="I740" t="s">
        <v>23</v>
      </c>
      <c r="J740" t="s">
        <v>18</v>
      </c>
      <c r="K740">
        <v>24</v>
      </c>
      <c r="L740" t="str">
        <f>IF(Table1[[#This Row],[Age]]&lt;30,"20-29",
IF(Table1[[#This Row],[Age]]&lt;40,"30-39",
IF(Table1[[#This Row],[Age]]&lt;50,"40-49",
IF(Table1[[#This Row],[Age]]&lt;60,"50-59","60+"))))</f>
        <v>20-29</v>
      </c>
      <c r="M740" t="s">
        <v>13</v>
      </c>
      <c r="N740" t="s">
        <v>19</v>
      </c>
    </row>
    <row r="741" spans="1:14" x14ac:dyDescent="0.35">
      <c r="A741">
        <v>840</v>
      </c>
      <c r="B741" t="s">
        <v>36</v>
      </c>
      <c r="C741" s="6">
        <v>44180</v>
      </c>
      <c r="D741">
        <f>YEAR(Table1[[#This Row],[Join Date]])</f>
        <v>2020</v>
      </c>
      <c r="E741" s="6" t="s">
        <v>48</v>
      </c>
      <c r="F741" t="str">
        <f>IFERROR(YEAR(Table1[[#This Row],[Exit Date]]), " ")</f>
        <v xml:space="preserve"> </v>
      </c>
      <c r="G741" t="str">
        <f>IFERROR((Table1[[#This Row],[Exit Year]]-Table1[[#This Row],[Join Year]])+1," ")</f>
        <v xml:space="preserve"> </v>
      </c>
      <c r="H741" t="s">
        <v>48</v>
      </c>
      <c r="I741" t="s">
        <v>11</v>
      </c>
      <c r="J741" t="s">
        <v>18</v>
      </c>
      <c r="K741">
        <v>37</v>
      </c>
      <c r="L741" t="str">
        <f>IF(Table1[[#This Row],[Age]]&lt;30,"20-29",
IF(Table1[[#This Row],[Age]]&lt;40,"30-39",
IF(Table1[[#This Row],[Age]]&lt;50,"40-49",
IF(Table1[[#This Row],[Age]]&lt;60,"50-59","60+"))))</f>
        <v>30-39</v>
      </c>
      <c r="M741" t="s">
        <v>20</v>
      </c>
      <c r="N741" t="s">
        <v>21</v>
      </c>
    </row>
    <row r="742" spans="1:14" x14ac:dyDescent="0.35">
      <c r="A742">
        <v>841</v>
      </c>
      <c r="B742" t="s">
        <v>34</v>
      </c>
      <c r="C742" s="6">
        <v>44099</v>
      </c>
      <c r="D742">
        <f>YEAR(Table1[[#This Row],[Join Date]])</f>
        <v>2020</v>
      </c>
      <c r="E742" s="6" t="s">
        <v>48</v>
      </c>
      <c r="F742" t="str">
        <f>IFERROR(YEAR(Table1[[#This Row],[Exit Date]]), " ")</f>
        <v xml:space="preserve"> </v>
      </c>
      <c r="G742" t="str">
        <f>IFERROR((Table1[[#This Row],[Exit Year]]-Table1[[#This Row],[Join Year]])+1," ")</f>
        <v xml:space="preserve"> </v>
      </c>
      <c r="H742" t="s">
        <v>48</v>
      </c>
      <c r="I742" t="s">
        <v>11</v>
      </c>
      <c r="J742" t="s">
        <v>18</v>
      </c>
      <c r="K742">
        <v>23</v>
      </c>
      <c r="L742" t="str">
        <f>IF(Table1[[#This Row],[Age]]&lt;30,"20-29",
IF(Table1[[#This Row],[Age]]&lt;40,"30-39",
IF(Table1[[#This Row],[Age]]&lt;50,"40-49",
IF(Table1[[#This Row],[Age]]&lt;60,"50-59","60+"))))</f>
        <v>20-29</v>
      </c>
      <c r="M742" t="s">
        <v>44</v>
      </c>
      <c r="N742" t="s">
        <v>37</v>
      </c>
    </row>
    <row r="743" spans="1:14" x14ac:dyDescent="0.35">
      <c r="A743">
        <v>842</v>
      </c>
      <c r="B743" t="s">
        <v>34</v>
      </c>
      <c r="C743" s="6">
        <v>45632</v>
      </c>
      <c r="D743">
        <f>YEAR(Table1[[#This Row],[Join Date]])</f>
        <v>2024</v>
      </c>
      <c r="E743" s="6" t="s">
        <v>48</v>
      </c>
      <c r="F743" t="str">
        <f>IFERROR(YEAR(Table1[[#This Row],[Exit Date]]), " ")</f>
        <v xml:space="preserve"> </v>
      </c>
      <c r="G743" t="str">
        <f>IFERROR((Table1[[#This Row],[Exit Year]]-Table1[[#This Row],[Join Year]])+1," ")</f>
        <v xml:space="preserve"> </v>
      </c>
      <c r="H743" t="s">
        <v>48</v>
      </c>
      <c r="I743" t="s">
        <v>11</v>
      </c>
      <c r="J743" t="s">
        <v>12</v>
      </c>
      <c r="K743">
        <v>31</v>
      </c>
      <c r="L743" t="str">
        <f>IF(Table1[[#This Row],[Age]]&lt;30,"20-29",
IF(Table1[[#This Row],[Age]]&lt;40,"30-39",
IF(Table1[[#This Row],[Age]]&lt;50,"40-49",
IF(Table1[[#This Row],[Age]]&lt;60,"50-59","60+"))))</f>
        <v>30-39</v>
      </c>
      <c r="M743" t="s">
        <v>13</v>
      </c>
      <c r="N743" t="s">
        <v>25</v>
      </c>
    </row>
    <row r="744" spans="1:14" x14ac:dyDescent="0.35">
      <c r="A744">
        <v>843</v>
      </c>
      <c r="B744" t="s">
        <v>36</v>
      </c>
      <c r="C744" s="6">
        <v>45294</v>
      </c>
      <c r="D744">
        <f>YEAR(Table1[[#This Row],[Join Date]])</f>
        <v>2024</v>
      </c>
      <c r="E744" s="6" t="s">
        <v>48</v>
      </c>
      <c r="F744" t="str">
        <f>IFERROR(YEAR(Table1[[#This Row],[Exit Date]]), " ")</f>
        <v xml:space="preserve"> </v>
      </c>
      <c r="G744" t="str">
        <f>IFERROR((Table1[[#This Row],[Exit Year]]-Table1[[#This Row],[Join Year]])+1," ")</f>
        <v xml:space="preserve"> </v>
      </c>
      <c r="H744" t="s">
        <v>48</v>
      </c>
      <c r="I744" t="s">
        <v>11</v>
      </c>
      <c r="J744" t="s">
        <v>12</v>
      </c>
      <c r="K744">
        <v>52</v>
      </c>
      <c r="L744" t="str">
        <f>IF(Table1[[#This Row],[Age]]&lt;30,"20-29",
IF(Table1[[#This Row],[Age]]&lt;40,"30-39",
IF(Table1[[#This Row],[Age]]&lt;50,"40-49",
IF(Table1[[#This Row],[Age]]&lt;60,"50-59","60+"))))</f>
        <v>50-59</v>
      </c>
      <c r="M744" t="s">
        <v>16</v>
      </c>
      <c r="N744" t="s">
        <v>35</v>
      </c>
    </row>
    <row r="745" spans="1:14" x14ac:dyDescent="0.35">
      <c r="A745">
        <v>844</v>
      </c>
      <c r="B745" t="s">
        <v>26</v>
      </c>
      <c r="C745" s="6">
        <v>44590</v>
      </c>
      <c r="D745">
        <f>YEAR(Table1[[#This Row],[Join Date]])</f>
        <v>2022</v>
      </c>
      <c r="E745" s="6" t="s">
        <v>48</v>
      </c>
      <c r="F745" t="str">
        <f>IFERROR(YEAR(Table1[[#This Row],[Exit Date]]), " ")</f>
        <v xml:space="preserve"> </v>
      </c>
      <c r="G745" t="str">
        <f>IFERROR((Table1[[#This Row],[Exit Year]]-Table1[[#This Row],[Join Year]])+1," ")</f>
        <v xml:space="preserve"> </v>
      </c>
      <c r="H745" t="s">
        <v>48</v>
      </c>
      <c r="I745" t="s">
        <v>11</v>
      </c>
      <c r="J745" t="s">
        <v>18</v>
      </c>
      <c r="K745">
        <v>25</v>
      </c>
      <c r="L745" t="str">
        <f>IF(Table1[[#This Row],[Age]]&lt;30,"20-29",
IF(Table1[[#This Row],[Age]]&lt;40,"30-39",
IF(Table1[[#This Row],[Age]]&lt;50,"40-49",
IF(Table1[[#This Row],[Age]]&lt;60,"50-59","60+"))))</f>
        <v>20-29</v>
      </c>
      <c r="M745" t="s">
        <v>16</v>
      </c>
      <c r="N745" t="s">
        <v>37</v>
      </c>
    </row>
    <row r="746" spans="1:14" x14ac:dyDescent="0.35">
      <c r="A746">
        <v>845</v>
      </c>
      <c r="B746" t="s">
        <v>15</v>
      </c>
      <c r="C746" s="6">
        <v>45215</v>
      </c>
      <c r="D746">
        <f>YEAR(Table1[[#This Row],[Join Date]])</f>
        <v>2023</v>
      </c>
      <c r="E746" s="6" t="s">
        <v>48</v>
      </c>
      <c r="F746" t="str">
        <f>IFERROR(YEAR(Table1[[#This Row],[Exit Date]]), " ")</f>
        <v xml:space="preserve"> </v>
      </c>
      <c r="G746" t="str">
        <f>IFERROR((Table1[[#This Row],[Exit Year]]-Table1[[#This Row],[Join Year]])+1," ")</f>
        <v xml:space="preserve"> </v>
      </c>
      <c r="H746" t="s">
        <v>48</v>
      </c>
      <c r="I746" t="s">
        <v>11</v>
      </c>
      <c r="J746" t="s">
        <v>18</v>
      </c>
      <c r="K746">
        <v>46</v>
      </c>
      <c r="L746" t="str">
        <f>IF(Table1[[#This Row],[Age]]&lt;30,"20-29",
IF(Table1[[#This Row],[Age]]&lt;40,"30-39",
IF(Table1[[#This Row],[Age]]&lt;50,"40-49",
IF(Table1[[#This Row],[Age]]&lt;60,"50-59","60+"))))</f>
        <v>40-49</v>
      </c>
      <c r="M746" t="s">
        <v>20</v>
      </c>
      <c r="N746" t="s">
        <v>25</v>
      </c>
    </row>
    <row r="747" spans="1:14" x14ac:dyDescent="0.35">
      <c r="A747">
        <v>846</v>
      </c>
      <c r="B747" t="s">
        <v>15</v>
      </c>
      <c r="C747" s="6">
        <v>43624</v>
      </c>
      <c r="D747">
        <f>YEAR(Table1[[#This Row],[Join Date]])</f>
        <v>2019</v>
      </c>
      <c r="E747" s="6">
        <v>44228</v>
      </c>
      <c r="F747">
        <f>IFERROR(YEAR(Table1[[#This Row],[Exit Date]]), " ")</f>
        <v>2021</v>
      </c>
      <c r="G747">
        <f>IFERROR((Table1[[#This Row],[Exit Year]]-Table1[[#This Row],[Join Year]])+1," ")</f>
        <v>3</v>
      </c>
      <c r="H747" t="s">
        <v>41</v>
      </c>
      <c r="I747" t="s">
        <v>23</v>
      </c>
      <c r="J747" t="s">
        <v>12</v>
      </c>
      <c r="K747">
        <v>24</v>
      </c>
      <c r="L747" t="str">
        <f>IF(Table1[[#This Row],[Age]]&lt;30,"20-29",
IF(Table1[[#This Row],[Age]]&lt;40,"30-39",
IF(Table1[[#This Row],[Age]]&lt;50,"40-49",
IF(Table1[[#This Row],[Age]]&lt;60,"50-59","60+"))))</f>
        <v>20-29</v>
      </c>
      <c r="M747" t="s">
        <v>24</v>
      </c>
      <c r="N747" t="s">
        <v>35</v>
      </c>
    </row>
    <row r="748" spans="1:14" x14ac:dyDescent="0.35">
      <c r="A748">
        <v>847</v>
      </c>
      <c r="B748" t="s">
        <v>15</v>
      </c>
      <c r="C748" s="6">
        <v>44514</v>
      </c>
      <c r="D748">
        <f>YEAR(Table1[[#This Row],[Join Date]])</f>
        <v>2021</v>
      </c>
      <c r="E748" s="6">
        <v>45529</v>
      </c>
      <c r="F748">
        <f>IFERROR(YEAR(Table1[[#This Row],[Exit Date]]), " ")</f>
        <v>2024</v>
      </c>
      <c r="G748">
        <f>IFERROR((Table1[[#This Row],[Exit Year]]-Table1[[#This Row],[Join Year]])+1," ")</f>
        <v>4</v>
      </c>
      <c r="H748" t="s">
        <v>41</v>
      </c>
      <c r="I748" t="s">
        <v>23</v>
      </c>
      <c r="J748" t="s">
        <v>18</v>
      </c>
      <c r="K748">
        <v>38</v>
      </c>
      <c r="L748" t="str">
        <f>IF(Table1[[#This Row],[Age]]&lt;30,"20-29",
IF(Table1[[#This Row],[Age]]&lt;40,"30-39",
IF(Table1[[#This Row],[Age]]&lt;50,"40-49",
IF(Table1[[#This Row],[Age]]&lt;60,"50-59","60+"))))</f>
        <v>30-39</v>
      </c>
      <c r="M748" t="s">
        <v>13</v>
      </c>
      <c r="N748" t="s">
        <v>14</v>
      </c>
    </row>
    <row r="749" spans="1:14" x14ac:dyDescent="0.35">
      <c r="A749">
        <v>848</v>
      </c>
      <c r="B749" t="s">
        <v>29</v>
      </c>
      <c r="C749" s="6">
        <v>43700</v>
      </c>
      <c r="D749">
        <f>YEAR(Table1[[#This Row],[Join Date]])</f>
        <v>2019</v>
      </c>
      <c r="E749" s="6" t="s">
        <v>48</v>
      </c>
      <c r="F749" t="str">
        <f>IFERROR(YEAR(Table1[[#This Row],[Exit Date]]), " ")</f>
        <v xml:space="preserve"> </v>
      </c>
      <c r="G749" t="str">
        <f>IFERROR((Table1[[#This Row],[Exit Year]]-Table1[[#This Row],[Join Year]])+1," ")</f>
        <v xml:space="preserve"> </v>
      </c>
      <c r="H749" t="s">
        <v>48</v>
      </c>
      <c r="I749" t="s">
        <v>11</v>
      </c>
      <c r="J749" t="s">
        <v>18</v>
      </c>
      <c r="K749">
        <v>49</v>
      </c>
      <c r="L749" t="str">
        <f>IF(Table1[[#This Row],[Age]]&lt;30,"20-29",
IF(Table1[[#This Row],[Age]]&lt;40,"30-39",
IF(Table1[[#This Row],[Age]]&lt;50,"40-49",
IF(Table1[[#This Row],[Age]]&lt;60,"50-59","60+"))))</f>
        <v>40-49</v>
      </c>
      <c r="M749" t="s">
        <v>42</v>
      </c>
      <c r="N749" t="s">
        <v>17</v>
      </c>
    </row>
    <row r="750" spans="1:14" x14ac:dyDescent="0.35">
      <c r="A750">
        <v>849</v>
      </c>
      <c r="B750" t="s">
        <v>34</v>
      </c>
      <c r="C750" s="6">
        <v>45540</v>
      </c>
      <c r="D750">
        <f>YEAR(Table1[[#This Row],[Join Date]])</f>
        <v>2024</v>
      </c>
      <c r="E750" s="6" t="s">
        <v>48</v>
      </c>
      <c r="F750" t="str">
        <f>IFERROR(YEAR(Table1[[#This Row],[Exit Date]]), " ")</f>
        <v xml:space="preserve"> </v>
      </c>
      <c r="G750" t="str">
        <f>IFERROR((Table1[[#This Row],[Exit Year]]-Table1[[#This Row],[Join Year]])+1," ")</f>
        <v xml:space="preserve"> </v>
      </c>
      <c r="H750" t="s">
        <v>48</v>
      </c>
      <c r="I750" t="s">
        <v>11</v>
      </c>
      <c r="J750" t="s">
        <v>18</v>
      </c>
      <c r="K750">
        <v>31</v>
      </c>
      <c r="L750" t="str">
        <f>IF(Table1[[#This Row],[Age]]&lt;30,"20-29",
IF(Table1[[#This Row],[Age]]&lt;40,"30-39",
IF(Table1[[#This Row],[Age]]&lt;50,"40-49",
IF(Table1[[#This Row],[Age]]&lt;60,"50-59","60+"))))</f>
        <v>30-39</v>
      </c>
      <c r="M750" t="s">
        <v>13</v>
      </c>
      <c r="N750" t="s">
        <v>19</v>
      </c>
    </row>
    <row r="751" spans="1:14" x14ac:dyDescent="0.35">
      <c r="A751">
        <v>850</v>
      </c>
      <c r="B751" t="s">
        <v>10</v>
      </c>
      <c r="C751" s="6">
        <v>43297</v>
      </c>
      <c r="D751">
        <f>YEAR(Table1[[#This Row],[Join Date]])</f>
        <v>2018</v>
      </c>
      <c r="E751" s="6">
        <v>44682</v>
      </c>
      <c r="F751">
        <f>IFERROR(YEAR(Table1[[#This Row],[Exit Date]]), " ")</f>
        <v>2022</v>
      </c>
      <c r="G751">
        <f>IFERROR((Table1[[#This Row],[Exit Year]]-Table1[[#This Row],[Join Year]])+1," ")</f>
        <v>5</v>
      </c>
      <c r="H751" t="s">
        <v>40</v>
      </c>
      <c r="I751" t="s">
        <v>23</v>
      </c>
      <c r="J751" t="s">
        <v>12</v>
      </c>
      <c r="K751">
        <v>51</v>
      </c>
      <c r="L751" t="str">
        <f>IF(Table1[[#This Row],[Age]]&lt;30,"20-29",
IF(Table1[[#This Row],[Age]]&lt;40,"30-39",
IF(Table1[[#This Row],[Age]]&lt;50,"40-49",
IF(Table1[[#This Row],[Age]]&lt;60,"50-59","60+"))))</f>
        <v>50-59</v>
      </c>
      <c r="M751" t="s">
        <v>13</v>
      </c>
      <c r="N751" t="s">
        <v>21</v>
      </c>
    </row>
    <row r="752" spans="1:14" x14ac:dyDescent="0.35">
      <c r="A752">
        <v>851</v>
      </c>
      <c r="B752" t="s">
        <v>10</v>
      </c>
      <c r="C752" s="6">
        <v>43407</v>
      </c>
      <c r="D752">
        <f>YEAR(Table1[[#This Row],[Join Date]])</f>
        <v>2018</v>
      </c>
      <c r="E752" s="6" t="s">
        <v>48</v>
      </c>
      <c r="F752" t="str">
        <f>IFERROR(YEAR(Table1[[#This Row],[Exit Date]]), " ")</f>
        <v xml:space="preserve"> </v>
      </c>
      <c r="G752" t="str">
        <f>IFERROR((Table1[[#This Row],[Exit Year]]-Table1[[#This Row],[Join Year]])+1," ")</f>
        <v xml:space="preserve"> </v>
      </c>
      <c r="H752" t="s">
        <v>48</v>
      </c>
      <c r="I752" t="s">
        <v>11</v>
      </c>
      <c r="J752" t="s">
        <v>12</v>
      </c>
      <c r="K752">
        <v>27</v>
      </c>
      <c r="L752" t="str">
        <f>IF(Table1[[#This Row],[Age]]&lt;30,"20-29",
IF(Table1[[#This Row],[Age]]&lt;40,"30-39",
IF(Table1[[#This Row],[Age]]&lt;50,"40-49",
IF(Table1[[#This Row],[Age]]&lt;60,"50-59","60+"))))</f>
        <v>20-29</v>
      </c>
      <c r="M752" t="s">
        <v>16</v>
      </c>
      <c r="N752" t="s">
        <v>25</v>
      </c>
    </row>
    <row r="753" spans="1:14" x14ac:dyDescent="0.35">
      <c r="A753">
        <v>852</v>
      </c>
      <c r="B753" t="s">
        <v>15</v>
      </c>
      <c r="C753" s="6">
        <v>44121</v>
      </c>
      <c r="D753">
        <f>YEAR(Table1[[#This Row],[Join Date]])</f>
        <v>2020</v>
      </c>
      <c r="E753" s="6" t="s">
        <v>48</v>
      </c>
      <c r="F753" t="str">
        <f>IFERROR(YEAR(Table1[[#This Row],[Exit Date]]), " ")</f>
        <v xml:space="preserve"> </v>
      </c>
      <c r="G753" t="str">
        <f>IFERROR((Table1[[#This Row],[Exit Year]]-Table1[[#This Row],[Join Year]])+1," ")</f>
        <v xml:space="preserve"> </v>
      </c>
      <c r="H753" t="s">
        <v>48</v>
      </c>
      <c r="I753" t="s">
        <v>11</v>
      </c>
      <c r="J753" t="s">
        <v>18</v>
      </c>
      <c r="K753">
        <v>22</v>
      </c>
      <c r="L753" t="str">
        <f>IF(Table1[[#This Row],[Age]]&lt;30,"20-29",
IF(Table1[[#This Row],[Age]]&lt;40,"30-39",
IF(Table1[[#This Row],[Age]]&lt;50,"40-49",
IF(Table1[[#This Row],[Age]]&lt;60,"50-59","60+"))))</f>
        <v>20-29</v>
      </c>
      <c r="M753" t="s">
        <v>13</v>
      </c>
      <c r="N753" t="s">
        <v>28</v>
      </c>
    </row>
    <row r="754" spans="1:14" x14ac:dyDescent="0.35">
      <c r="A754">
        <v>853</v>
      </c>
      <c r="B754" t="s">
        <v>15</v>
      </c>
      <c r="C754" s="6">
        <v>44423</v>
      </c>
      <c r="D754">
        <f>YEAR(Table1[[#This Row],[Join Date]])</f>
        <v>2021</v>
      </c>
      <c r="E754" s="6" t="s">
        <v>48</v>
      </c>
      <c r="F754" t="str">
        <f>IFERROR(YEAR(Table1[[#This Row],[Exit Date]]), " ")</f>
        <v xml:space="preserve"> </v>
      </c>
      <c r="G754" t="str">
        <f>IFERROR((Table1[[#This Row],[Exit Year]]-Table1[[#This Row],[Join Year]])+1," ")</f>
        <v xml:space="preserve"> </v>
      </c>
      <c r="H754" t="s">
        <v>48</v>
      </c>
      <c r="I754" t="s">
        <v>11</v>
      </c>
      <c r="J754" t="s">
        <v>18</v>
      </c>
      <c r="K754">
        <v>50</v>
      </c>
      <c r="L754" t="str">
        <f>IF(Table1[[#This Row],[Age]]&lt;30,"20-29",
IF(Table1[[#This Row],[Age]]&lt;40,"30-39",
IF(Table1[[#This Row],[Age]]&lt;50,"40-49",
IF(Table1[[#This Row],[Age]]&lt;60,"50-59","60+"))))</f>
        <v>50-59</v>
      </c>
      <c r="M754" t="s">
        <v>20</v>
      </c>
      <c r="N754" t="s">
        <v>31</v>
      </c>
    </row>
    <row r="755" spans="1:14" x14ac:dyDescent="0.35">
      <c r="A755">
        <v>854</v>
      </c>
      <c r="B755" t="s">
        <v>15</v>
      </c>
      <c r="C755" s="6">
        <v>45087</v>
      </c>
      <c r="D755">
        <f>YEAR(Table1[[#This Row],[Join Date]])</f>
        <v>2023</v>
      </c>
      <c r="E755" s="6" t="s">
        <v>48</v>
      </c>
      <c r="F755" t="str">
        <f>IFERROR(YEAR(Table1[[#This Row],[Exit Date]]), " ")</f>
        <v xml:space="preserve"> </v>
      </c>
      <c r="G755" t="str">
        <f>IFERROR((Table1[[#This Row],[Exit Year]]-Table1[[#This Row],[Join Year]])+1," ")</f>
        <v xml:space="preserve"> </v>
      </c>
      <c r="H755" t="s">
        <v>48</v>
      </c>
      <c r="I755" t="s">
        <v>11</v>
      </c>
      <c r="J755" t="s">
        <v>18</v>
      </c>
      <c r="K755">
        <v>24</v>
      </c>
      <c r="L755" t="str">
        <f>IF(Table1[[#This Row],[Age]]&lt;30,"20-29",
IF(Table1[[#This Row],[Age]]&lt;40,"30-39",
IF(Table1[[#This Row],[Age]]&lt;50,"40-49",
IF(Table1[[#This Row],[Age]]&lt;60,"50-59","60+"))))</f>
        <v>20-29</v>
      </c>
      <c r="M755" t="s">
        <v>44</v>
      </c>
      <c r="N755" t="s">
        <v>32</v>
      </c>
    </row>
    <row r="756" spans="1:14" x14ac:dyDescent="0.35">
      <c r="A756">
        <v>855</v>
      </c>
      <c r="B756" t="s">
        <v>15</v>
      </c>
      <c r="C756" s="6">
        <v>43479</v>
      </c>
      <c r="D756">
        <f>YEAR(Table1[[#This Row],[Join Date]])</f>
        <v>2019</v>
      </c>
      <c r="E756" s="6">
        <v>44449</v>
      </c>
      <c r="F756">
        <f>IFERROR(YEAR(Table1[[#This Row],[Exit Date]]), " ")</f>
        <v>2021</v>
      </c>
      <c r="G756">
        <f>IFERROR((Table1[[#This Row],[Exit Year]]-Table1[[#This Row],[Join Year]])+1," ")</f>
        <v>3</v>
      </c>
      <c r="H756" t="s">
        <v>22</v>
      </c>
      <c r="I756" t="s">
        <v>23</v>
      </c>
      <c r="J756" t="s">
        <v>12</v>
      </c>
      <c r="K756">
        <v>50</v>
      </c>
      <c r="L756" t="str">
        <f>IF(Table1[[#This Row],[Age]]&lt;30,"20-29",
IF(Table1[[#This Row],[Age]]&lt;40,"30-39",
IF(Table1[[#This Row],[Age]]&lt;50,"40-49",
IF(Table1[[#This Row],[Age]]&lt;60,"50-59","60+"))))</f>
        <v>50-59</v>
      </c>
      <c r="M756" t="s">
        <v>13</v>
      </c>
      <c r="N756" t="s">
        <v>33</v>
      </c>
    </row>
    <row r="757" spans="1:14" x14ac:dyDescent="0.35">
      <c r="A757">
        <v>856</v>
      </c>
      <c r="B757" t="s">
        <v>26</v>
      </c>
      <c r="C757" s="6">
        <v>44749</v>
      </c>
      <c r="D757">
        <f>YEAR(Table1[[#This Row],[Join Date]])</f>
        <v>2022</v>
      </c>
      <c r="E757" s="6">
        <v>44972</v>
      </c>
      <c r="F757">
        <f>IFERROR(YEAR(Table1[[#This Row],[Exit Date]]), " ")</f>
        <v>2023</v>
      </c>
      <c r="G757">
        <f>IFERROR((Table1[[#This Row],[Exit Year]]-Table1[[#This Row],[Join Year]])+1," ")</f>
        <v>2</v>
      </c>
      <c r="H757" t="s">
        <v>46</v>
      </c>
      <c r="I757" t="s">
        <v>23</v>
      </c>
      <c r="J757" t="s">
        <v>12</v>
      </c>
      <c r="K757">
        <v>28</v>
      </c>
      <c r="L757" t="str">
        <f>IF(Table1[[#This Row],[Age]]&lt;30,"20-29",
IF(Table1[[#This Row],[Age]]&lt;40,"30-39",
IF(Table1[[#This Row],[Age]]&lt;50,"40-49",
IF(Table1[[#This Row],[Age]]&lt;60,"50-59","60+"))))</f>
        <v>20-29</v>
      </c>
      <c r="M757" t="s">
        <v>16</v>
      </c>
      <c r="N757" t="s">
        <v>35</v>
      </c>
    </row>
    <row r="758" spans="1:14" x14ac:dyDescent="0.35">
      <c r="A758">
        <v>857</v>
      </c>
      <c r="B758" t="s">
        <v>29</v>
      </c>
      <c r="C758" s="6">
        <v>45457</v>
      </c>
      <c r="D758">
        <f>YEAR(Table1[[#This Row],[Join Date]])</f>
        <v>2024</v>
      </c>
      <c r="E758" s="6" t="s">
        <v>48</v>
      </c>
      <c r="F758" t="str">
        <f>IFERROR(YEAR(Table1[[#This Row],[Exit Date]]), " ")</f>
        <v xml:space="preserve"> </v>
      </c>
      <c r="G758" t="str">
        <f>IFERROR((Table1[[#This Row],[Exit Year]]-Table1[[#This Row],[Join Year]])+1," ")</f>
        <v xml:space="preserve"> </v>
      </c>
      <c r="H758" t="s">
        <v>48</v>
      </c>
      <c r="I758" t="s">
        <v>11</v>
      </c>
      <c r="J758" t="s">
        <v>12</v>
      </c>
      <c r="K758">
        <v>40</v>
      </c>
      <c r="L758" t="str">
        <f>IF(Table1[[#This Row],[Age]]&lt;30,"20-29",
IF(Table1[[#This Row],[Age]]&lt;40,"30-39",
IF(Table1[[#This Row],[Age]]&lt;50,"40-49",
IF(Table1[[#This Row],[Age]]&lt;60,"50-59","60+"))))</f>
        <v>40-49</v>
      </c>
      <c r="M758" t="s">
        <v>16</v>
      </c>
      <c r="N758" t="s">
        <v>37</v>
      </c>
    </row>
    <row r="759" spans="1:14" x14ac:dyDescent="0.35">
      <c r="A759">
        <v>858</v>
      </c>
      <c r="B759" t="s">
        <v>10</v>
      </c>
      <c r="C759" s="6">
        <v>43304</v>
      </c>
      <c r="D759">
        <f>YEAR(Table1[[#This Row],[Join Date]])</f>
        <v>2018</v>
      </c>
      <c r="E759" s="6" t="s">
        <v>48</v>
      </c>
      <c r="F759" t="str">
        <f>IFERROR(YEAR(Table1[[#This Row],[Exit Date]]), " ")</f>
        <v xml:space="preserve"> </v>
      </c>
      <c r="G759" t="str">
        <f>IFERROR((Table1[[#This Row],[Exit Year]]-Table1[[#This Row],[Join Year]])+1," ")</f>
        <v xml:space="preserve"> </v>
      </c>
      <c r="H759" t="s">
        <v>48</v>
      </c>
      <c r="I759" t="s">
        <v>11</v>
      </c>
      <c r="J759" t="s">
        <v>18</v>
      </c>
      <c r="K759">
        <v>32</v>
      </c>
      <c r="L759" t="str">
        <f>IF(Table1[[#This Row],[Age]]&lt;30,"20-29",
IF(Table1[[#This Row],[Age]]&lt;40,"30-39",
IF(Table1[[#This Row],[Age]]&lt;50,"40-49",
IF(Table1[[#This Row],[Age]]&lt;60,"50-59","60+"))))</f>
        <v>30-39</v>
      </c>
      <c r="M759" t="s">
        <v>20</v>
      </c>
      <c r="N759" t="s">
        <v>19</v>
      </c>
    </row>
    <row r="760" spans="1:14" x14ac:dyDescent="0.35">
      <c r="A760">
        <v>859</v>
      </c>
      <c r="B760" t="s">
        <v>15</v>
      </c>
      <c r="C760" s="6">
        <v>44987</v>
      </c>
      <c r="D760">
        <f>YEAR(Table1[[#This Row],[Join Date]])</f>
        <v>2023</v>
      </c>
      <c r="E760" s="6" t="s">
        <v>48</v>
      </c>
      <c r="F760" t="str">
        <f>IFERROR(YEAR(Table1[[#This Row],[Exit Date]]), " ")</f>
        <v xml:space="preserve"> </v>
      </c>
      <c r="G760" t="str">
        <f>IFERROR((Table1[[#This Row],[Exit Year]]-Table1[[#This Row],[Join Year]])+1," ")</f>
        <v xml:space="preserve"> </v>
      </c>
      <c r="H760" t="s">
        <v>48</v>
      </c>
      <c r="I760" t="s">
        <v>11</v>
      </c>
      <c r="J760" t="s">
        <v>18</v>
      </c>
      <c r="K760">
        <v>50</v>
      </c>
      <c r="L760" t="str">
        <f>IF(Table1[[#This Row],[Age]]&lt;30,"20-29",
IF(Table1[[#This Row],[Age]]&lt;40,"30-39",
IF(Table1[[#This Row],[Age]]&lt;50,"40-49",
IF(Table1[[#This Row],[Age]]&lt;60,"50-59","60+"))))</f>
        <v>50-59</v>
      </c>
      <c r="M760" t="s">
        <v>24</v>
      </c>
      <c r="N760" t="s">
        <v>25</v>
      </c>
    </row>
    <row r="761" spans="1:14" x14ac:dyDescent="0.35">
      <c r="A761">
        <v>860</v>
      </c>
      <c r="B761" t="s">
        <v>34</v>
      </c>
      <c r="C761" s="6">
        <v>45326</v>
      </c>
      <c r="D761">
        <f>YEAR(Table1[[#This Row],[Join Date]])</f>
        <v>2024</v>
      </c>
      <c r="E761" s="6" t="s">
        <v>48</v>
      </c>
      <c r="F761" t="str">
        <f>IFERROR(YEAR(Table1[[#This Row],[Exit Date]]), " ")</f>
        <v xml:space="preserve"> </v>
      </c>
      <c r="G761" t="str">
        <f>IFERROR((Table1[[#This Row],[Exit Year]]-Table1[[#This Row],[Join Year]])+1," ")</f>
        <v xml:space="preserve"> </v>
      </c>
      <c r="H761" t="s">
        <v>48</v>
      </c>
      <c r="I761" t="s">
        <v>11</v>
      </c>
      <c r="J761" t="s">
        <v>12</v>
      </c>
      <c r="K761">
        <v>24</v>
      </c>
      <c r="L761" t="str">
        <f>IF(Table1[[#This Row],[Age]]&lt;30,"20-29",
IF(Table1[[#This Row],[Age]]&lt;40,"30-39",
IF(Table1[[#This Row],[Age]]&lt;50,"40-49",
IF(Table1[[#This Row],[Age]]&lt;60,"50-59","60+"))))</f>
        <v>20-29</v>
      </c>
      <c r="M761" t="s">
        <v>13</v>
      </c>
      <c r="N761" t="s">
        <v>35</v>
      </c>
    </row>
    <row r="762" spans="1:14" x14ac:dyDescent="0.35">
      <c r="A762">
        <v>861</v>
      </c>
      <c r="B762" t="s">
        <v>36</v>
      </c>
      <c r="C762" s="6">
        <v>45474</v>
      </c>
      <c r="D762">
        <f>YEAR(Table1[[#This Row],[Join Date]])</f>
        <v>2024</v>
      </c>
      <c r="E762" s="6" t="s">
        <v>48</v>
      </c>
      <c r="F762" t="str">
        <f>IFERROR(YEAR(Table1[[#This Row],[Exit Date]]), " ")</f>
        <v xml:space="preserve"> </v>
      </c>
      <c r="G762" t="str">
        <f>IFERROR((Table1[[#This Row],[Exit Year]]-Table1[[#This Row],[Join Year]])+1," ")</f>
        <v xml:space="preserve"> </v>
      </c>
      <c r="H762" t="s">
        <v>48</v>
      </c>
      <c r="I762" t="s">
        <v>11</v>
      </c>
      <c r="J762" t="s">
        <v>12</v>
      </c>
      <c r="K762">
        <v>36</v>
      </c>
      <c r="L762" t="str">
        <f>IF(Table1[[#This Row],[Age]]&lt;30,"20-29",
IF(Table1[[#This Row],[Age]]&lt;40,"30-39",
IF(Table1[[#This Row],[Age]]&lt;50,"40-49",
IF(Table1[[#This Row],[Age]]&lt;60,"50-59","60+"))))</f>
        <v>30-39</v>
      </c>
      <c r="M762" t="s">
        <v>30</v>
      </c>
      <c r="N762" t="s">
        <v>17</v>
      </c>
    </row>
    <row r="763" spans="1:14" x14ac:dyDescent="0.35">
      <c r="A763">
        <v>862</v>
      </c>
      <c r="B763" t="s">
        <v>29</v>
      </c>
      <c r="C763" s="6">
        <v>44227</v>
      </c>
      <c r="D763">
        <f>YEAR(Table1[[#This Row],[Join Date]])</f>
        <v>2021</v>
      </c>
      <c r="E763" s="6">
        <v>45322</v>
      </c>
      <c r="F763">
        <f>IFERROR(YEAR(Table1[[#This Row],[Exit Date]]), " ")</f>
        <v>2024</v>
      </c>
      <c r="G763">
        <f>IFERROR((Table1[[#This Row],[Exit Year]]-Table1[[#This Row],[Join Year]])+1," ")</f>
        <v>4</v>
      </c>
      <c r="H763" t="s">
        <v>46</v>
      </c>
      <c r="I763" t="s">
        <v>23</v>
      </c>
      <c r="J763" t="s">
        <v>12</v>
      </c>
      <c r="K763">
        <v>49</v>
      </c>
      <c r="L763" t="str">
        <f>IF(Table1[[#This Row],[Age]]&lt;30,"20-29",
IF(Table1[[#This Row],[Age]]&lt;40,"30-39",
IF(Table1[[#This Row],[Age]]&lt;50,"40-49",
IF(Table1[[#This Row],[Age]]&lt;60,"50-59","60+"))))</f>
        <v>40-49</v>
      </c>
      <c r="M763" t="s">
        <v>13</v>
      </c>
      <c r="N763" t="s">
        <v>19</v>
      </c>
    </row>
    <row r="764" spans="1:14" x14ac:dyDescent="0.35">
      <c r="A764">
        <v>863</v>
      </c>
      <c r="B764" t="s">
        <v>10</v>
      </c>
      <c r="C764" s="6">
        <v>43446</v>
      </c>
      <c r="D764">
        <f>YEAR(Table1[[#This Row],[Join Date]])</f>
        <v>2018</v>
      </c>
      <c r="E764" s="6">
        <v>43936</v>
      </c>
      <c r="F764">
        <f>IFERROR(YEAR(Table1[[#This Row],[Exit Date]]), " ")</f>
        <v>2020</v>
      </c>
      <c r="G764">
        <f>IFERROR((Table1[[#This Row],[Exit Year]]-Table1[[#This Row],[Join Year]])+1," ")</f>
        <v>3</v>
      </c>
      <c r="H764" t="s">
        <v>38</v>
      </c>
      <c r="I764" t="s">
        <v>23</v>
      </c>
      <c r="J764" t="s">
        <v>12</v>
      </c>
      <c r="K764">
        <v>43</v>
      </c>
      <c r="L764" t="str">
        <f>IF(Table1[[#This Row],[Age]]&lt;30,"20-29",
IF(Table1[[#This Row],[Age]]&lt;40,"30-39",
IF(Table1[[#This Row],[Age]]&lt;50,"40-49",
IF(Table1[[#This Row],[Age]]&lt;60,"50-59","60+"))))</f>
        <v>40-49</v>
      </c>
      <c r="M764" t="s">
        <v>13</v>
      </c>
      <c r="N764" t="s">
        <v>21</v>
      </c>
    </row>
    <row r="765" spans="1:14" x14ac:dyDescent="0.35">
      <c r="A765">
        <v>864</v>
      </c>
      <c r="B765" t="s">
        <v>15</v>
      </c>
      <c r="C765" s="6">
        <v>45314</v>
      </c>
      <c r="D765">
        <f>YEAR(Table1[[#This Row],[Join Date]])</f>
        <v>2024</v>
      </c>
      <c r="E765" s="6" t="s">
        <v>48</v>
      </c>
      <c r="F765" t="str">
        <f>IFERROR(YEAR(Table1[[#This Row],[Exit Date]]), " ")</f>
        <v xml:space="preserve"> </v>
      </c>
      <c r="G765" t="str">
        <f>IFERROR((Table1[[#This Row],[Exit Year]]-Table1[[#This Row],[Join Year]])+1," ")</f>
        <v xml:space="preserve"> </v>
      </c>
      <c r="H765" t="s">
        <v>48</v>
      </c>
      <c r="I765" t="s">
        <v>11</v>
      </c>
      <c r="J765" t="s">
        <v>12</v>
      </c>
      <c r="K765">
        <v>40</v>
      </c>
      <c r="L765" t="str">
        <f>IF(Table1[[#This Row],[Age]]&lt;30,"20-29",
IF(Table1[[#This Row],[Age]]&lt;40,"30-39",
IF(Table1[[#This Row],[Age]]&lt;50,"40-49",
IF(Table1[[#This Row],[Age]]&lt;60,"50-59","60+"))))</f>
        <v>40-49</v>
      </c>
      <c r="M765" t="s">
        <v>16</v>
      </c>
      <c r="N765" t="s">
        <v>25</v>
      </c>
    </row>
    <row r="766" spans="1:14" x14ac:dyDescent="0.35">
      <c r="A766">
        <v>865</v>
      </c>
      <c r="B766" t="s">
        <v>15</v>
      </c>
      <c r="C766" s="6">
        <v>43123</v>
      </c>
      <c r="D766">
        <f>YEAR(Table1[[#This Row],[Join Date]])</f>
        <v>2018</v>
      </c>
      <c r="E766" s="6" t="s">
        <v>48</v>
      </c>
      <c r="F766" t="str">
        <f>IFERROR(YEAR(Table1[[#This Row],[Exit Date]]), " ")</f>
        <v xml:space="preserve"> </v>
      </c>
      <c r="G766" t="str">
        <f>IFERROR((Table1[[#This Row],[Exit Year]]-Table1[[#This Row],[Join Year]])+1," ")</f>
        <v xml:space="preserve"> </v>
      </c>
      <c r="H766" t="s">
        <v>48</v>
      </c>
      <c r="I766" t="s">
        <v>11</v>
      </c>
      <c r="J766" t="s">
        <v>12</v>
      </c>
      <c r="K766">
        <v>42</v>
      </c>
      <c r="L766" t="str">
        <f>IF(Table1[[#This Row],[Age]]&lt;30,"20-29",
IF(Table1[[#This Row],[Age]]&lt;40,"30-39",
IF(Table1[[#This Row],[Age]]&lt;50,"40-49",
IF(Table1[[#This Row],[Age]]&lt;60,"50-59","60+"))))</f>
        <v>40-49</v>
      </c>
      <c r="M766" t="s">
        <v>13</v>
      </c>
      <c r="N766" t="s">
        <v>35</v>
      </c>
    </row>
    <row r="767" spans="1:14" x14ac:dyDescent="0.35">
      <c r="A767">
        <v>866</v>
      </c>
      <c r="B767" t="s">
        <v>10</v>
      </c>
      <c r="C767" s="6">
        <v>43717</v>
      </c>
      <c r="D767">
        <f>YEAR(Table1[[#This Row],[Join Date]])</f>
        <v>2019</v>
      </c>
      <c r="E767" s="6">
        <v>44677</v>
      </c>
      <c r="F767">
        <f>IFERROR(YEAR(Table1[[#This Row],[Exit Date]]), " ")</f>
        <v>2022</v>
      </c>
      <c r="G767">
        <f>IFERROR((Table1[[#This Row],[Exit Year]]-Table1[[#This Row],[Join Year]])+1," ")</f>
        <v>4</v>
      </c>
      <c r="H767" t="s">
        <v>40</v>
      </c>
      <c r="I767" t="s">
        <v>23</v>
      </c>
      <c r="J767" t="s">
        <v>18</v>
      </c>
      <c r="K767">
        <v>35</v>
      </c>
      <c r="L767" t="str">
        <f>IF(Table1[[#This Row],[Age]]&lt;30,"20-29",
IF(Table1[[#This Row],[Age]]&lt;40,"30-39",
IF(Table1[[#This Row],[Age]]&lt;50,"40-49",
IF(Table1[[#This Row],[Age]]&lt;60,"50-59","60+"))))</f>
        <v>30-39</v>
      </c>
      <c r="M767" t="s">
        <v>20</v>
      </c>
      <c r="N767" t="s">
        <v>14</v>
      </c>
    </row>
    <row r="768" spans="1:14" x14ac:dyDescent="0.35">
      <c r="A768">
        <v>867</v>
      </c>
      <c r="B768" t="s">
        <v>29</v>
      </c>
      <c r="C768" s="6">
        <v>43534</v>
      </c>
      <c r="D768">
        <f>YEAR(Table1[[#This Row],[Join Date]])</f>
        <v>2019</v>
      </c>
      <c r="E768" s="6">
        <v>44117</v>
      </c>
      <c r="F768">
        <f>IFERROR(YEAR(Table1[[#This Row],[Exit Date]]), " ")</f>
        <v>2020</v>
      </c>
      <c r="G768">
        <f>IFERROR((Table1[[#This Row],[Exit Year]]-Table1[[#This Row],[Join Year]])+1," ")</f>
        <v>2</v>
      </c>
      <c r="H768" t="s">
        <v>46</v>
      </c>
      <c r="I768" t="s">
        <v>23</v>
      </c>
      <c r="J768" t="s">
        <v>12</v>
      </c>
      <c r="K768">
        <v>31</v>
      </c>
      <c r="L768" t="str">
        <f>IF(Table1[[#This Row],[Age]]&lt;30,"20-29",
IF(Table1[[#This Row],[Age]]&lt;40,"30-39",
IF(Table1[[#This Row],[Age]]&lt;50,"40-49",
IF(Table1[[#This Row],[Age]]&lt;60,"50-59","60+"))))</f>
        <v>30-39</v>
      </c>
      <c r="M768" t="s">
        <v>44</v>
      </c>
      <c r="N768" t="s">
        <v>19</v>
      </c>
    </row>
    <row r="769" spans="1:14" x14ac:dyDescent="0.35">
      <c r="A769">
        <v>868</v>
      </c>
      <c r="B769" t="s">
        <v>36</v>
      </c>
      <c r="C769" s="6">
        <v>44619</v>
      </c>
      <c r="D769">
        <f>YEAR(Table1[[#This Row],[Join Date]])</f>
        <v>2022</v>
      </c>
      <c r="E769" s="6" t="s">
        <v>48</v>
      </c>
      <c r="F769" t="str">
        <f>IFERROR(YEAR(Table1[[#This Row],[Exit Date]]), " ")</f>
        <v xml:space="preserve"> </v>
      </c>
      <c r="G769" t="str">
        <f>IFERROR((Table1[[#This Row],[Exit Year]]-Table1[[#This Row],[Join Year]])+1," ")</f>
        <v xml:space="preserve"> </v>
      </c>
      <c r="H769" t="s">
        <v>48</v>
      </c>
      <c r="I769" t="s">
        <v>11</v>
      </c>
      <c r="J769" t="s">
        <v>18</v>
      </c>
      <c r="K769">
        <v>51</v>
      </c>
      <c r="L769" t="str">
        <f>IF(Table1[[#This Row],[Age]]&lt;30,"20-29",
IF(Table1[[#This Row],[Age]]&lt;40,"30-39",
IF(Table1[[#This Row],[Age]]&lt;50,"40-49",
IF(Table1[[#This Row],[Age]]&lt;60,"50-59","60+"))))</f>
        <v>50-59</v>
      </c>
      <c r="M769" t="s">
        <v>13</v>
      </c>
      <c r="N769" t="s">
        <v>21</v>
      </c>
    </row>
    <row r="770" spans="1:14" x14ac:dyDescent="0.35">
      <c r="A770">
        <v>869</v>
      </c>
      <c r="B770" t="s">
        <v>10</v>
      </c>
      <c r="C770" s="6">
        <v>45485</v>
      </c>
      <c r="D770">
        <f>YEAR(Table1[[#This Row],[Join Date]])</f>
        <v>2024</v>
      </c>
      <c r="E770" s="6" t="s">
        <v>48</v>
      </c>
      <c r="F770" t="str">
        <f>IFERROR(YEAR(Table1[[#This Row],[Exit Date]]), " ")</f>
        <v xml:space="preserve"> </v>
      </c>
      <c r="G770" t="str">
        <f>IFERROR((Table1[[#This Row],[Exit Year]]-Table1[[#This Row],[Join Year]])+1," ")</f>
        <v xml:space="preserve"> </v>
      </c>
      <c r="H770" t="s">
        <v>48</v>
      </c>
      <c r="I770" t="s">
        <v>11</v>
      </c>
      <c r="J770" t="s">
        <v>18</v>
      </c>
      <c r="K770">
        <v>48</v>
      </c>
      <c r="L770" t="str">
        <f>IF(Table1[[#This Row],[Age]]&lt;30,"20-29",
IF(Table1[[#This Row],[Age]]&lt;40,"30-39",
IF(Table1[[#This Row],[Age]]&lt;50,"40-49",
IF(Table1[[#This Row],[Age]]&lt;60,"50-59","60+"))))</f>
        <v>40-49</v>
      </c>
      <c r="M770" t="s">
        <v>16</v>
      </c>
      <c r="N770" t="s">
        <v>37</v>
      </c>
    </row>
    <row r="771" spans="1:14" x14ac:dyDescent="0.35">
      <c r="A771">
        <v>870</v>
      </c>
      <c r="B771" t="s">
        <v>29</v>
      </c>
      <c r="C771" s="6">
        <v>43588</v>
      </c>
      <c r="D771">
        <f>YEAR(Table1[[#This Row],[Join Date]])</f>
        <v>2019</v>
      </c>
      <c r="E771" s="6">
        <v>44896</v>
      </c>
      <c r="F771">
        <f>IFERROR(YEAR(Table1[[#This Row],[Exit Date]]), " ")</f>
        <v>2022</v>
      </c>
      <c r="G771">
        <f>IFERROR((Table1[[#This Row],[Exit Year]]-Table1[[#This Row],[Join Year]])+1," ")</f>
        <v>4</v>
      </c>
      <c r="H771" t="s">
        <v>41</v>
      </c>
      <c r="I771" t="s">
        <v>23</v>
      </c>
      <c r="J771" t="s">
        <v>12</v>
      </c>
      <c r="K771">
        <v>41</v>
      </c>
      <c r="L771" t="str">
        <f>IF(Table1[[#This Row],[Age]]&lt;30,"20-29",
IF(Table1[[#This Row],[Age]]&lt;40,"30-39",
IF(Table1[[#This Row],[Age]]&lt;50,"40-49",
IF(Table1[[#This Row],[Age]]&lt;60,"50-59","60+"))))</f>
        <v>40-49</v>
      </c>
      <c r="M771" t="s">
        <v>16</v>
      </c>
      <c r="N771" t="s">
        <v>25</v>
      </c>
    </row>
    <row r="772" spans="1:14" x14ac:dyDescent="0.35">
      <c r="A772">
        <v>871</v>
      </c>
      <c r="B772" t="s">
        <v>36</v>
      </c>
      <c r="C772" s="6">
        <v>44250</v>
      </c>
      <c r="D772">
        <f>YEAR(Table1[[#This Row],[Join Date]])</f>
        <v>2021</v>
      </c>
      <c r="E772" s="6">
        <v>45392</v>
      </c>
      <c r="F772">
        <f>IFERROR(YEAR(Table1[[#This Row],[Exit Date]]), " ")</f>
        <v>2024</v>
      </c>
      <c r="G772">
        <f>IFERROR((Table1[[#This Row],[Exit Year]]-Table1[[#This Row],[Join Year]])+1," ")</f>
        <v>4</v>
      </c>
      <c r="H772" t="s">
        <v>46</v>
      </c>
      <c r="I772" t="s">
        <v>23</v>
      </c>
      <c r="J772" t="s">
        <v>18</v>
      </c>
      <c r="K772">
        <v>35</v>
      </c>
      <c r="L772" t="str">
        <f>IF(Table1[[#This Row],[Age]]&lt;30,"20-29",
IF(Table1[[#This Row],[Age]]&lt;40,"30-39",
IF(Table1[[#This Row],[Age]]&lt;50,"40-49",
IF(Table1[[#This Row],[Age]]&lt;60,"50-59","60+"))))</f>
        <v>30-39</v>
      </c>
      <c r="M772" t="s">
        <v>20</v>
      </c>
      <c r="N772" t="s">
        <v>35</v>
      </c>
    </row>
    <row r="773" spans="1:14" x14ac:dyDescent="0.35">
      <c r="A773">
        <v>872</v>
      </c>
      <c r="B773" t="s">
        <v>26</v>
      </c>
      <c r="C773" s="6">
        <v>45244</v>
      </c>
      <c r="D773">
        <f>YEAR(Table1[[#This Row],[Join Date]])</f>
        <v>2023</v>
      </c>
      <c r="E773" s="6">
        <v>45446</v>
      </c>
      <c r="F773">
        <f>IFERROR(YEAR(Table1[[#This Row],[Exit Date]]), " ")</f>
        <v>2024</v>
      </c>
      <c r="G773">
        <f>IFERROR((Table1[[#This Row],[Exit Year]]-Table1[[#This Row],[Join Year]])+1," ")</f>
        <v>2</v>
      </c>
      <c r="H773" t="s">
        <v>40</v>
      </c>
      <c r="I773" t="s">
        <v>23</v>
      </c>
      <c r="J773" t="s">
        <v>12</v>
      </c>
      <c r="K773">
        <v>24</v>
      </c>
      <c r="L773" t="str">
        <f>IF(Table1[[#This Row],[Age]]&lt;30,"20-29",
IF(Table1[[#This Row],[Age]]&lt;40,"30-39",
IF(Table1[[#This Row],[Age]]&lt;50,"40-49",
IF(Table1[[#This Row],[Age]]&lt;60,"50-59","60+"))))</f>
        <v>20-29</v>
      </c>
      <c r="M773" t="s">
        <v>24</v>
      </c>
      <c r="N773" t="s">
        <v>14</v>
      </c>
    </row>
    <row r="774" spans="1:14" x14ac:dyDescent="0.35">
      <c r="A774">
        <v>873</v>
      </c>
      <c r="B774" t="s">
        <v>15</v>
      </c>
      <c r="C774" s="6">
        <v>45256</v>
      </c>
      <c r="D774">
        <f>YEAR(Table1[[#This Row],[Join Date]])</f>
        <v>2023</v>
      </c>
      <c r="E774" s="6" t="s">
        <v>48</v>
      </c>
      <c r="F774" t="str">
        <f>IFERROR(YEAR(Table1[[#This Row],[Exit Date]]), " ")</f>
        <v xml:space="preserve"> </v>
      </c>
      <c r="G774" t="str">
        <f>IFERROR((Table1[[#This Row],[Exit Year]]-Table1[[#This Row],[Join Year]])+1," ")</f>
        <v xml:space="preserve"> </v>
      </c>
      <c r="H774" t="s">
        <v>48</v>
      </c>
      <c r="I774" t="s">
        <v>11</v>
      </c>
      <c r="J774" t="s">
        <v>12</v>
      </c>
      <c r="K774">
        <v>41</v>
      </c>
      <c r="L774" t="str">
        <f>IF(Table1[[#This Row],[Age]]&lt;30,"20-29",
IF(Table1[[#This Row],[Age]]&lt;40,"30-39",
IF(Table1[[#This Row],[Age]]&lt;50,"40-49",
IF(Table1[[#This Row],[Age]]&lt;60,"50-59","60+"))))</f>
        <v>40-49</v>
      </c>
      <c r="M774" t="s">
        <v>13</v>
      </c>
      <c r="N774" t="s">
        <v>17</v>
      </c>
    </row>
    <row r="775" spans="1:14" x14ac:dyDescent="0.35">
      <c r="A775">
        <v>874</v>
      </c>
      <c r="B775" t="s">
        <v>26</v>
      </c>
      <c r="C775" s="6">
        <v>45465</v>
      </c>
      <c r="D775">
        <f>YEAR(Table1[[#This Row],[Join Date]])</f>
        <v>2024</v>
      </c>
      <c r="E775" s="6" t="s">
        <v>48</v>
      </c>
      <c r="F775" t="str">
        <f>IFERROR(YEAR(Table1[[#This Row],[Exit Date]]), " ")</f>
        <v xml:space="preserve"> </v>
      </c>
      <c r="G775" t="str">
        <f>IFERROR((Table1[[#This Row],[Exit Year]]-Table1[[#This Row],[Join Year]])+1," ")</f>
        <v xml:space="preserve"> </v>
      </c>
      <c r="H775" t="s">
        <v>48</v>
      </c>
      <c r="I775" t="s">
        <v>11</v>
      </c>
      <c r="J775" t="s">
        <v>18</v>
      </c>
      <c r="K775">
        <v>40</v>
      </c>
      <c r="L775" t="str">
        <f>IF(Table1[[#This Row],[Age]]&lt;30,"20-29",
IF(Table1[[#This Row],[Age]]&lt;40,"30-39",
IF(Table1[[#This Row],[Age]]&lt;50,"40-49",
IF(Table1[[#This Row],[Age]]&lt;60,"50-59","60+"))))</f>
        <v>40-49</v>
      </c>
      <c r="M775" t="s">
        <v>30</v>
      </c>
      <c r="N775" t="s">
        <v>19</v>
      </c>
    </row>
    <row r="776" spans="1:14" x14ac:dyDescent="0.35">
      <c r="A776">
        <v>875</v>
      </c>
      <c r="B776" t="s">
        <v>10</v>
      </c>
      <c r="C776" s="6">
        <v>43597</v>
      </c>
      <c r="D776">
        <f>YEAR(Table1[[#This Row],[Join Date]])</f>
        <v>2019</v>
      </c>
      <c r="E776" s="6" t="s">
        <v>48</v>
      </c>
      <c r="F776" t="str">
        <f>IFERROR(YEAR(Table1[[#This Row],[Exit Date]]), " ")</f>
        <v xml:space="preserve"> </v>
      </c>
      <c r="G776" t="str">
        <f>IFERROR((Table1[[#This Row],[Exit Year]]-Table1[[#This Row],[Join Year]])+1," ")</f>
        <v xml:space="preserve"> </v>
      </c>
      <c r="H776" t="s">
        <v>48</v>
      </c>
      <c r="I776" t="s">
        <v>11</v>
      </c>
      <c r="J776" t="s">
        <v>12</v>
      </c>
      <c r="K776">
        <v>48</v>
      </c>
      <c r="L776" t="str">
        <f>IF(Table1[[#This Row],[Age]]&lt;30,"20-29",
IF(Table1[[#This Row],[Age]]&lt;40,"30-39",
IF(Table1[[#This Row],[Age]]&lt;50,"40-49",
IF(Table1[[#This Row],[Age]]&lt;60,"50-59","60+"))))</f>
        <v>40-49</v>
      </c>
      <c r="M776" t="s">
        <v>13</v>
      </c>
      <c r="N776" t="s">
        <v>21</v>
      </c>
    </row>
    <row r="777" spans="1:14" x14ac:dyDescent="0.35">
      <c r="A777">
        <v>876</v>
      </c>
      <c r="B777" t="s">
        <v>15</v>
      </c>
      <c r="C777" s="6">
        <v>44866</v>
      </c>
      <c r="D777">
        <f>YEAR(Table1[[#This Row],[Join Date]])</f>
        <v>2022</v>
      </c>
      <c r="E777" s="6" t="s">
        <v>48</v>
      </c>
      <c r="F777" t="str">
        <f>IFERROR(YEAR(Table1[[#This Row],[Exit Date]]), " ")</f>
        <v xml:space="preserve"> </v>
      </c>
      <c r="G777" t="str">
        <f>IFERROR((Table1[[#This Row],[Exit Year]]-Table1[[#This Row],[Join Year]])+1," ")</f>
        <v xml:space="preserve"> </v>
      </c>
      <c r="H777" t="s">
        <v>48</v>
      </c>
      <c r="I777" t="s">
        <v>11</v>
      </c>
      <c r="J777" t="s">
        <v>18</v>
      </c>
      <c r="K777">
        <v>52</v>
      </c>
      <c r="L777" t="str">
        <f>IF(Table1[[#This Row],[Age]]&lt;30,"20-29",
IF(Table1[[#This Row],[Age]]&lt;40,"30-39",
IF(Table1[[#This Row],[Age]]&lt;50,"40-49",
IF(Table1[[#This Row],[Age]]&lt;60,"50-59","60+"))))</f>
        <v>50-59</v>
      </c>
      <c r="M777" t="s">
        <v>13</v>
      </c>
      <c r="N777" t="s">
        <v>25</v>
      </c>
    </row>
    <row r="778" spans="1:14" x14ac:dyDescent="0.35">
      <c r="A778">
        <v>877</v>
      </c>
      <c r="B778" t="s">
        <v>34</v>
      </c>
      <c r="C778" s="6">
        <v>44006</v>
      </c>
      <c r="D778">
        <f>YEAR(Table1[[#This Row],[Join Date]])</f>
        <v>2020</v>
      </c>
      <c r="E778" s="6">
        <v>44463</v>
      </c>
      <c r="F778">
        <f>IFERROR(YEAR(Table1[[#This Row],[Exit Date]]), " ")</f>
        <v>2021</v>
      </c>
      <c r="G778">
        <f>IFERROR((Table1[[#This Row],[Exit Year]]-Table1[[#This Row],[Join Year]])+1," ")</f>
        <v>2</v>
      </c>
      <c r="H778" t="s">
        <v>46</v>
      </c>
      <c r="I778" t="s">
        <v>23</v>
      </c>
      <c r="J778" t="s">
        <v>18</v>
      </c>
      <c r="K778">
        <v>33</v>
      </c>
      <c r="L778" t="str">
        <f>IF(Table1[[#This Row],[Age]]&lt;30,"20-29",
IF(Table1[[#This Row],[Age]]&lt;40,"30-39",
IF(Table1[[#This Row],[Age]]&lt;50,"40-49",
IF(Table1[[#This Row],[Age]]&lt;60,"50-59","60+"))))</f>
        <v>30-39</v>
      </c>
      <c r="M778" t="s">
        <v>16</v>
      </c>
      <c r="N778" t="s">
        <v>28</v>
      </c>
    </row>
    <row r="779" spans="1:14" x14ac:dyDescent="0.35">
      <c r="A779">
        <v>878</v>
      </c>
      <c r="B779" t="s">
        <v>26</v>
      </c>
      <c r="C779" s="6">
        <v>45095</v>
      </c>
      <c r="D779">
        <f>YEAR(Table1[[#This Row],[Join Date]])</f>
        <v>2023</v>
      </c>
      <c r="E779" s="6" t="s">
        <v>48</v>
      </c>
      <c r="F779" t="str">
        <f>IFERROR(YEAR(Table1[[#This Row],[Exit Date]]), " ")</f>
        <v xml:space="preserve"> </v>
      </c>
      <c r="G779" t="str">
        <f>IFERROR((Table1[[#This Row],[Exit Year]]-Table1[[#This Row],[Join Year]])+1," ")</f>
        <v xml:space="preserve"> </v>
      </c>
      <c r="H779" t="s">
        <v>48</v>
      </c>
      <c r="I779" t="s">
        <v>11</v>
      </c>
      <c r="J779" t="s">
        <v>12</v>
      </c>
      <c r="K779">
        <v>51</v>
      </c>
      <c r="L779" t="str">
        <f>IF(Table1[[#This Row],[Age]]&lt;30,"20-29",
IF(Table1[[#This Row],[Age]]&lt;40,"30-39",
IF(Table1[[#This Row],[Age]]&lt;50,"40-49",
IF(Table1[[#This Row],[Age]]&lt;60,"50-59","60+"))))</f>
        <v>50-59</v>
      </c>
      <c r="M779" t="s">
        <v>13</v>
      </c>
      <c r="N779" t="s">
        <v>31</v>
      </c>
    </row>
    <row r="780" spans="1:14" x14ac:dyDescent="0.35">
      <c r="A780">
        <v>879</v>
      </c>
      <c r="B780" t="s">
        <v>10</v>
      </c>
      <c r="C780" s="6">
        <v>44360</v>
      </c>
      <c r="D780">
        <f>YEAR(Table1[[#This Row],[Join Date]])</f>
        <v>2021</v>
      </c>
      <c r="E780" s="6">
        <v>44755</v>
      </c>
      <c r="F780">
        <f>IFERROR(YEAR(Table1[[#This Row],[Exit Date]]), " ")</f>
        <v>2022</v>
      </c>
      <c r="G780">
        <f>IFERROR((Table1[[#This Row],[Exit Year]]-Table1[[#This Row],[Join Year]])+1," ")</f>
        <v>2</v>
      </c>
      <c r="H780" t="s">
        <v>38</v>
      </c>
      <c r="I780" t="s">
        <v>23</v>
      </c>
      <c r="J780" t="s">
        <v>12</v>
      </c>
      <c r="K780">
        <v>46</v>
      </c>
      <c r="L780" t="str">
        <f>IF(Table1[[#This Row],[Age]]&lt;30,"20-29",
IF(Table1[[#This Row],[Age]]&lt;40,"30-39",
IF(Table1[[#This Row],[Age]]&lt;50,"40-49",
IF(Table1[[#This Row],[Age]]&lt;60,"50-59","60+"))))</f>
        <v>40-49</v>
      </c>
      <c r="M780" t="s">
        <v>20</v>
      </c>
      <c r="N780" t="s">
        <v>32</v>
      </c>
    </row>
    <row r="781" spans="1:14" x14ac:dyDescent="0.35">
      <c r="A781">
        <v>880</v>
      </c>
      <c r="B781" t="s">
        <v>26</v>
      </c>
      <c r="C781" s="6">
        <v>43419</v>
      </c>
      <c r="D781">
        <f>YEAR(Table1[[#This Row],[Join Date]])</f>
        <v>2018</v>
      </c>
      <c r="E781" s="6">
        <v>44303</v>
      </c>
      <c r="F781">
        <f>IFERROR(YEAR(Table1[[#This Row],[Exit Date]]), " ")</f>
        <v>2021</v>
      </c>
      <c r="G781">
        <f>IFERROR((Table1[[#This Row],[Exit Year]]-Table1[[#This Row],[Join Year]])+1," ")</f>
        <v>4</v>
      </c>
      <c r="H781" t="s">
        <v>22</v>
      </c>
      <c r="I781" t="s">
        <v>23</v>
      </c>
      <c r="J781" t="s">
        <v>12</v>
      </c>
      <c r="K781">
        <v>53</v>
      </c>
      <c r="L781" t="str">
        <f>IF(Table1[[#This Row],[Age]]&lt;30,"20-29",
IF(Table1[[#This Row],[Age]]&lt;40,"30-39",
IF(Table1[[#This Row],[Age]]&lt;50,"40-49",
IF(Table1[[#This Row],[Age]]&lt;60,"50-59","60+"))))</f>
        <v>50-59</v>
      </c>
      <c r="M781" t="s">
        <v>39</v>
      </c>
      <c r="N781" t="s">
        <v>33</v>
      </c>
    </row>
    <row r="782" spans="1:14" x14ac:dyDescent="0.35">
      <c r="A782">
        <v>881</v>
      </c>
      <c r="B782" t="s">
        <v>36</v>
      </c>
      <c r="C782" s="6">
        <v>44249</v>
      </c>
      <c r="D782">
        <f>YEAR(Table1[[#This Row],[Join Date]])</f>
        <v>2021</v>
      </c>
      <c r="E782" s="6" t="s">
        <v>48</v>
      </c>
      <c r="F782" t="str">
        <f>IFERROR(YEAR(Table1[[#This Row],[Exit Date]]), " ")</f>
        <v xml:space="preserve"> </v>
      </c>
      <c r="G782" t="str">
        <f>IFERROR((Table1[[#This Row],[Exit Year]]-Table1[[#This Row],[Join Year]])+1," ")</f>
        <v xml:space="preserve"> </v>
      </c>
      <c r="H782" t="s">
        <v>48</v>
      </c>
      <c r="I782" t="s">
        <v>11</v>
      </c>
      <c r="J782" t="s">
        <v>12</v>
      </c>
      <c r="K782">
        <v>35</v>
      </c>
      <c r="L782" t="str">
        <f>IF(Table1[[#This Row],[Age]]&lt;30,"20-29",
IF(Table1[[#This Row],[Age]]&lt;40,"30-39",
IF(Table1[[#This Row],[Age]]&lt;50,"40-49",
IF(Table1[[#This Row],[Age]]&lt;60,"50-59","60+"))))</f>
        <v>30-39</v>
      </c>
      <c r="M782" t="s">
        <v>13</v>
      </c>
      <c r="N782" t="s">
        <v>35</v>
      </c>
    </row>
    <row r="783" spans="1:14" x14ac:dyDescent="0.35">
      <c r="A783">
        <v>882</v>
      </c>
      <c r="B783" t="s">
        <v>10</v>
      </c>
      <c r="C783" s="6">
        <v>45533</v>
      </c>
      <c r="D783">
        <f>YEAR(Table1[[#This Row],[Join Date]])</f>
        <v>2024</v>
      </c>
      <c r="E783" s="6" t="s">
        <v>48</v>
      </c>
      <c r="F783" t="str">
        <f>IFERROR(YEAR(Table1[[#This Row],[Exit Date]]), " ")</f>
        <v xml:space="preserve"> </v>
      </c>
      <c r="G783" t="str">
        <f>IFERROR((Table1[[#This Row],[Exit Year]]-Table1[[#This Row],[Join Year]])+1," ")</f>
        <v xml:space="preserve"> </v>
      </c>
      <c r="H783" t="s">
        <v>48</v>
      </c>
      <c r="I783" t="s">
        <v>11</v>
      </c>
      <c r="J783" t="s">
        <v>12</v>
      </c>
      <c r="K783">
        <v>32</v>
      </c>
      <c r="L783" t="str">
        <f>IF(Table1[[#This Row],[Age]]&lt;30,"20-29",
IF(Table1[[#This Row],[Age]]&lt;40,"30-39",
IF(Table1[[#This Row],[Age]]&lt;50,"40-49",
IF(Table1[[#This Row],[Age]]&lt;60,"50-59","60+"))))</f>
        <v>30-39</v>
      </c>
      <c r="M783" t="s">
        <v>16</v>
      </c>
      <c r="N783" t="s">
        <v>37</v>
      </c>
    </row>
    <row r="784" spans="1:14" x14ac:dyDescent="0.35">
      <c r="A784">
        <v>883</v>
      </c>
      <c r="B784" t="s">
        <v>36</v>
      </c>
      <c r="C784" s="6">
        <v>44377</v>
      </c>
      <c r="D784">
        <f>YEAR(Table1[[#This Row],[Join Date]])</f>
        <v>2021</v>
      </c>
      <c r="E784" s="6" t="s">
        <v>48</v>
      </c>
      <c r="F784" t="str">
        <f>IFERROR(YEAR(Table1[[#This Row],[Exit Date]]), " ")</f>
        <v xml:space="preserve"> </v>
      </c>
      <c r="G784" t="str">
        <f>IFERROR((Table1[[#This Row],[Exit Year]]-Table1[[#This Row],[Join Year]])+1," ")</f>
        <v xml:space="preserve"> </v>
      </c>
      <c r="H784" t="s">
        <v>48</v>
      </c>
      <c r="I784" t="s">
        <v>11</v>
      </c>
      <c r="J784" t="s">
        <v>18</v>
      </c>
      <c r="K784">
        <v>46</v>
      </c>
      <c r="L784" t="str">
        <f>IF(Table1[[#This Row],[Age]]&lt;30,"20-29",
IF(Table1[[#This Row],[Age]]&lt;40,"30-39",
IF(Table1[[#This Row],[Age]]&lt;50,"40-49",
IF(Table1[[#This Row],[Age]]&lt;60,"50-59","60+"))))</f>
        <v>40-49</v>
      </c>
      <c r="M784" t="s">
        <v>16</v>
      </c>
      <c r="N784" t="s">
        <v>19</v>
      </c>
    </row>
    <row r="785" spans="1:14" x14ac:dyDescent="0.35">
      <c r="A785">
        <v>884</v>
      </c>
      <c r="B785" t="s">
        <v>10</v>
      </c>
      <c r="C785" s="6">
        <v>44088</v>
      </c>
      <c r="D785">
        <f>YEAR(Table1[[#This Row],[Join Date]])</f>
        <v>2020</v>
      </c>
      <c r="E785" s="6" t="s">
        <v>48</v>
      </c>
      <c r="F785" t="str">
        <f>IFERROR(YEAR(Table1[[#This Row],[Exit Date]]), " ")</f>
        <v xml:space="preserve"> </v>
      </c>
      <c r="G785" t="str">
        <f>IFERROR((Table1[[#This Row],[Exit Year]]-Table1[[#This Row],[Join Year]])+1," ")</f>
        <v xml:space="preserve"> </v>
      </c>
      <c r="H785" t="s">
        <v>48</v>
      </c>
      <c r="I785" t="s">
        <v>11</v>
      </c>
      <c r="J785" t="s">
        <v>18</v>
      </c>
      <c r="K785">
        <v>50</v>
      </c>
      <c r="L785" t="str">
        <f>IF(Table1[[#This Row],[Age]]&lt;30,"20-29",
IF(Table1[[#This Row],[Age]]&lt;40,"30-39",
IF(Table1[[#This Row],[Age]]&lt;50,"40-49",
IF(Table1[[#This Row],[Age]]&lt;60,"50-59","60+"))))</f>
        <v>50-59</v>
      </c>
      <c r="M785" t="s">
        <v>20</v>
      </c>
      <c r="N785" t="s">
        <v>25</v>
      </c>
    </row>
    <row r="786" spans="1:14" x14ac:dyDescent="0.35">
      <c r="A786">
        <v>885</v>
      </c>
      <c r="B786" t="s">
        <v>26</v>
      </c>
      <c r="C786" s="6">
        <v>43373</v>
      </c>
      <c r="D786">
        <f>YEAR(Table1[[#This Row],[Join Date]])</f>
        <v>2018</v>
      </c>
      <c r="E786" s="6">
        <v>44825</v>
      </c>
      <c r="F786">
        <f>IFERROR(YEAR(Table1[[#This Row],[Exit Date]]), " ")</f>
        <v>2022</v>
      </c>
      <c r="G786">
        <f>IFERROR((Table1[[#This Row],[Exit Year]]-Table1[[#This Row],[Join Year]])+1," ")</f>
        <v>5</v>
      </c>
      <c r="H786" t="s">
        <v>27</v>
      </c>
      <c r="I786" t="s">
        <v>23</v>
      </c>
      <c r="J786" t="s">
        <v>18</v>
      </c>
      <c r="K786">
        <v>63</v>
      </c>
      <c r="L786" t="str">
        <f>IF(Table1[[#This Row],[Age]]&lt;30,"20-29",
IF(Table1[[#This Row],[Age]]&lt;40,"30-39",
IF(Table1[[#This Row],[Age]]&lt;50,"40-49",
IF(Table1[[#This Row],[Age]]&lt;60,"50-59","60+"))))</f>
        <v>60+</v>
      </c>
      <c r="M786" t="s">
        <v>24</v>
      </c>
      <c r="N786" t="s">
        <v>35</v>
      </c>
    </row>
    <row r="787" spans="1:14" x14ac:dyDescent="0.35">
      <c r="A787">
        <v>886</v>
      </c>
      <c r="B787" t="s">
        <v>26</v>
      </c>
      <c r="C787" s="6">
        <v>43314</v>
      </c>
      <c r="D787">
        <f>YEAR(Table1[[#This Row],[Join Date]])</f>
        <v>2018</v>
      </c>
      <c r="E787" s="6" t="s">
        <v>48</v>
      </c>
      <c r="F787" t="str">
        <f>IFERROR(YEAR(Table1[[#This Row],[Exit Date]]), " ")</f>
        <v xml:space="preserve"> </v>
      </c>
      <c r="G787" t="str">
        <f>IFERROR((Table1[[#This Row],[Exit Year]]-Table1[[#This Row],[Join Year]])+1," ")</f>
        <v xml:space="preserve"> </v>
      </c>
      <c r="H787" t="s">
        <v>48</v>
      </c>
      <c r="I787" t="s">
        <v>11</v>
      </c>
      <c r="J787" t="s">
        <v>18</v>
      </c>
      <c r="K787">
        <v>29</v>
      </c>
      <c r="L787" t="str">
        <f>IF(Table1[[#This Row],[Age]]&lt;30,"20-29",
IF(Table1[[#This Row],[Age]]&lt;40,"30-39",
IF(Table1[[#This Row],[Age]]&lt;50,"40-49",
IF(Table1[[#This Row],[Age]]&lt;60,"50-59","60+"))))</f>
        <v>20-29</v>
      </c>
      <c r="M787" t="s">
        <v>13</v>
      </c>
      <c r="N787" t="s">
        <v>17</v>
      </c>
    </row>
    <row r="788" spans="1:14" x14ac:dyDescent="0.35">
      <c r="A788">
        <v>887</v>
      </c>
      <c r="B788" t="s">
        <v>26</v>
      </c>
      <c r="C788" s="6">
        <v>44418</v>
      </c>
      <c r="D788">
        <f>YEAR(Table1[[#This Row],[Join Date]])</f>
        <v>2021</v>
      </c>
      <c r="E788" s="6">
        <v>45628</v>
      </c>
      <c r="F788">
        <f>IFERROR(YEAR(Table1[[#This Row],[Exit Date]]), " ")</f>
        <v>2024</v>
      </c>
      <c r="G788">
        <f>IFERROR((Table1[[#This Row],[Exit Year]]-Table1[[#This Row],[Join Year]])+1," ")</f>
        <v>4</v>
      </c>
      <c r="H788" t="s">
        <v>22</v>
      </c>
      <c r="I788" t="s">
        <v>23</v>
      </c>
      <c r="J788" t="s">
        <v>18</v>
      </c>
      <c r="K788">
        <v>27</v>
      </c>
      <c r="L788" t="str">
        <f>IF(Table1[[#This Row],[Age]]&lt;30,"20-29",
IF(Table1[[#This Row],[Age]]&lt;40,"30-39",
IF(Table1[[#This Row],[Age]]&lt;50,"40-49",
IF(Table1[[#This Row],[Age]]&lt;60,"50-59","60+"))))</f>
        <v>20-29</v>
      </c>
      <c r="M788" t="s">
        <v>44</v>
      </c>
      <c r="N788" t="s">
        <v>19</v>
      </c>
    </row>
    <row r="789" spans="1:14" x14ac:dyDescent="0.35">
      <c r="A789">
        <v>888</v>
      </c>
      <c r="B789" t="s">
        <v>34</v>
      </c>
      <c r="C789" s="6">
        <v>44324</v>
      </c>
      <c r="D789">
        <f>YEAR(Table1[[#This Row],[Join Date]])</f>
        <v>2021</v>
      </c>
      <c r="E789" s="6">
        <v>45076</v>
      </c>
      <c r="F789">
        <f>IFERROR(YEAR(Table1[[#This Row],[Exit Date]]), " ")</f>
        <v>2023</v>
      </c>
      <c r="G789">
        <f>IFERROR((Table1[[#This Row],[Exit Year]]-Table1[[#This Row],[Join Year]])+1," ")</f>
        <v>3</v>
      </c>
      <c r="H789" t="s">
        <v>40</v>
      </c>
      <c r="I789" t="s">
        <v>23</v>
      </c>
      <c r="J789" t="s">
        <v>12</v>
      </c>
      <c r="K789">
        <v>31</v>
      </c>
      <c r="L789" t="str">
        <f>IF(Table1[[#This Row],[Age]]&lt;30,"20-29",
IF(Table1[[#This Row],[Age]]&lt;40,"30-39",
IF(Table1[[#This Row],[Age]]&lt;50,"40-49",
IF(Table1[[#This Row],[Age]]&lt;60,"50-59","60+"))))</f>
        <v>30-39</v>
      </c>
      <c r="M789" t="s">
        <v>13</v>
      </c>
      <c r="N789" t="s">
        <v>21</v>
      </c>
    </row>
    <row r="790" spans="1:14" x14ac:dyDescent="0.35">
      <c r="A790">
        <v>889</v>
      </c>
      <c r="B790" t="s">
        <v>10</v>
      </c>
      <c r="C790" s="6">
        <v>43513</v>
      </c>
      <c r="D790">
        <f>YEAR(Table1[[#This Row],[Join Date]])</f>
        <v>2019</v>
      </c>
      <c r="E790" s="6">
        <v>44923</v>
      </c>
      <c r="F790">
        <f>IFERROR(YEAR(Table1[[#This Row],[Exit Date]]), " ")</f>
        <v>2022</v>
      </c>
      <c r="G790">
        <f>IFERROR((Table1[[#This Row],[Exit Year]]-Table1[[#This Row],[Join Year]])+1," ")</f>
        <v>4</v>
      </c>
      <c r="H790" t="s">
        <v>38</v>
      </c>
      <c r="I790" t="s">
        <v>23</v>
      </c>
      <c r="J790" t="s">
        <v>18</v>
      </c>
      <c r="K790">
        <v>24</v>
      </c>
      <c r="L790" t="str">
        <f>IF(Table1[[#This Row],[Age]]&lt;30,"20-29",
IF(Table1[[#This Row],[Age]]&lt;40,"30-39",
IF(Table1[[#This Row],[Age]]&lt;50,"40-49",
IF(Table1[[#This Row],[Age]]&lt;60,"50-59","60+"))))</f>
        <v>20-29</v>
      </c>
      <c r="M790" t="s">
        <v>13</v>
      </c>
      <c r="N790" t="s">
        <v>25</v>
      </c>
    </row>
    <row r="791" spans="1:14" x14ac:dyDescent="0.35">
      <c r="A791">
        <v>890</v>
      </c>
      <c r="B791" t="s">
        <v>36</v>
      </c>
      <c r="C791" s="6">
        <v>44180</v>
      </c>
      <c r="D791">
        <f>YEAR(Table1[[#This Row],[Join Date]])</f>
        <v>2020</v>
      </c>
      <c r="E791" s="6" t="s">
        <v>48</v>
      </c>
      <c r="F791" t="str">
        <f>IFERROR(YEAR(Table1[[#This Row],[Exit Date]]), " ")</f>
        <v xml:space="preserve"> </v>
      </c>
      <c r="G791" t="str">
        <f>IFERROR((Table1[[#This Row],[Exit Year]]-Table1[[#This Row],[Join Year]])+1," ")</f>
        <v xml:space="preserve"> </v>
      </c>
      <c r="H791" t="s">
        <v>48</v>
      </c>
      <c r="I791" t="s">
        <v>11</v>
      </c>
      <c r="J791" t="s">
        <v>18</v>
      </c>
      <c r="K791">
        <v>37</v>
      </c>
      <c r="L791" t="str">
        <f>IF(Table1[[#This Row],[Age]]&lt;30,"20-29",
IF(Table1[[#This Row],[Age]]&lt;40,"30-39",
IF(Table1[[#This Row],[Age]]&lt;50,"40-49",
IF(Table1[[#This Row],[Age]]&lt;60,"50-59","60+"))))</f>
        <v>30-39</v>
      </c>
      <c r="M791" t="s">
        <v>16</v>
      </c>
      <c r="N791" t="s">
        <v>35</v>
      </c>
    </row>
    <row r="792" spans="1:14" x14ac:dyDescent="0.35">
      <c r="A792">
        <v>891</v>
      </c>
      <c r="B792" t="s">
        <v>34</v>
      </c>
      <c r="C792" s="6">
        <v>44099</v>
      </c>
      <c r="D792">
        <f>YEAR(Table1[[#This Row],[Join Date]])</f>
        <v>2020</v>
      </c>
      <c r="E792" s="6" t="s">
        <v>48</v>
      </c>
      <c r="F792" t="str">
        <f>IFERROR(YEAR(Table1[[#This Row],[Exit Date]]), " ")</f>
        <v xml:space="preserve"> </v>
      </c>
      <c r="G792" t="str">
        <f>IFERROR((Table1[[#This Row],[Exit Year]]-Table1[[#This Row],[Join Year]])+1," ")</f>
        <v xml:space="preserve"> </v>
      </c>
      <c r="H792" t="s">
        <v>48</v>
      </c>
      <c r="I792" t="s">
        <v>11</v>
      </c>
      <c r="J792" t="s">
        <v>18</v>
      </c>
      <c r="K792">
        <v>23</v>
      </c>
      <c r="L792" t="str">
        <f>IF(Table1[[#This Row],[Age]]&lt;30,"20-29",
IF(Table1[[#This Row],[Age]]&lt;40,"30-39",
IF(Table1[[#This Row],[Age]]&lt;50,"40-49",
IF(Table1[[#This Row],[Age]]&lt;60,"50-59","60+"))))</f>
        <v>20-29</v>
      </c>
      <c r="M792" t="s">
        <v>13</v>
      </c>
      <c r="N792" t="s">
        <v>14</v>
      </c>
    </row>
    <row r="793" spans="1:14" x14ac:dyDescent="0.35">
      <c r="A793">
        <v>892</v>
      </c>
      <c r="B793" t="s">
        <v>34</v>
      </c>
      <c r="C793" s="6">
        <v>45632</v>
      </c>
      <c r="D793">
        <f>YEAR(Table1[[#This Row],[Join Date]])</f>
        <v>2024</v>
      </c>
      <c r="E793" s="6" t="s">
        <v>48</v>
      </c>
      <c r="F793" t="str">
        <f>IFERROR(YEAR(Table1[[#This Row],[Exit Date]]), " ")</f>
        <v xml:space="preserve"> </v>
      </c>
      <c r="G793" t="str">
        <f>IFERROR((Table1[[#This Row],[Exit Year]]-Table1[[#This Row],[Join Year]])+1," ")</f>
        <v xml:space="preserve"> </v>
      </c>
      <c r="H793" t="s">
        <v>48</v>
      </c>
      <c r="I793" t="s">
        <v>11</v>
      </c>
      <c r="J793" t="s">
        <v>12</v>
      </c>
      <c r="K793">
        <v>31</v>
      </c>
      <c r="L793" t="str">
        <f>IF(Table1[[#This Row],[Age]]&lt;30,"20-29",
IF(Table1[[#This Row],[Age]]&lt;40,"30-39",
IF(Table1[[#This Row],[Age]]&lt;50,"40-49",
IF(Table1[[#This Row],[Age]]&lt;60,"50-59","60+"))))</f>
        <v>30-39</v>
      </c>
      <c r="M793" t="s">
        <v>20</v>
      </c>
      <c r="N793" t="s">
        <v>19</v>
      </c>
    </row>
    <row r="794" spans="1:14" x14ac:dyDescent="0.35">
      <c r="A794">
        <v>893</v>
      </c>
      <c r="B794" t="s">
        <v>36</v>
      </c>
      <c r="C794" s="6">
        <v>45294</v>
      </c>
      <c r="D794">
        <f>YEAR(Table1[[#This Row],[Join Date]])</f>
        <v>2024</v>
      </c>
      <c r="E794" s="6" t="s">
        <v>48</v>
      </c>
      <c r="F794" t="str">
        <f>IFERROR(YEAR(Table1[[#This Row],[Exit Date]]), " ")</f>
        <v xml:space="preserve"> </v>
      </c>
      <c r="G794" t="str">
        <f>IFERROR((Table1[[#This Row],[Exit Year]]-Table1[[#This Row],[Join Year]])+1," ")</f>
        <v xml:space="preserve"> </v>
      </c>
      <c r="H794" t="s">
        <v>48</v>
      </c>
      <c r="I794" t="s">
        <v>11</v>
      </c>
      <c r="J794" t="s">
        <v>12</v>
      </c>
      <c r="K794">
        <v>52</v>
      </c>
      <c r="L794" t="str">
        <f>IF(Table1[[#This Row],[Age]]&lt;30,"20-29",
IF(Table1[[#This Row],[Age]]&lt;40,"30-39",
IF(Table1[[#This Row],[Age]]&lt;50,"40-49",
IF(Table1[[#This Row],[Age]]&lt;60,"50-59","60+"))))</f>
        <v>50-59</v>
      </c>
      <c r="M794" t="s">
        <v>39</v>
      </c>
      <c r="N794" t="s">
        <v>21</v>
      </c>
    </row>
    <row r="795" spans="1:14" x14ac:dyDescent="0.35">
      <c r="A795">
        <v>894</v>
      </c>
      <c r="B795" t="s">
        <v>26</v>
      </c>
      <c r="C795" s="6">
        <v>44590</v>
      </c>
      <c r="D795">
        <f>YEAR(Table1[[#This Row],[Join Date]])</f>
        <v>2022</v>
      </c>
      <c r="E795" s="6" t="s">
        <v>48</v>
      </c>
      <c r="F795" t="str">
        <f>IFERROR(YEAR(Table1[[#This Row],[Exit Date]]), " ")</f>
        <v xml:space="preserve"> </v>
      </c>
      <c r="G795" t="str">
        <f>IFERROR((Table1[[#This Row],[Exit Year]]-Table1[[#This Row],[Join Year]])+1," ")</f>
        <v xml:space="preserve"> </v>
      </c>
      <c r="H795" t="s">
        <v>48</v>
      </c>
      <c r="I795" t="s">
        <v>11</v>
      </c>
      <c r="J795" t="s">
        <v>18</v>
      </c>
      <c r="K795">
        <v>25</v>
      </c>
      <c r="L795" t="str">
        <f>IF(Table1[[#This Row],[Age]]&lt;30,"20-29",
IF(Table1[[#This Row],[Age]]&lt;40,"30-39",
IF(Table1[[#This Row],[Age]]&lt;50,"40-49",
IF(Table1[[#This Row],[Age]]&lt;60,"50-59","60+"))))</f>
        <v>20-29</v>
      </c>
      <c r="M795" t="s">
        <v>13</v>
      </c>
      <c r="N795" t="s">
        <v>37</v>
      </c>
    </row>
    <row r="796" spans="1:14" x14ac:dyDescent="0.35">
      <c r="A796">
        <v>895</v>
      </c>
      <c r="B796" t="s">
        <v>15</v>
      </c>
      <c r="C796" s="6">
        <v>45215</v>
      </c>
      <c r="D796">
        <f>YEAR(Table1[[#This Row],[Join Date]])</f>
        <v>2023</v>
      </c>
      <c r="E796" s="6" t="s">
        <v>48</v>
      </c>
      <c r="F796" t="str">
        <f>IFERROR(YEAR(Table1[[#This Row],[Exit Date]]), " ")</f>
        <v xml:space="preserve"> </v>
      </c>
      <c r="G796" t="str">
        <f>IFERROR((Table1[[#This Row],[Exit Year]]-Table1[[#This Row],[Join Year]])+1," ")</f>
        <v xml:space="preserve"> </v>
      </c>
      <c r="H796" t="s">
        <v>48</v>
      </c>
      <c r="I796" t="s">
        <v>11</v>
      </c>
      <c r="J796" t="s">
        <v>12</v>
      </c>
      <c r="K796">
        <v>46</v>
      </c>
      <c r="L796" t="str">
        <f>IF(Table1[[#This Row],[Age]]&lt;30,"20-29",
IF(Table1[[#This Row],[Age]]&lt;40,"30-39",
IF(Table1[[#This Row],[Age]]&lt;50,"40-49",
IF(Table1[[#This Row],[Age]]&lt;60,"50-59","60+"))))</f>
        <v>40-49</v>
      </c>
      <c r="M796" t="s">
        <v>16</v>
      </c>
      <c r="N796" t="s">
        <v>25</v>
      </c>
    </row>
    <row r="797" spans="1:14" x14ac:dyDescent="0.35">
      <c r="A797">
        <v>896</v>
      </c>
      <c r="B797" t="s">
        <v>15</v>
      </c>
      <c r="C797" s="6">
        <v>43624</v>
      </c>
      <c r="D797">
        <f>YEAR(Table1[[#This Row],[Join Date]])</f>
        <v>2019</v>
      </c>
      <c r="E797" s="6">
        <v>44228</v>
      </c>
      <c r="F797">
        <f>IFERROR(YEAR(Table1[[#This Row],[Exit Date]]), " ")</f>
        <v>2021</v>
      </c>
      <c r="G797">
        <f>IFERROR((Table1[[#This Row],[Exit Year]]-Table1[[#This Row],[Join Year]])+1," ")</f>
        <v>3</v>
      </c>
      <c r="H797" t="s">
        <v>41</v>
      </c>
      <c r="I797" t="s">
        <v>23</v>
      </c>
      <c r="J797" t="s">
        <v>12</v>
      </c>
      <c r="K797">
        <v>24</v>
      </c>
      <c r="L797" t="str">
        <f>IF(Table1[[#This Row],[Age]]&lt;30,"20-29",
IF(Table1[[#This Row],[Age]]&lt;40,"30-39",
IF(Table1[[#This Row],[Age]]&lt;50,"40-49",
IF(Table1[[#This Row],[Age]]&lt;60,"50-59","60+"))))</f>
        <v>20-29</v>
      </c>
      <c r="M797" t="s">
        <v>16</v>
      </c>
      <c r="N797" t="s">
        <v>35</v>
      </c>
    </row>
    <row r="798" spans="1:14" x14ac:dyDescent="0.35">
      <c r="A798">
        <v>897</v>
      </c>
      <c r="B798" t="s">
        <v>15</v>
      </c>
      <c r="C798" s="6">
        <v>44514</v>
      </c>
      <c r="D798">
        <f>YEAR(Table1[[#This Row],[Join Date]])</f>
        <v>2021</v>
      </c>
      <c r="E798" s="6">
        <v>45529</v>
      </c>
      <c r="F798">
        <f>IFERROR(YEAR(Table1[[#This Row],[Exit Date]]), " ")</f>
        <v>2024</v>
      </c>
      <c r="G798">
        <f>IFERROR((Table1[[#This Row],[Exit Year]]-Table1[[#This Row],[Join Year]])+1," ")</f>
        <v>4</v>
      </c>
      <c r="H798" t="s">
        <v>41</v>
      </c>
      <c r="I798" t="s">
        <v>23</v>
      </c>
      <c r="J798" t="s">
        <v>18</v>
      </c>
      <c r="K798">
        <v>38</v>
      </c>
      <c r="L798" t="str">
        <f>IF(Table1[[#This Row],[Age]]&lt;30,"20-29",
IF(Table1[[#This Row],[Age]]&lt;40,"30-39",
IF(Table1[[#This Row],[Age]]&lt;50,"40-49",
IF(Table1[[#This Row],[Age]]&lt;60,"50-59","60+"))))</f>
        <v>30-39</v>
      </c>
      <c r="M798" t="s">
        <v>20</v>
      </c>
      <c r="N798" t="s">
        <v>14</v>
      </c>
    </row>
    <row r="799" spans="1:14" x14ac:dyDescent="0.35">
      <c r="A799">
        <v>898</v>
      </c>
      <c r="B799" t="s">
        <v>29</v>
      </c>
      <c r="C799" s="6">
        <v>43700</v>
      </c>
      <c r="D799">
        <f>YEAR(Table1[[#This Row],[Join Date]])</f>
        <v>2019</v>
      </c>
      <c r="E799" s="6" t="s">
        <v>48</v>
      </c>
      <c r="F799" t="str">
        <f>IFERROR(YEAR(Table1[[#This Row],[Exit Date]]), " ")</f>
        <v xml:space="preserve"> </v>
      </c>
      <c r="G799" t="str">
        <f>IFERROR((Table1[[#This Row],[Exit Year]]-Table1[[#This Row],[Join Year]])+1," ")</f>
        <v xml:space="preserve"> </v>
      </c>
      <c r="H799" t="s">
        <v>48</v>
      </c>
      <c r="I799" t="s">
        <v>11</v>
      </c>
      <c r="J799" t="s">
        <v>12</v>
      </c>
      <c r="K799">
        <v>49</v>
      </c>
      <c r="L799" t="str">
        <f>IF(Table1[[#This Row],[Age]]&lt;30,"20-29",
IF(Table1[[#This Row],[Age]]&lt;40,"30-39",
IF(Table1[[#This Row],[Age]]&lt;50,"40-49",
IF(Table1[[#This Row],[Age]]&lt;60,"50-59","60+"))))</f>
        <v>40-49</v>
      </c>
      <c r="M799" t="s">
        <v>24</v>
      </c>
      <c r="N799" t="s">
        <v>17</v>
      </c>
    </row>
    <row r="800" spans="1:14" x14ac:dyDescent="0.35">
      <c r="A800">
        <v>899</v>
      </c>
      <c r="B800" t="s">
        <v>34</v>
      </c>
      <c r="C800" s="6">
        <v>45540</v>
      </c>
      <c r="D800">
        <f>YEAR(Table1[[#This Row],[Join Date]])</f>
        <v>2024</v>
      </c>
      <c r="E800" s="6" t="s">
        <v>48</v>
      </c>
      <c r="F800" t="str">
        <f>IFERROR(YEAR(Table1[[#This Row],[Exit Date]]), " ")</f>
        <v xml:space="preserve"> </v>
      </c>
      <c r="G800" t="str">
        <f>IFERROR((Table1[[#This Row],[Exit Year]]-Table1[[#This Row],[Join Year]])+1," ")</f>
        <v xml:space="preserve"> </v>
      </c>
      <c r="H800" t="s">
        <v>48</v>
      </c>
      <c r="I800" t="s">
        <v>11</v>
      </c>
      <c r="J800" t="s">
        <v>12</v>
      </c>
      <c r="K800">
        <v>31</v>
      </c>
      <c r="L800" t="str">
        <f>IF(Table1[[#This Row],[Age]]&lt;30,"20-29",
IF(Table1[[#This Row],[Age]]&lt;40,"30-39",
IF(Table1[[#This Row],[Age]]&lt;50,"40-49",
IF(Table1[[#This Row],[Age]]&lt;60,"50-59","60+"))))</f>
        <v>30-39</v>
      </c>
      <c r="M800" t="s">
        <v>13</v>
      </c>
      <c r="N800" t="s">
        <v>19</v>
      </c>
    </row>
    <row r="801" spans="1:14" x14ac:dyDescent="0.35">
      <c r="A801">
        <v>900</v>
      </c>
      <c r="B801" t="s">
        <v>10</v>
      </c>
      <c r="C801" s="6">
        <v>43297</v>
      </c>
      <c r="D801">
        <f>YEAR(Table1[[#This Row],[Join Date]])</f>
        <v>2018</v>
      </c>
      <c r="E801" s="6">
        <v>44682</v>
      </c>
      <c r="F801">
        <f>IFERROR(YEAR(Table1[[#This Row],[Exit Date]]), " ")</f>
        <v>2022</v>
      </c>
      <c r="G801">
        <f>IFERROR((Table1[[#This Row],[Exit Year]]-Table1[[#This Row],[Join Year]])+1," ")</f>
        <v>5</v>
      </c>
      <c r="H801" t="s">
        <v>40</v>
      </c>
      <c r="I801" t="s">
        <v>23</v>
      </c>
      <c r="J801" t="s">
        <v>12</v>
      </c>
      <c r="K801">
        <v>51</v>
      </c>
      <c r="L801" t="str">
        <f>IF(Table1[[#This Row],[Age]]&lt;30,"20-29",
IF(Table1[[#This Row],[Age]]&lt;40,"30-39",
IF(Table1[[#This Row],[Age]]&lt;50,"40-49",
IF(Table1[[#This Row],[Age]]&lt;60,"50-59","60+"))))</f>
        <v>50-59</v>
      </c>
      <c r="M801" t="s">
        <v>42</v>
      </c>
      <c r="N801" t="s">
        <v>21</v>
      </c>
    </row>
    <row r="802" spans="1:14" x14ac:dyDescent="0.35">
      <c r="A802">
        <v>901</v>
      </c>
      <c r="B802" t="s">
        <v>10</v>
      </c>
      <c r="C802" s="6">
        <v>43407</v>
      </c>
      <c r="D802">
        <f>YEAR(Table1[[#This Row],[Join Date]])</f>
        <v>2018</v>
      </c>
      <c r="E802" s="6" t="s">
        <v>48</v>
      </c>
      <c r="F802" t="str">
        <f>IFERROR(YEAR(Table1[[#This Row],[Exit Date]]), " ")</f>
        <v xml:space="preserve"> </v>
      </c>
      <c r="G802" t="str">
        <f>IFERROR((Table1[[#This Row],[Exit Year]]-Table1[[#This Row],[Join Year]])+1," ")</f>
        <v xml:space="preserve"> </v>
      </c>
      <c r="H802" t="s">
        <v>48</v>
      </c>
      <c r="I802" t="s">
        <v>11</v>
      </c>
      <c r="J802" t="s">
        <v>18</v>
      </c>
      <c r="K802">
        <v>27</v>
      </c>
      <c r="L802" t="str">
        <f>IF(Table1[[#This Row],[Age]]&lt;30,"20-29",
IF(Table1[[#This Row],[Age]]&lt;40,"30-39",
IF(Table1[[#This Row],[Age]]&lt;50,"40-49",
IF(Table1[[#This Row],[Age]]&lt;60,"50-59","60+"))))</f>
        <v>20-29</v>
      </c>
      <c r="M802" t="s">
        <v>13</v>
      </c>
      <c r="N802" t="s">
        <v>25</v>
      </c>
    </row>
    <row r="803" spans="1:14" x14ac:dyDescent="0.35">
      <c r="A803">
        <v>902</v>
      </c>
      <c r="B803" t="s">
        <v>15</v>
      </c>
      <c r="C803" s="6">
        <v>44121</v>
      </c>
      <c r="D803">
        <f>YEAR(Table1[[#This Row],[Join Date]])</f>
        <v>2020</v>
      </c>
      <c r="E803" s="6" t="s">
        <v>48</v>
      </c>
      <c r="F803" t="str">
        <f>IFERROR(YEAR(Table1[[#This Row],[Exit Date]]), " ")</f>
        <v xml:space="preserve"> </v>
      </c>
      <c r="G803" t="str">
        <f>IFERROR((Table1[[#This Row],[Exit Year]]-Table1[[#This Row],[Join Year]])+1," ")</f>
        <v xml:space="preserve"> </v>
      </c>
      <c r="H803" t="s">
        <v>48</v>
      </c>
      <c r="I803" t="s">
        <v>11</v>
      </c>
      <c r="J803" t="s">
        <v>12</v>
      </c>
      <c r="K803">
        <v>22</v>
      </c>
      <c r="L803" t="str">
        <f>IF(Table1[[#This Row],[Age]]&lt;30,"20-29",
IF(Table1[[#This Row],[Age]]&lt;40,"30-39",
IF(Table1[[#This Row],[Age]]&lt;50,"40-49",
IF(Table1[[#This Row],[Age]]&lt;60,"50-59","60+"))))</f>
        <v>20-29</v>
      </c>
      <c r="M803" t="s">
        <v>13</v>
      </c>
      <c r="N803" t="s">
        <v>28</v>
      </c>
    </row>
    <row r="804" spans="1:14" x14ac:dyDescent="0.35">
      <c r="A804">
        <v>903</v>
      </c>
      <c r="B804" t="s">
        <v>15</v>
      </c>
      <c r="C804" s="6">
        <v>44423</v>
      </c>
      <c r="D804">
        <f>YEAR(Table1[[#This Row],[Join Date]])</f>
        <v>2021</v>
      </c>
      <c r="E804" s="6" t="s">
        <v>48</v>
      </c>
      <c r="F804" t="str">
        <f>IFERROR(YEAR(Table1[[#This Row],[Exit Date]]), " ")</f>
        <v xml:space="preserve"> </v>
      </c>
      <c r="G804" t="str">
        <f>IFERROR((Table1[[#This Row],[Exit Year]]-Table1[[#This Row],[Join Year]])+1," ")</f>
        <v xml:space="preserve"> </v>
      </c>
      <c r="H804" t="s">
        <v>48</v>
      </c>
      <c r="I804" t="s">
        <v>11</v>
      </c>
      <c r="J804" t="s">
        <v>18</v>
      </c>
      <c r="K804">
        <v>50</v>
      </c>
      <c r="L804" t="str">
        <f>IF(Table1[[#This Row],[Age]]&lt;30,"20-29",
IF(Table1[[#This Row],[Age]]&lt;40,"30-39",
IF(Table1[[#This Row],[Age]]&lt;50,"40-49",
IF(Table1[[#This Row],[Age]]&lt;60,"50-59","60+"))))</f>
        <v>50-59</v>
      </c>
      <c r="M804" t="s">
        <v>16</v>
      </c>
      <c r="N804" t="s">
        <v>31</v>
      </c>
    </row>
    <row r="805" spans="1:14" x14ac:dyDescent="0.35">
      <c r="A805">
        <v>904</v>
      </c>
      <c r="B805" t="s">
        <v>15</v>
      </c>
      <c r="C805" s="6">
        <v>45087</v>
      </c>
      <c r="D805">
        <f>YEAR(Table1[[#This Row],[Join Date]])</f>
        <v>2023</v>
      </c>
      <c r="E805" s="6" t="s">
        <v>48</v>
      </c>
      <c r="F805" t="str">
        <f>IFERROR(YEAR(Table1[[#This Row],[Exit Date]]), " ")</f>
        <v xml:space="preserve"> </v>
      </c>
      <c r="G805" t="str">
        <f>IFERROR((Table1[[#This Row],[Exit Year]]-Table1[[#This Row],[Join Year]])+1," ")</f>
        <v xml:space="preserve"> </v>
      </c>
      <c r="H805" t="s">
        <v>48</v>
      </c>
      <c r="I805" t="s">
        <v>11</v>
      </c>
      <c r="J805" t="s">
        <v>18</v>
      </c>
      <c r="K805">
        <v>24</v>
      </c>
      <c r="L805" t="str">
        <f>IF(Table1[[#This Row],[Age]]&lt;30,"20-29",
IF(Table1[[#This Row],[Age]]&lt;40,"30-39",
IF(Table1[[#This Row],[Age]]&lt;50,"40-49",
IF(Table1[[#This Row],[Age]]&lt;60,"50-59","60+"))))</f>
        <v>20-29</v>
      </c>
      <c r="M805" t="s">
        <v>13</v>
      </c>
      <c r="N805" t="s">
        <v>32</v>
      </c>
    </row>
    <row r="806" spans="1:14" x14ac:dyDescent="0.35">
      <c r="A806">
        <v>905</v>
      </c>
      <c r="B806" t="s">
        <v>15</v>
      </c>
      <c r="C806" s="6">
        <v>43479</v>
      </c>
      <c r="D806">
        <f>YEAR(Table1[[#This Row],[Join Date]])</f>
        <v>2019</v>
      </c>
      <c r="E806" s="6">
        <v>44449</v>
      </c>
      <c r="F806">
        <f>IFERROR(YEAR(Table1[[#This Row],[Exit Date]]), " ")</f>
        <v>2021</v>
      </c>
      <c r="G806">
        <f>IFERROR((Table1[[#This Row],[Exit Year]]-Table1[[#This Row],[Join Year]])+1," ")</f>
        <v>3</v>
      </c>
      <c r="H806" t="s">
        <v>22</v>
      </c>
      <c r="I806" t="s">
        <v>23</v>
      </c>
      <c r="J806" t="s">
        <v>18</v>
      </c>
      <c r="K806">
        <v>50</v>
      </c>
      <c r="L806" t="str">
        <f>IF(Table1[[#This Row],[Age]]&lt;30,"20-29",
IF(Table1[[#This Row],[Age]]&lt;40,"30-39",
IF(Table1[[#This Row],[Age]]&lt;50,"40-49",
IF(Table1[[#This Row],[Age]]&lt;60,"50-59","60+"))))</f>
        <v>50-59</v>
      </c>
      <c r="M806" t="s">
        <v>20</v>
      </c>
      <c r="N806" t="s">
        <v>33</v>
      </c>
    </row>
    <row r="807" spans="1:14" x14ac:dyDescent="0.35">
      <c r="A807">
        <v>906</v>
      </c>
      <c r="B807" t="s">
        <v>26</v>
      </c>
      <c r="C807" s="6">
        <v>44749</v>
      </c>
      <c r="D807">
        <f>YEAR(Table1[[#This Row],[Join Date]])</f>
        <v>2022</v>
      </c>
      <c r="E807" s="6">
        <v>44972</v>
      </c>
      <c r="F807">
        <f>IFERROR(YEAR(Table1[[#This Row],[Exit Date]]), " ")</f>
        <v>2023</v>
      </c>
      <c r="G807">
        <f>IFERROR((Table1[[#This Row],[Exit Year]]-Table1[[#This Row],[Join Year]])+1," ")</f>
        <v>2</v>
      </c>
      <c r="H807" t="s">
        <v>46</v>
      </c>
      <c r="I807" t="s">
        <v>23</v>
      </c>
      <c r="J807" t="s">
        <v>12</v>
      </c>
      <c r="K807">
        <v>28</v>
      </c>
      <c r="L807" t="str">
        <f>IF(Table1[[#This Row],[Age]]&lt;30,"20-29",
IF(Table1[[#This Row],[Age]]&lt;40,"30-39",
IF(Table1[[#This Row],[Age]]&lt;50,"40-49",
IF(Table1[[#This Row],[Age]]&lt;60,"50-59","60+"))))</f>
        <v>20-29</v>
      </c>
      <c r="M807" t="s">
        <v>39</v>
      </c>
      <c r="N807" t="s">
        <v>35</v>
      </c>
    </row>
    <row r="808" spans="1:14" x14ac:dyDescent="0.35">
      <c r="A808">
        <v>907</v>
      </c>
      <c r="B808" t="s">
        <v>29</v>
      </c>
      <c r="C808" s="6">
        <v>45457</v>
      </c>
      <c r="D808">
        <f>YEAR(Table1[[#This Row],[Join Date]])</f>
        <v>2024</v>
      </c>
      <c r="E808" s="6" t="s">
        <v>48</v>
      </c>
      <c r="F808" t="str">
        <f>IFERROR(YEAR(Table1[[#This Row],[Exit Date]]), " ")</f>
        <v xml:space="preserve"> </v>
      </c>
      <c r="G808" t="str">
        <f>IFERROR((Table1[[#This Row],[Exit Year]]-Table1[[#This Row],[Join Year]])+1," ")</f>
        <v xml:space="preserve"> </v>
      </c>
      <c r="H808" t="s">
        <v>48</v>
      </c>
      <c r="I808" t="s">
        <v>11</v>
      </c>
      <c r="J808" t="s">
        <v>12</v>
      </c>
      <c r="K808">
        <v>40</v>
      </c>
      <c r="L808" t="str">
        <f>IF(Table1[[#This Row],[Age]]&lt;30,"20-29",
IF(Table1[[#This Row],[Age]]&lt;40,"30-39",
IF(Table1[[#This Row],[Age]]&lt;50,"40-49",
IF(Table1[[#This Row],[Age]]&lt;60,"50-59","60+"))))</f>
        <v>40-49</v>
      </c>
      <c r="M808" t="s">
        <v>13</v>
      </c>
      <c r="N808" t="s">
        <v>37</v>
      </c>
    </row>
    <row r="809" spans="1:14" x14ac:dyDescent="0.35">
      <c r="A809">
        <v>908</v>
      </c>
      <c r="B809" t="s">
        <v>10</v>
      </c>
      <c r="C809" s="6">
        <v>43304</v>
      </c>
      <c r="D809">
        <f>YEAR(Table1[[#This Row],[Join Date]])</f>
        <v>2018</v>
      </c>
      <c r="E809" s="6" t="s">
        <v>48</v>
      </c>
      <c r="F809" t="str">
        <f>IFERROR(YEAR(Table1[[#This Row],[Exit Date]]), " ")</f>
        <v xml:space="preserve"> </v>
      </c>
      <c r="G809" t="str">
        <f>IFERROR((Table1[[#This Row],[Exit Year]]-Table1[[#This Row],[Join Year]])+1," ")</f>
        <v xml:space="preserve"> </v>
      </c>
      <c r="H809" t="s">
        <v>48</v>
      </c>
      <c r="I809" t="s">
        <v>11</v>
      </c>
      <c r="J809" t="s">
        <v>18</v>
      </c>
      <c r="K809">
        <v>32</v>
      </c>
      <c r="L809" t="str">
        <f>IF(Table1[[#This Row],[Age]]&lt;30,"20-29",
IF(Table1[[#This Row],[Age]]&lt;40,"30-39",
IF(Table1[[#This Row],[Age]]&lt;50,"40-49",
IF(Table1[[#This Row],[Age]]&lt;60,"50-59","60+"))))</f>
        <v>30-39</v>
      </c>
      <c r="M809" t="s">
        <v>16</v>
      </c>
      <c r="N809" t="s">
        <v>19</v>
      </c>
    </row>
    <row r="810" spans="1:14" x14ac:dyDescent="0.35">
      <c r="A810">
        <v>909</v>
      </c>
      <c r="B810" t="s">
        <v>15</v>
      </c>
      <c r="C810" s="6">
        <v>44987</v>
      </c>
      <c r="D810">
        <f>YEAR(Table1[[#This Row],[Join Date]])</f>
        <v>2023</v>
      </c>
      <c r="E810" s="6" t="s">
        <v>48</v>
      </c>
      <c r="F810" t="str">
        <f>IFERROR(YEAR(Table1[[#This Row],[Exit Date]]), " ")</f>
        <v xml:space="preserve"> </v>
      </c>
      <c r="G810" t="str">
        <f>IFERROR((Table1[[#This Row],[Exit Year]]-Table1[[#This Row],[Join Year]])+1," ")</f>
        <v xml:space="preserve"> </v>
      </c>
      <c r="H810" t="s">
        <v>48</v>
      </c>
      <c r="I810" t="s">
        <v>11</v>
      </c>
      <c r="J810" t="s">
        <v>18</v>
      </c>
      <c r="K810">
        <v>50</v>
      </c>
      <c r="L810" t="str">
        <f>IF(Table1[[#This Row],[Age]]&lt;30,"20-29",
IF(Table1[[#This Row],[Age]]&lt;40,"30-39",
IF(Table1[[#This Row],[Age]]&lt;50,"40-49",
IF(Table1[[#This Row],[Age]]&lt;60,"50-59","60+"))))</f>
        <v>50-59</v>
      </c>
      <c r="M810" t="s">
        <v>16</v>
      </c>
      <c r="N810" t="s">
        <v>25</v>
      </c>
    </row>
    <row r="811" spans="1:14" x14ac:dyDescent="0.35">
      <c r="A811">
        <v>910</v>
      </c>
      <c r="B811" t="s">
        <v>34</v>
      </c>
      <c r="C811" s="6">
        <v>45326</v>
      </c>
      <c r="D811">
        <f>YEAR(Table1[[#This Row],[Join Date]])</f>
        <v>2024</v>
      </c>
      <c r="E811" s="6" t="s">
        <v>48</v>
      </c>
      <c r="F811" t="str">
        <f>IFERROR(YEAR(Table1[[#This Row],[Exit Date]]), " ")</f>
        <v xml:space="preserve"> </v>
      </c>
      <c r="G811" t="str">
        <f>IFERROR((Table1[[#This Row],[Exit Year]]-Table1[[#This Row],[Join Year]])+1," ")</f>
        <v xml:space="preserve"> </v>
      </c>
      <c r="H811" t="s">
        <v>48</v>
      </c>
      <c r="I811" t="s">
        <v>11</v>
      </c>
      <c r="J811" t="s">
        <v>12</v>
      </c>
      <c r="K811">
        <v>24</v>
      </c>
      <c r="L811" t="str">
        <f>IF(Table1[[#This Row],[Age]]&lt;30,"20-29",
IF(Table1[[#This Row],[Age]]&lt;40,"30-39",
IF(Table1[[#This Row],[Age]]&lt;50,"40-49",
IF(Table1[[#This Row],[Age]]&lt;60,"50-59","60+"))))</f>
        <v>20-29</v>
      </c>
      <c r="M811" t="s">
        <v>20</v>
      </c>
      <c r="N811" t="s">
        <v>35</v>
      </c>
    </row>
    <row r="812" spans="1:14" x14ac:dyDescent="0.35">
      <c r="A812">
        <v>911</v>
      </c>
      <c r="B812" t="s">
        <v>36</v>
      </c>
      <c r="C812" s="6">
        <v>45474</v>
      </c>
      <c r="D812">
        <f>YEAR(Table1[[#This Row],[Join Date]])</f>
        <v>2024</v>
      </c>
      <c r="E812" s="6" t="s">
        <v>48</v>
      </c>
      <c r="F812" t="str">
        <f>IFERROR(YEAR(Table1[[#This Row],[Exit Date]]), " ")</f>
        <v xml:space="preserve"> </v>
      </c>
      <c r="G812" t="str">
        <f>IFERROR((Table1[[#This Row],[Exit Year]]-Table1[[#This Row],[Join Year]])+1," ")</f>
        <v xml:space="preserve"> </v>
      </c>
      <c r="H812" t="s">
        <v>48</v>
      </c>
      <c r="I812" t="s">
        <v>11</v>
      </c>
      <c r="J812" t="s">
        <v>12</v>
      </c>
      <c r="K812">
        <v>36</v>
      </c>
      <c r="L812" t="str">
        <f>IF(Table1[[#This Row],[Age]]&lt;30,"20-29",
IF(Table1[[#This Row],[Age]]&lt;40,"30-39",
IF(Table1[[#This Row],[Age]]&lt;50,"40-49",
IF(Table1[[#This Row],[Age]]&lt;60,"50-59","60+"))))</f>
        <v>30-39</v>
      </c>
      <c r="M812" t="s">
        <v>24</v>
      </c>
      <c r="N812" t="s">
        <v>17</v>
      </c>
    </row>
    <row r="813" spans="1:14" x14ac:dyDescent="0.35">
      <c r="A813">
        <v>912</v>
      </c>
      <c r="B813" t="s">
        <v>29</v>
      </c>
      <c r="C813" s="6">
        <v>44227</v>
      </c>
      <c r="D813">
        <f>YEAR(Table1[[#This Row],[Join Date]])</f>
        <v>2021</v>
      </c>
      <c r="E813" s="6">
        <v>45322</v>
      </c>
      <c r="F813">
        <f>IFERROR(YEAR(Table1[[#This Row],[Exit Date]]), " ")</f>
        <v>2024</v>
      </c>
      <c r="G813">
        <f>IFERROR((Table1[[#This Row],[Exit Year]]-Table1[[#This Row],[Join Year]])+1," ")</f>
        <v>4</v>
      </c>
      <c r="H813" t="s">
        <v>46</v>
      </c>
      <c r="I813" t="s">
        <v>23</v>
      </c>
      <c r="J813" t="s">
        <v>12</v>
      </c>
      <c r="K813">
        <v>49</v>
      </c>
      <c r="L813" t="str">
        <f>IF(Table1[[#This Row],[Age]]&lt;30,"20-29",
IF(Table1[[#This Row],[Age]]&lt;40,"30-39",
IF(Table1[[#This Row],[Age]]&lt;50,"40-49",
IF(Table1[[#This Row],[Age]]&lt;60,"50-59","60+"))))</f>
        <v>40-49</v>
      </c>
      <c r="M813" t="s">
        <v>13</v>
      </c>
      <c r="N813" t="s">
        <v>19</v>
      </c>
    </row>
    <row r="814" spans="1:14" x14ac:dyDescent="0.35">
      <c r="A814">
        <v>913</v>
      </c>
      <c r="B814" t="s">
        <v>10</v>
      </c>
      <c r="C814" s="6">
        <v>43446</v>
      </c>
      <c r="D814">
        <f>YEAR(Table1[[#This Row],[Join Date]])</f>
        <v>2018</v>
      </c>
      <c r="E814" s="6">
        <v>43936</v>
      </c>
      <c r="F814">
        <f>IFERROR(YEAR(Table1[[#This Row],[Exit Date]]), " ")</f>
        <v>2020</v>
      </c>
      <c r="G814">
        <f>IFERROR((Table1[[#This Row],[Exit Year]]-Table1[[#This Row],[Join Year]])+1," ")</f>
        <v>3</v>
      </c>
      <c r="H814" t="s">
        <v>38</v>
      </c>
      <c r="I814" t="s">
        <v>23</v>
      </c>
      <c r="J814" t="s">
        <v>12</v>
      </c>
      <c r="K814">
        <v>43</v>
      </c>
      <c r="L814" t="str">
        <f>IF(Table1[[#This Row],[Age]]&lt;30,"20-29",
IF(Table1[[#This Row],[Age]]&lt;40,"30-39",
IF(Table1[[#This Row],[Age]]&lt;50,"40-49",
IF(Table1[[#This Row],[Age]]&lt;60,"50-59","60+"))))</f>
        <v>40-49</v>
      </c>
      <c r="M814" t="s">
        <v>42</v>
      </c>
      <c r="N814" t="s">
        <v>21</v>
      </c>
    </row>
    <row r="815" spans="1:14" x14ac:dyDescent="0.35">
      <c r="A815">
        <v>914</v>
      </c>
      <c r="B815" t="s">
        <v>15</v>
      </c>
      <c r="C815" s="6">
        <v>45314</v>
      </c>
      <c r="D815">
        <f>YEAR(Table1[[#This Row],[Join Date]])</f>
        <v>2024</v>
      </c>
      <c r="E815" s="6" t="s">
        <v>48</v>
      </c>
      <c r="F815" t="str">
        <f>IFERROR(YEAR(Table1[[#This Row],[Exit Date]]), " ")</f>
        <v xml:space="preserve"> </v>
      </c>
      <c r="G815" t="str">
        <f>IFERROR((Table1[[#This Row],[Exit Year]]-Table1[[#This Row],[Join Year]])+1," ")</f>
        <v xml:space="preserve"> </v>
      </c>
      <c r="H815" t="s">
        <v>48</v>
      </c>
      <c r="I815" t="s">
        <v>11</v>
      </c>
      <c r="J815" t="s">
        <v>18</v>
      </c>
      <c r="K815">
        <v>40</v>
      </c>
      <c r="L815" t="str">
        <f>IF(Table1[[#This Row],[Age]]&lt;30,"20-29",
IF(Table1[[#This Row],[Age]]&lt;40,"30-39",
IF(Table1[[#This Row],[Age]]&lt;50,"40-49",
IF(Table1[[#This Row],[Age]]&lt;60,"50-59","60+"))))</f>
        <v>40-49</v>
      </c>
      <c r="M815" t="s">
        <v>13</v>
      </c>
      <c r="N815" t="s">
        <v>25</v>
      </c>
    </row>
    <row r="816" spans="1:14" x14ac:dyDescent="0.35">
      <c r="A816">
        <v>915</v>
      </c>
      <c r="B816" t="s">
        <v>15</v>
      </c>
      <c r="C816" s="6">
        <v>43123</v>
      </c>
      <c r="D816">
        <f>YEAR(Table1[[#This Row],[Join Date]])</f>
        <v>2018</v>
      </c>
      <c r="E816" s="6" t="s">
        <v>48</v>
      </c>
      <c r="F816" t="str">
        <f>IFERROR(YEAR(Table1[[#This Row],[Exit Date]]), " ")</f>
        <v xml:space="preserve"> </v>
      </c>
      <c r="G816" t="str">
        <f>IFERROR((Table1[[#This Row],[Exit Year]]-Table1[[#This Row],[Join Year]])+1," ")</f>
        <v xml:space="preserve"> </v>
      </c>
      <c r="H816" t="s">
        <v>48</v>
      </c>
      <c r="I816" t="s">
        <v>11</v>
      </c>
      <c r="J816" t="s">
        <v>12</v>
      </c>
      <c r="K816">
        <v>42</v>
      </c>
      <c r="L816" t="str">
        <f>IF(Table1[[#This Row],[Age]]&lt;30,"20-29",
IF(Table1[[#This Row],[Age]]&lt;40,"30-39",
IF(Table1[[#This Row],[Age]]&lt;50,"40-49",
IF(Table1[[#This Row],[Age]]&lt;60,"50-59","60+"))))</f>
        <v>40-49</v>
      </c>
      <c r="M816" t="s">
        <v>13</v>
      </c>
      <c r="N816" t="s">
        <v>35</v>
      </c>
    </row>
    <row r="817" spans="1:14" x14ac:dyDescent="0.35">
      <c r="A817">
        <v>916</v>
      </c>
      <c r="B817" t="s">
        <v>10</v>
      </c>
      <c r="C817" s="6">
        <v>43717</v>
      </c>
      <c r="D817">
        <f>YEAR(Table1[[#This Row],[Join Date]])</f>
        <v>2019</v>
      </c>
      <c r="E817" s="6">
        <v>44677</v>
      </c>
      <c r="F817">
        <f>IFERROR(YEAR(Table1[[#This Row],[Exit Date]]), " ")</f>
        <v>2022</v>
      </c>
      <c r="G817">
        <f>IFERROR((Table1[[#This Row],[Exit Year]]-Table1[[#This Row],[Join Year]])+1," ")</f>
        <v>4</v>
      </c>
      <c r="H817" t="s">
        <v>40</v>
      </c>
      <c r="I817" t="s">
        <v>23</v>
      </c>
      <c r="J817" t="s">
        <v>18</v>
      </c>
      <c r="K817">
        <v>35</v>
      </c>
      <c r="L817" t="str">
        <f>IF(Table1[[#This Row],[Age]]&lt;30,"20-29",
IF(Table1[[#This Row],[Age]]&lt;40,"30-39",
IF(Table1[[#This Row],[Age]]&lt;50,"40-49",
IF(Table1[[#This Row],[Age]]&lt;60,"50-59","60+"))))</f>
        <v>30-39</v>
      </c>
      <c r="M817" t="s">
        <v>16</v>
      </c>
      <c r="N817" t="s">
        <v>14</v>
      </c>
    </row>
    <row r="818" spans="1:14" x14ac:dyDescent="0.35">
      <c r="A818">
        <v>917</v>
      </c>
      <c r="B818" t="s">
        <v>29</v>
      </c>
      <c r="C818" s="6">
        <v>43534</v>
      </c>
      <c r="D818">
        <f>YEAR(Table1[[#This Row],[Join Date]])</f>
        <v>2019</v>
      </c>
      <c r="E818" s="6">
        <v>44117</v>
      </c>
      <c r="F818">
        <f>IFERROR(YEAR(Table1[[#This Row],[Exit Date]]), " ")</f>
        <v>2020</v>
      </c>
      <c r="G818">
        <f>IFERROR((Table1[[#This Row],[Exit Year]]-Table1[[#This Row],[Join Year]])+1," ")</f>
        <v>2</v>
      </c>
      <c r="H818" t="s">
        <v>38</v>
      </c>
      <c r="I818" t="s">
        <v>23</v>
      </c>
      <c r="J818" t="s">
        <v>18</v>
      </c>
      <c r="K818">
        <v>31</v>
      </c>
      <c r="L818" t="str">
        <f>IF(Table1[[#This Row],[Age]]&lt;30,"20-29",
IF(Table1[[#This Row],[Age]]&lt;40,"30-39",
IF(Table1[[#This Row],[Age]]&lt;50,"40-49",
IF(Table1[[#This Row],[Age]]&lt;60,"50-59","60+"))))</f>
        <v>30-39</v>
      </c>
      <c r="M818" t="s">
        <v>13</v>
      </c>
      <c r="N818" t="s">
        <v>19</v>
      </c>
    </row>
    <row r="819" spans="1:14" x14ac:dyDescent="0.35">
      <c r="A819">
        <v>918</v>
      </c>
      <c r="B819" t="s">
        <v>36</v>
      </c>
      <c r="C819" s="6">
        <v>44619</v>
      </c>
      <c r="D819">
        <f>YEAR(Table1[[#This Row],[Join Date]])</f>
        <v>2022</v>
      </c>
      <c r="E819" s="6" t="s">
        <v>48</v>
      </c>
      <c r="F819" t="str">
        <f>IFERROR(YEAR(Table1[[#This Row],[Exit Date]]), " ")</f>
        <v xml:space="preserve"> </v>
      </c>
      <c r="G819" t="str">
        <f>IFERROR((Table1[[#This Row],[Exit Year]]-Table1[[#This Row],[Join Year]])+1," ")</f>
        <v xml:space="preserve"> </v>
      </c>
      <c r="H819" t="s">
        <v>48</v>
      </c>
      <c r="I819" t="s">
        <v>11</v>
      </c>
      <c r="J819" t="s">
        <v>12</v>
      </c>
      <c r="K819">
        <v>51</v>
      </c>
      <c r="L819" t="str">
        <f>IF(Table1[[#This Row],[Age]]&lt;30,"20-29",
IF(Table1[[#This Row],[Age]]&lt;40,"30-39",
IF(Table1[[#This Row],[Age]]&lt;50,"40-49",
IF(Table1[[#This Row],[Age]]&lt;60,"50-59","60+"))))</f>
        <v>50-59</v>
      </c>
      <c r="M819" t="s">
        <v>20</v>
      </c>
      <c r="N819" t="s">
        <v>21</v>
      </c>
    </row>
    <row r="820" spans="1:14" x14ac:dyDescent="0.35">
      <c r="A820">
        <v>919</v>
      </c>
      <c r="B820" t="s">
        <v>10</v>
      </c>
      <c r="C820" s="6">
        <v>45485</v>
      </c>
      <c r="D820">
        <f>YEAR(Table1[[#This Row],[Join Date]])</f>
        <v>2024</v>
      </c>
      <c r="E820" s="6" t="s">
        <v>48</v>
      </c>
      <c r="F820" t="str">
        <f>IFERROR(YEAR(Table1[[#This Row],[Exit Date]]), " ")</f>
        <v xml:space="preserve"> </v>
      </c>
      <c r="G820" t="str">
        <f>IFERROR((Table1[[#This Row],[Exit Year]]-Table1[[#This Row],[Join Year]])+1," ")</f>
        <v xml:space="preserve"> </v>
      </c>
      <c r="H820" t="s">
        <v>48</v>
      </c>
      <c r="I820" t="s">
        <v>11</v>
      </c>
      <c r="J820" t="s">
        <v>12</v>
      </c>
      <c r="K820">
        <v>48</v>
      </c>
      <c r="L820" t="str">
        <f>IF(Table1[[#This Row],[Age]]&lt;30,"20-29",
IF(Table1[[#This Row],[Age]]&lt;40,"30-39",
IF(Table1[[#This Row],[Age]]&lt;50,"40-49",
IF(Table1[[#This Row],[Age]]&lt;60,"50-59","60+"))))</f>
        <v>40-49</v>
      </c>
      <c r="M820" t="s">
        <v>39</v>
      </c>
      <c r="N820" t="s">
        <v>37</v>
      </c>
    </row>
    <row r="821" spans="1:14" x14ac:dyDescent="0.35">
      <c r="A821">
        <v>920</v>
      </c>
      <c r="B821" t="s">
        <v>29</v>
      </c>
      <c r="C821" s="6">
        <v>43588</v>
      </c>
      <c r="D821">
        <f>YEAR(Table1[[#This Row],[Join Date]])</f>
        <v>2019</v>
      </c>
      <c r="E821" s="6">
        <v>44896</v>
      </c>
      <c r="F821">
        <f>IFERROR(YEAR(Table1[[#This Row],[Exit Date]]), " ")</f>
        <v>2022</v>
      </c>
      <c r="G821">
        <f>IFERROR((Table1[[#This Row],[Exit Year]]-Table1[[#This Row],[Join Year]])+1," ")</f>
        <v>4</v>
      </c>
      <c r="H821" t="s">
        <v>41</v>
      </c>
      <c r="I821" t="s">
        <v>23</v>
      </c>
      <c r="J821" t="s">
        <v>12</v>
      </c>
      <c r="K821">
        <v>41</v>
      </c>
      <c r="L821" t="str">
        <f>IF(Table1[[#This Row],[Age]]&lt;30,"20-29",
IF(Table1[[#This Row],[Age]]&lt;40,"30-39",
IF(Table1[[#This Row],[Age]]&lt;50,"40-49",
IF(Table1[[#This Row],[Age]]&lt;60,"50-59","60+"))))</f>
        <v>40-49</v>
      </c>
      <c r="M821" t="s">
        <v>13</v>
      </c>
      <c r="N821" t="s">
        <v>25</v>
      </c>
    </row>
    <row r="822" spans="1:14" x14ac:dyDescent="0.35">
      <c r="A822">
        <v>921</v>
      </c>
      <c r="B822" t="s">
        <v>36</v>
      </c>
      <c r="C822" s="6">
        <v>44250</v>
      </c>
      <c r="D822">
        <f>YEAR(Table1[[#This Row],[Join Date]])</f>
        <v>2021</v>
      </c>
      <c r="E822" s="6">
        <v>45392</v>
      </c>
      <c r="F822">
        <f>IFERROR(YEAR(Table1[[#This Row],[Exit Date]]), " ")</f>
        <v>2024</v>
      </c>
      <c r="G822">
        <f>IFERROR((Table1[[#This Row],[Exit Year]]-Table1[[#This Row],[Join Year]])+1," ")</f>
        <v>4</v>
      </c>
      <c r="H822" t="s">
        <v>46</v>
      </c>
      <c r="I822" t="s">
        <v>23</v>
      </c>
      <c r="J822" t="s">
        <v>18</v>
      </c>
      <c r="K822">
        <v>35</v>
      </c>
      <c r="L822" t="str">
        <f>IF(Table1[[#This Row],[Age]]&lt;30,"20-29",
IF(Table1[[#This Row],[Age]]&lt;40,"30-39",
IF(Table1[[#This Row],[Age]]&lt;50,"40-49",
IF(Table1[[#This Row],[Age]]&lt;60,"50-59","60+"))))</f>
        <v>30-39</v>
      </c>
      <c r="M822" t="s">
        <v>16</v>
      </c>
      <c r="N822" t="s">
        <v>35</v>
      </c>
    </row>
    <row r="823" spans="1:14" x14ac:dyDescent="0.35">
      <c r="A823">
        <v>922</v>
      </c>
      <c r="B823" t="s">
        <v>26</v>
      </c>
      <c r="C823" s="6">
        <v>45244</v>
      </c>
      <c r="D823">
        <f>YEAR(Table1[[#This Row],[Join Date]])</f>
        <v>2023</v>
      </c>
      <c r="E823" s="6">
        <v>45446</v>
      </c>
      <c r="F823">
        <f>IFERROR(YEAR(Table1[[#This Row],[Exit Date]]), " ")</f>
        <v>2024</v>
      </c>
      <c r="G823">
        <f>IFERROR((Table1[[#This Row],[Exit Year]]-Table1[[#This Row],[Join Year]])+1," ")</f>
        <v>2</v>
      </c>
      <c r="H823" t="s">
        <v>40</v>
      </c>
      <c r="I823" t="s">
        <v>23</v>
      </c>
      <c r="J823" t="s">
        <v>12</v>
      </c>
      <c r="K823">
        <v>24</v>
      </c>
      <c r="L823" t="str">
        <f>IF(Table1[[#This Row],[Age]]&lt;30,"20-29",
IF(Table1[[#This Row],[Age]]&lt;40,"30-39",
IF(Table1[[#This Row],[Age]]&lt;50,"40-49",
IF(Table1[[#This Row],[Age]]&lt;60,"50-59","60+"))))</f>
        <v>20-29</v>
      </c>
      <c r="M823" t="s">
        <v>16</v>
      </c>
      <c r="N823" t="s">
        <v>14</v>
      </c>
    </row>
    <row r="824" spans="1:14" x14ac:dyDescent="0.35">
      <c r="A824">
        <v>923</v>
      </c>
      <c r="B824" t="s">
        <v>15</v>
      </c>
      <c r="C824" s="6">
        <v>45256</v>
      </c>
      <c r="D824">
        <f>YEAR(Table1[[#This Row],[Join Date]])</f>
        <v>2023</v>
      </c>
      <c r="E824" s="6" t="s">
        <v>48</v>
      </c>
      <c r="F824" t="str">
        <f>IFERROR(YEAR(Table1[[#This Row],[Exit Date]]), " ")</f>
        <v xml:space="preserve"> </v>
      </c>
      <c r="G824" t="str">
        <f>IFERROR((Table1[[#This Row],[Exit Year]]-Table1[[#This Row],[Join Year]])+1," ")</f>
        <v xml:space="preserve"> </v>
      </c>
      <c r="H824" t="s">
        <v>48</v>
      </c>
      <c r="I824" t="s">
        <v>11</v>
      </c>
      <c r="J824" t="s">
        <v>18</v>
      </c>
      <c r="K824">
        <v>41</v>
      </c>
      <c r="L824" t="str">
        <f>IF(Table1[[#This Row],[Age]]&lt;30,"20-29",
IF(Table1[[#This Row],[Age]]&lt;40,"30-39",
IF(Table1[[#This Row],[Age]]&lt;50,"40-49",
IF(Table1[[#This Row],[Age]]&lt;60,"50-59","60+"))))</f>
        <v>40-49</v>
      </c>
      <c r="M824" t="s">
        <v>20</v>
      </c>
      <c r="N824" t="s">
        <v>17</v>
      </c>
    </row>
    <row r="825" spans="1:14" x14ac:dyDescent="0.35">
      <c r="A825">
        <v>924</v>
      </c>
      <c r="B825" t="s">
        <v>26</v>
      </c>
      <c r="C825" s="6">
        <v>45465</v>
      </c>
      <c r="D825">
        <f>YEAR(Table1[[#This Row],[Join Date]])</f>
        <v>2024</v>
      </c>
      <c r="E825" s="6" t="s">
        <v>48</v>
      </c>
      <c r="F825" t="str">
        <f>IFERROR(YEAR(Table1[[#This Row],[Exit Date]]), " ")</f>
        <v xml:space="preserve"> </v>
      </c>
      <c r="G825" t="str">
        <f>IFERROR((Table1[[#This Row],[Exit Year]]-Table1[[#This Row],[Join Year]])+1," ")</f>
        <v xml:space="preserve"> </v>
      </c>
      <c r="H825" t="s">
        <v>48</v>
      </c>
      <c r="I825" t="s">
        <v>11</v>
      </c>
      <c r="J825" t="s">
        <v>12</v>
      </c>
      <c r="K825">
        <v>40</v>
      </c>
      <c r="L825" t="str">
        <f>IF(Table1[[#This Row],[Age]]&lt;30,"20-29",
IF(Table1[[#This Row],[Age]]&lt;40,"30-39",
IF(Table1[[#This Row],[Age]]&lt;50,"40-49",
IF(Table1[[#This Row],[Age]]&lt;60,"50-59","60+"))))</f>
        <v>40-49</v>
      </c>
      <c r="M825" t="s">
        <v>24</v>
      </c>
      <c r="N825" t="s">
        <v>19</v>
      </c>
    </row>
    <row r="826" spans="1:14" x14ac:dyDescent="0.35">
      <c r="A826">
        <v>925</v>
      </c>
      <c r="B826" t="s">
        <v>10</v>
      </c>
      <c r="C826" s="6">
        <v>43597</v>
      </c>
      <c r="D826">
        <f>YEAR(Table1[[#This Row],[Join Date]])</f>
        <v>2019</v>
      </c>
      <c r="E826" s="6" t="s">
        <v>48</v>
      </c>
      <c r="F826" t="str">
        <f>IFERROR(YEAR(Table1[[#This Row],[Exit Date]]), " ")</f>
        <v xml:space="preserve"> </v>
      </c>
      <c r="G826" t="str">
        <f>IFERROR((Table1[[#This Row],[Exit Year]]-Table1[[#This Row],[Join Year]])+1," ")</f>
        <v xml:space="preserve"> </v>
      </c>
      <c r="H826" t="s">
        <v>48</v>
      </c>
      <c r="I826" t="s">
        <v>11</v>
      </c>
      <c r="J826" t="s">
        <v>12</v>
      </c>
      <c r="K826">
        <v>48</v>
      </c>
      <c r="L826" t="str">
        <f>IF(Table1[[#This Row],[Age]]&lt;30,"20-29",
IF(Table1[[#This Row],[Age]]&lt;40,"30-39",
IF(Table1[[#This Row],[Age]]&lt;50,"40-49",
IF(Table1[[#This Row],[Age]]&lt;60,"50-59","60+"))))</f>
        <v>40-49</v>
      </c>
      <c r="M826" t="s">
        <v>13</v>
      </c>
      <c r="N826" t="s">
        <v>21</v>
      </c>
    </row>
    <row r="827" spans="1:14" x14ac:dyDescent="0.35">
      <c r="A827">
        <v>926</v>
      </c>
      <c r="B827" t="s">
        <v>15</v>
      </c>
      <c r="C827" s="6">
        <v>44866</v>
      </c>
      <c r="D827">
        <f>YEAR(Table1[[#This Row],[Join Date]])</f>
        <v>2022</v>
      </c>
      <c r="E827" s="6" t="s">
        <v>48</v>
      </c>
      <c r="F827" t="str">
        <f>IFERROR(YEAR(Table1[[#This Row],[Exit Date]]), " ")</f>
        <v xml:space="preserve"> </v>
      </c>
      <c r="G827" t="str">
        <f>IFERROR((Table1[[#This Row],[Exit Year]]-Table1[[#This Row],[Join Year]])+1," ")</f>
        <v xml:space="preserve"> </v>
      </c>
      <c r="H827" t="s">
        <v>48</v>
      </c>
      <c r="I827" t="s">
        <v>11</v>
      </c>
      <c r="J827" t="s">
        <v>18</v>
      </c>
      <c r="K827">
        <v>52</v>
      </c>
      <c r="L827" t="str">
        <f>IF(Table1[[#This Row],[Age]]&lt;30,"20-29",
IF(Table1[[#This Row],[Age]]&lt;40,"30-39",
IF(Table1[[#This Row],[Age]]&lt;50,"40-49",
IF(Table1[[#This Row],[Age]]&lt;60,"50-59","60+"))))</f>
        <v>50-59</v>
      </c>
      <c r="M827" t="s">
        <v>42</v>
      </c>
      <c r="N827" t="s">
        <v>25</v>
      </c>
    </row>
    <row r="828" spans="1:14" x14ac:dyDescent="0.35">
      <c r="A828">
        <v>927</v>
      </c>
      <c r="B828" t="s">
        <v>34</v>
      </c>
      <c r="C828" s="6">
        <v>44006</v>
      </c>
      <c r="D828">
        <f>YEAR(Table1[[#This Row],[Join Date]])</f>
        <v>2020</v>
      </c>
      <c r="E828" s="6">
        <v>44463</v>
      </c>
      <c r="F828">
        <f>IFERROR(YEAR(Table1[[#This Row],[Exit Date]]), " ")</f>
        <v>2021</v>
      </c>
      <c r="G828">
        <f>IFERROR((Table1[[#This Row],[Exit Year]]-Table1[[#This Row],[Join Year]])+1," ")</f>
        <v>2</v>
      </c>
      <c r="H828" t="s">
        <v>43</v>
      </c>
      <c r="I828" t="s">
        <v>23</v>
      </c>
      <c r="J828" t="s">
        <v>18</v>
      </c>
      <c r="K828">
        <v>33</v>
      </c>
      <c r="L828" t="str">
        <f>IF(Table1[[#This Row],[Age]]&lt;30,"20-29",
IF(Table1[[#This Row],[Age]]&lt;40,"30-39",
IF(Table1[[#This Row],[Age]]&lt;50,"40-49",
IF(Table1[[#This Row],[Age]]&lt;60,"50-59","60+"))))</f>
        <v>30-39</v>
      </c>
      <c r="M828" t="s">
        <v>13</v>
      </c>
      <c r="N828" t="s">
        <v>28</v>
      </c>
    </row>
    <row r="829" spans="1:14" x14ac:dyDescent="0.35">
      <c r="A829">
        <v>928</v>
      </c>
      <c r="B829" t="s">
        <v>26</v>
      </c>
      <c r="C829" s="6">
        <v>45095</v>
      </c>
      <c r="D829">
        <f>YEAR(Table1[[#This Row],[Join Date]])</f>
        <v>2023</v>
      </c>
      <c r="E829" s="6" t="s">
        <v>48</v>
      </c>
      <c r="F829" t="str">
        <f>IFERROR(YEAR(Table1[[#This Row],[Exit Date]]), " ")</f>
        <v xml:space="preserve"> </v>
      </c>
      <c r="G829" t="str">
        <f>IFERROR((Table1[[#This Row],[Exit Year]]-Table1[[#This Row],[Join Year]])+1," ")</f>
        <v xml:space="preserve"> </v>
      </c>
      <c r="H829" t="s">
        <v>48</v>
      </c>
      <c r="I829" t="s">
        <v>11</v>
      </c>
      <c r="J829" t="s">
        <v>12</v>
      </c>
      <c r="K829">
        <v>51</v>
      </c>
      <c r="L829" t="str">
        <f>IF(Table1[[#This Row],[Age]]&lt;30,"20-29",
IF(Table1[[#This Row],[Age]]&lt;40,"30-39",
IF(Table1[[#This Row],[Age]]&lt;50,"40-49",
IF(Table1[[#This Row],[Age]]&lt;60,"50-59","60+"))))</f>
        <v>50-59</v>
      </c>
      <c r="M829" t="s">
        <v>13</v>
      </c>
      <c r="N829" t="s">
        <v>31</v>
      </c>
    </row>
    <row r="830" spans="1:14" x14ac:dyDescent="0.35">
      <c r="A830">
        <v>929</v>
      </c>
      <c r="B830" t="s">
        <v>10</v>
      </c>
      <c r="C830" s="6">
        <v>44360</v>
      </c>
      <c r="D830">
        <f>YEAR(Table1[[#This Row],[Join Date]])</f>
        <v>2021</v>
      </c>
      <c r="E830" s="6">
        <v>44755</v>
      </c>
      <c r="F830">
        <f>IFERROR(YEAR(Table1[[#This Row],[Exit Date]]), " ")</f>
        <v>2022</v>
      </c>
      <c r="G830">
        <f>IFERROR((Table1[[#This Row],[Exit Year]]-Table1[[#This Row],[Join Year]])+1," ")</f>
        <v>2</v>
      </c>
      <c r="H830" t="s">
        <v>38</v>
      </c>
      <c r="I830" t="s">
        <v>23</v>
      </c>
      <c r="J830" t="s">
        <v>18</v>
      </c>
      <c r="K830">
        <v>46</v>
      </c>
      <c r="L830" t="str">
        <f>IF(Table1[[#This Row],[Age]]&lt;30,"20-29",
IF(Table1[[#This Row],[Age]]&lt;40,"30-39",
IF(Table1[[#This Row],[Age]]&lt;50,"40-49",
IF(Table1[[#This Row],[Age]]&lt;60,"50-59","60+"))))</f>
        <v>40-49</v>
      </c>
      <c r="M830" t="s">
        <v>16</v>
      </c>
      <c r="N830" t="s">
        <v>32</v>
      </c>
    </row>
    <row r="831" spans="1:14" x14ac:dyDescent="0.35">
      <c r="A831">
        <v>930</v>
      </c>
      <c r="B831" t="s">
        <v>26</v>
      </c>
      <c r="C831" s="6">
        <v>43419</v>
      </c>
      <c r="D831">
        <f>YEAR(Table1[[#This Row],[Join Date]])</f>
        <v>2018</v>
      </c>
      <c r="E831" s="6">
        <v>44303</v>
      </c>
      <c r="F831">
        <f>IFERROR(YEAR(Table1[[#This Row],[Exit Date]]), " ")</f>
        <v>2021</v>
      </c>
      <c r="G831">
        <f>IFERROR((Table1[[#This Row],[Exit Year]]-Table1[[#This Row],[Join Year]])+1," ")</f>
        <v>4</v>
      </c>
      <c r="H831" t="s">
        <v>22</v>
      </c>
      <c r="I831" t="s">
        <v>23</v>
      </c>
      <c r="J831" t="s">
        <v>12</v>
      </c>
      <c r="K831">
        <v>53</v>
      </c>
      <c r="L831" t="str">
        <f>IF(Table1[[#This Row],[Age]]&lt;30,"20-29",
IF(Table1[[#This Row],[Age]]&lt;40,"30-39",
IF(Table1[[#This Row],[Age]]&lt;50,"40-49",
IF(Table1[[#This Row],[Age]]&lt;60,"50-59","60+"))))</f>
        <v>50-59</v>
      </c>
      <c r="M831" t="s">
        <v>13</v>
      </c>
      <c r="N831" t="s">
        <v>33</v>
      </c>
    </row>
    <row r="832" spans="1:14" x14ac:dyDescent="0.35">
      <c r="A832">
        <v>931</v>
      </c>
      <c r="B832" t="s">
        <v>36</v>
      </c>
      <c r="C832" s="6">
        <v>44249</v>
      </c>
      <c r="D832">
        <f>YEAR(Table1[[#This Row],[Join Date]])</f>
        <v>2021</v>
      </c>
      <c r="E832" s="6" t="s">
        <v>48</v>
      </c>
      <c r="F832" t="str">
        <f>IFERROR(YEAR(Table1[[#This Row],[Exit Date]]), " ")</f>
        <v xml:space="preserve"> </v>
      </c>
      <c r="G832" t="str">
        <f>IFERROR((Table1[[#This Row],[Exit Year]]-Table1[[#This Row],[Join Year]])+1," ")</f>
        <v xml:space="preserve"> </v>
      </c>
      <c r="H832" t="s">
        <v>48</v>
      </c>
      <c r="I832" t="s">
        <v>11</v>
      </c>
      <c r="J832" t="s">
        <v>12</v>
      </c>
      <c r="K832">
        <v>35</v>
      </c>
      <c r="L832" t="str">
        <f>IF(Table1[[#This Row],[Age]]&lt;30,"20-29",
IF(Table1[[#This Row],[Age]]&lt;40,"30-39",
IF(Table1[[#This Row],[Age]]&lt;50,"40-49",
IF(Table1[[#This Row],[Age]]&lt;60,"50-59","60+"))))</f>
        <v>30-39</v>
      </c>
      <c r="M832" t="s">
        <v>20</v>
      </c>
      <c r="N832" t="s">
        <v>35</v>
      </c>
    </row>
    <row r="833" spans="1:14" x14ac:dyDescent="0.35">
      <c r="A833">
        <v>932</v>
      </c>
      <c r="B833" t="s">
        <v>10</v>
      </c>
      <c r="C833" s="6">
        <v>45533</v>
      </c>
      <c r="D833">
        <f>YEAR(Table1[[#This Row],[Join Date]])</f>
        <v>2024</v>
      </c>
      <c r="E833" s="6" t="s">
        <v>48</v>
      </c>
      <c r="F833" t="str">
        <f>IFERROR(YEAR(Table1[[#This Row],[Exit Date]]), " ")</f>
        <v xml:space="preserve"> </v>
      </c>
      <c r="G833" t="str">
        <f>IFERROR((Table1[[#This Row],[Exit Year]]-Table1[[#This Row],[Join Year]])+1," ")</f>
        <v xml:space="preserve"> </v>
      </c>
      <c r="H833" t="s">
        <v>48</v>
      </c>
      <c r="I833" t="s">
        <v>11</v>
      </c>
      <c r="J833" t="s">
        <v>12</v>
      </c>
      <c r="K833">
        <v>32</v>
      </c>
      <c r="L833" t="str">
        <f>IF(Table1[[#This Row],[Age]]&lt;30,"20-29",
IF(Table1[[#This Row],[Age]]&lt;40,"30-39",
IF(Table1[[#This Row],[Age]]&lt;50,"40-49",
IF(Table1[[#This Row],[Age]]&lt;60,"50-59","60+"))))</f>
        <v>30-39</v>
      </c>
      <c r="M833" t="s">
        <v>44</v>
      </c>
      <c r="N833" t="s">
        <v>37</v>
      </c>
    </row>
    <row r="834" spans="1:14" x14ac:dyDescent="0.35">
      <c r="A834">
        <v>933</v>
      </c>
      <c r="B834" t="s">
        <v>36</v>
      </c>
      <c r="C834" s="6">
        <v>44377</v>
      </c>
      <c r="D834">
        <f>YEAR(Table1[[#This Row],[Join Date]])</f>
        <v>2021</v>
      </c>
      <c r="E834" s="6" t="s">
        <v>48</v>
      </c>
      <c r="F834" t="str">
        <f>IFERROR(YEAR(Table1[[#This Row],[Exit Date]]), " ")</f>
        <v xml:space="preserve"> </v>
      </c>
      <c r="G834" t="str">
        <f>IFERROR((Table1[[#This Row],[Exit Year]]-Table1[[#This Row],[Join Year]])+1," ")</f>
        <v xml:space="preserve"> </v>
      </c>
      <c r="H834" t="s">
        <v>48</v>
      </c>
      <c r="I834" t="s">
        <v>11</v>
      </c>
      <c r="J834" t="s">
        <v>18</v>
      </c>
      <c r="K834">
        <v>46</v>
      </c>
      <c r="L834" t="str">
        <f>IF(Table1[[#This Row],[Age]]&lt;30,"20-29",
IF(Table1[[#This Row],[Age]]&lt;40,"30-39",
IF(Table1[[#This Row],[Age]]&lt;50,"40-49",
IF(Table1[[#This Row],[Age]]&lt;60,"50-59","60+"))))</f>
        <v>40-49</v>
      </c>
      <c r="M834" t="s">
        <v>13</v>
      </c>
      <c r="N834" t="s">
        <v>19</v>
      </c>
    </row>
    <row r="835" spans="1:14" x14ac:dyDescent="0.35">
      <c r="A835">
        <v>934</v>
      </c>
      <c r="B835" t="s">
        <v>10</v>
      </c>
      <c r="C835" s="6">
        <v>44088</v>
      </c>
      <c r="D835">
        <f>YEAR(Table1[[#This Row],[Join Date]])</f>
        <v>2020</v>
      </c>
      <c r="E835" s="6" t="s">
        <v>48</v>
      </c>
      <c r="F835" t="str">
        <f>IFERROR(YEAR(Table1[[#This Row],[Exit Date]]), " ")</f>
        <v xml:space="preserve"> </v>
      </c>
      <c r="G835" t="str">
        <f>IFERROR((Table1[[#This Row],[Exit Year]]-Table1[[#This Row],[Join Year]])+1," ")</f>
        <v xml:space="preserve"> </v>
      </c>
      <c r="H835" t="s">
        <v>48</v>
      </c>
      <c r="I835" t="s">
        <v>11</v>
      </c>
      <c r="J835" t="s">
        <v>12</v>
      </c>
      <c r="K835">
        <v>50</v>
      </c>
      <c r="L835" t="str">
        <f>IF(Table1[[#This Row],[Age]]&lt;30,"20-29",
IF(Table1[[#This Row],[Age]]&lt;40,"30-39",
IF(Table1[[#This Row],[Age]]&lt;50,"40-49",
IF(Table1[[#This Row],[Age]]&lt;60,"50-59","60+"))))</f>
        <v>50-59</v>
      </c>
      <c r="M835" t="s">
        <v>16</v>
      </c>
      <c r="N835" t="s">
        <v>25</v>
      </c>
    </row>
    <row r="836" spans="1:14" x14ac:dyDescent="0.35">
      <c r="A836">
        <v>935</v>
      </c>
      <c r="B836" t="s">
        <v>26</v>
      </c>
      <c r="C836" s="6">
        <v>43373</v>
      </c>
      <c r="D836">
        <f>YEAR(Table1[[#This Row],[Join Date]])</f>
        <v>2018</v>
      </c>
      <c r="E836" s="6">
        <v>44825</v>
      </c>
      <c r="F836">
        <f>IFERROR(YEAR(Table1[[#This Row],[Exit Date]]), " ")</f>
        <v>2022</v>
      </c>
      <c r="G836">
        <f>IFERROR((Table1[[#This Row],[Exit Year]]-Table1[[#This Row],[Join Year]])+1," ")</f>
        <v>5</v>
      </c>
      <c r="H836" t="s">
        <v>27</v>
      </c>
      <c r="I836" t="s">
        <v>23</v>
      </c>
      <c r="J836" t="s">
        <v>18</v>
      </c>
      <c r="K836">
        <v>64</v>
      </c>
      <c r="L836" t="str">
        <f>IF(Table1[[#This Row],[Age]]&lt;30,"20-29",
IF(Table1[[#This Row],[Age]]&lt;40,"30-39",
IF(Table1[[#This Row],[Age]]&lt;50,"40-49",
IF(Table1[[#This Row],[Age]]&lt;60,"50-59","60+"))))</f>
        <v>60+</v>
      </c>
      <c r="M836" t="s">
        <v>16</v>
      </c>
      <c r="N836" t="s">
        <v>35</v>
      </c>
    </row>
    <row r="837" spans="1:14" x14ac:dyDescent="0.35">
      <c r="A837">
        <v>936</v>
      </c>
      <c r="B837" t="s">
        <v>26</v>
      </c>
      <c r="C837" s="6">
        <v>43314</v>
      </c>
      <c r="D837">
        <f>YEAR(Table1[[#This Row],[Join Date]])</f>
        <v>2018</v>
      </c>
      <c r="E837" s="6" t="s">
        <v>48</v>
      </c>
      <c r="F837" t="str">
        <f>IFERROR(YEAR(Table1[[#This Row],[Exit Date]]), " ")</f>
        <v xml:space="preserve"> </v>
      </c>
      <c r="G837" t="str">
        <f>IFERROR((Table1[[#This Row],[Exit Year]]-Table1[[#This Row],[Join Year]])+1," ")</f>
        <v xml:space="preserve"> </v>
      </c>
      <c r="H837" t="s">
        <v>48</v>
      </c>
      <c r="I837" t="s">
        <v>11</v>
      </c>
      <c r="J837" t="s">
        <v>12</v>
      </c>
      <c r="K837">
        <v>29</v>
      </c>
      <c r="L837" t="str">
        <f>IF(Table1[[#This Row],[Age]]&lt;30,"20-29",
IF(Table1[[#This Row],[Age]]&lt;40,"30-39",
IF(Table1[[#This Row],[Age]]&lt;50,"40-49",
IF(Table1[[#This Row],[Age]]&lt;60,"50-59","60+"))))</f>
        <v>20-29</v>
      </c>
      <c r="M837" t="s">
        <v>20</v>
      </c>
      <c r="N837" t="s">
        <v>17</v>
      </c>
    </row>
    <row r="838" spans="1:14" x14ac:dyDescent="0.35">
      <c r="A838">
        <v>937</v>
      </c>
      <c r="B838" t="s">
        <v>26</v>
      </c>
      <c r="C838" s="6">
        <v>44418</v>
      </c>
      <c r="D838">
        <f>YEAR(Table1[[#This Row],[Join Date]])</f>
        <v>2021</v>
      </c>
      <c r="E838" s="6">
        <v>45628</v>
      </c>
      <c r="F838">
        <f>IFERROR(YEAR(Table1[[#This Row],[Exit Date]]), " ")</f>
        <v>2024</v>
      </c>
      <c r="G838">
        <f>IFERROR((Table1[[#This Row],[Exit Year]]-Table1[[#This Row],[Join Year]])+1," ")</f>
        <v>4</v>
      </c>
      <c r="H838" t="s">
        <v>22</v>
      </c>
      <c r="I838" t="s">
        <v>23</v>
      </c>
      <c r="J838" t="s">
        <v>18</v>
      </c>
      <c r="K838">
        <v>27</v>
      </c>
      <c r="L838" t="str">
        <f>IF(Table1[[#This Row],[Age]]&lt;30,"20-29",
IF(Table1[[#This Row],[Age]]&lt;40,"30-39",
IF(Table1[[#This Row],[Age]]&lt;50,"40-49",
IF(Table1[[#This Row],[Age]]&lt;60,"50-59","60+"))))</f>
        <v>20-29</v>
      </c>
      <c r="M838" t="s">
        <v>24</v>
      </c>
      <c r="N838" t="s">
        <v>19</v>
      </c>
    </row>
    <row r="839" spans="1:14" x14ac:dyDescent="0.35">
      <c r="A839">
        <v>938</v>
      </c>
      <c r="B839" t="s">
        <v>34</v>
      </c>
      <c r="C839" s="6">
        <v>44324</v>
      </c>
      <c r="D839">
        <f>YEAR(Table1[[#This Row],[Join Date]])</f>
        <v>2021</v>
      </c>
      <c r="E839" s="6">
        <v>45076</v>
      </c>
      <c r="F839">
        <f>IFERROR(YEAR(Table1[[#This Row],[Exit Date]]), " ")</f>
        <v>2023</v>
      </c>
      <c r="G839">
        <f>IFERROR((Table1[[#This Row],[Exit Year]]-Table1[[#This Row],[Join Year]])+1," ")</f>
        <v>3</v>
      </c>
      <c r="H839" t="s">
        <v>40</v>
      </c>
      <c r="I839" t="s">
        <v>23</v>
      </c>
      <c r="J839" t="s">
        <v>18</v>
      </c>
      <c r="K839">
        <v>31</v>
      </c>
      <c r="L839" t="str">
        <f>IF(Table1[[#This Row],[Age]]&lt;30,"20-29",
IF(Table1[[#This Row],[Age]]&lt;40,"30-39",
IF(Table1[[#This Row],[Age]]&lt;50,"40-49",
IF(Table1[[#This Row],[Age]]&lt;60,"50-59","60+"))))</f>
        <v>30-39</v>
      </c>
      <c r="M839" t="s">
        <v>13</v>
      </c>
      <c r="N839" t="s">
        <v>21</v>
      </c>
    </row>
    <row r="840" spans="1:14" x14ac:dyDescent="0.35">
      <c r="A840">
        <v>939</v>
      </c>
      <c r="B840" t="s">
        <v>10</v>
      </c>
      <c r="C840" s="6">
        <v>43513</v>
      </c>
      <c r="D840">
        <f>YEAR(Table1[[#This Row],[Join Date]])</f>
        <v>2019</v>
      </c>
      <c r="E840" s="6">
        <v>44923</v>
      </c>
      <c r="F840">
        <f>IFERROR(YEAR(Table1[[#This Row],[Exit Date]]), " ")</f>
        <v>2022</v>
      </c>
      <c r="G840">
        <f>IFERROR((Table1[[#This Row],[Exit Year]]-Table1[[#This Row],[Join Year]])+1," ")</f>
        <v>4</v>
      </c>
      <c r="H840" t="s">
        <v>38</v>
      </c>
      <c r="I840" t="s">
        <v>23</v>
      </c>
      <c r="J840" t="s">
        <v>12</v>
      </c>
      <c r="K840">
        <v>24</v>
      </c>
      <c r="L840" t="str">
        <f>IF(Table1[[#This Row],[Age]]&lt;30,"20-29",
IF(Table1[[#This Row],[Age]]&lt;40,"30-39",
IF(Table1[[#This Row],[Age]]&lt;50,"40-49",
IF(Table1[[#This Row],[Age]]&lt;60,"50-59","60+"))))</f>
        <v>20-29</v>
      </c>
      <c r="M840" t="s">
        <v>44</v>
      </c>
      <c r="N840" t="s">
        <v>25</v>
      </c>
    </row>
    <row r="841" spans="1:14" x14ac:dyDescent="0.35">
      <c r="A841">
        <v>940</v>
      </c>
      <c r="B841" t="s">
        <v>36</v>
      </c>
      <c r="C841" s="6">
        <v>44180</v>
      </c>
      <c r="D841">
        <f>YEAR(Table1[[#This Row],[Join Date]])</f>
        <v>2020</v>
      </c>
      <c r="E841" s="6" t="s">
        <v>48</v>
      </c>
      <c r="F841" t="str">
        <f>IFERROR(YEAR(Table1[[#This Row],[Exit Date]]), " ")</f>
        <v xml:space="preserve"> </v>
      </c>
      <c r="G841" t="str">
        <f>IFERROR((Table1[[#This Row],[Exit Year]]-Table1[[#This Row],[Join Year]])+1," ")</f>
        <v xml:space="preserve"> </v>
      </c>
      <c r="H841" t="s">
        <v>48</v>
      </c>
      <c r="I841" t="s">
        <v>11</v>
      </c>
      <c r="J841" t="s">
        <v>18</v>
      </c>
      <c r="K841">
        <v>37</v>
      </c>
      <c r="L841" t="str">
        <f>IF(Table1[[#This Row],[Age]]&lt;30,"20-29",
IF(Table1[[#This Row],[Age]]&lt;40,"30-39",
IF(Table1[[#This Row],[Age]]&lt;50,"40-49",
IF(Table1[[#This Row],[Age]]&lt;60,"50-59","60+"))))</f>
        <v>30-39</v>
      </c>
      <c r="M841" t="s">
        <v>13</v>
      </c>
      <c r="N841" t="s">
        <v>35</v>
      </c>
    </row>
    <row r="842" spans="1:14" x14ac:dyDescent="0.35">
      <c r="A842">
        <v>941</v>
      </c>
      <c r="B842" t="s">
        <v>34</v>
      </c>
      <c r="C842" s="6">
        <v>44099</v>
      </c>
      <c r="D842">
        <f>YEAR(Table1[[#This Row],[Join Date]])</f>
        <v>2020</v>
      </c>
      <c r="E842" s="6" t="s">
        <v>48</v>
      </c>
      <c r="F842" t="str">
        <f>IFERROR(YEAR(Table1[[#This Row],[Exit Date]]), " ")</f>
        <v xml:space="preserve"> </v>
      </c>
      <c r="G842" t="str">
        <f>IFERROR((Table1[[#This Row],[Exit Year]]-Table1[[#This Row],[Join Year]])+1," ")</f>
        <v xml:space="preserve"> </v>
      </c>
      <c r="H842" t="s">
        <v>48</v>
      </c>
      <c r="I842" t="s">
        <v>11</v>
      </c>
      <c r="J842" t="s">
        <v>18</v>
      </c>
      <c r="K842">
        <v>23</v>
      </c>
      <c r="L842" t="str">
        <f>IF(Table1[[#This Row],[Age]]&lt;30,"20-29",
IF(Table1[[#This Row],[Age]]&lt;40,"30-39",
IF(Table1[[#This Row],[Age]]&lt;50,"40-49",
IF(Table1[[#This Row],[Age]]&lt;60,"50-59","60+"))))</f>
        <v>20-29</v>
      </c>
      <c r="M842" t="s">
        <v>13</v>
      </c>
      <c r="N842" t="s">
        <v>14</v>
      </c>
    </row>
    <row r="843" spans="1:14" x14ac:dyDescent="0.35">
      <c r="A843">
        <v>942</v>
      </c>
      <c r="B843" t="s">
        <v>34</v>
      </c>
      <c r="C843" s="6">
        <v>45632</v>
      </c>
      <c r="D843">
        <f>YEAR(Table1[[#This Row],[Join Date]])</f>
        <v>2024</v>
      </c>
      <c r="E843" s="6" t="s">
        <v>48</v>
      </c>
      <c r="F843" t="str">
        <f>IFERROR(YEAR(Table1[[#This Row],[Exit Date]]), " ")</f>
        <v xml:space="preserve"> </v>
      </c>
      <c r="G843" t="str">
        <f>IFERROR((Table1[[#This Row],[Exit Year]]-Table1[[#This Row],[Join Year]])+1," ")</f>
        <v xml:space="preserve"> </v>
      </c>
      <c r="H843" t="s">
        <v>48</v>
      </c>
      <c r="I843" t="s">
        <v>11</v>
      </c>
      <c r="J843" t="s">
        <v>12</v>
      </c>
      <c r="K843">
        <v>31</v>
      </c>
      <c r="L843" t="str">
        <f>IF(Table1[[#This Row],[Age]]&lt;30,"20-29",
IF(Table1[[#This Row],[Age]]&lt;40,"30-39",
IF(Table1[[#This Row],[Age]]&lt;50,"40-49",
IF(Table1[[#This Row],[Age]]&lt;60,"50-59","60+"))))</f>
        <v>30-39</v>
      </c>
      <c r="M843" t="s">
        <v>16</v>
      </c>
      <c r="N843" t="s">
        <v>19</v>
      </c>
    </row>
    <row r="844" spans="1:14" x14ac:dyDescent="0.35">
      <c r="A844">
        <v>943</v>
      </c>
      <c r="B844" t="s">
        <v>36</v>
      </c>
      <c r="C844" s="6">
        <v>45294</v>
      </c>
      <c r="D844">
        <f>YEAR(Table1[[#This Row],[Join Date]])</f>
        <v>2024</v>
      </c>
      <c r="E844" s="6" t="s">
        <v>48</v>
      </c>
      <c r="F844" t="str">
        <f>IFERROR(YEAR(Table1[[#This Row],[Exit Date]]), " ")</f>
        <v xml:space="preserve"> </v>
      </c>
      <c r="G844" t="str">
        <f>IFERROR((Table1[[#This Row],[Exit Year]]-Table1[[#This Row],[Join Year]])+1," ")</f>
        <v xml:space="preserve"> </v>
      </c>
      <c r="H844" t="s">
        <v>48</v>
      </c>
      <c r="I844" t="s">
        <v>11</v>
      </c>
      <c r="J844" t="s">
        <v>12</v>
      </c>
      <c r="K844">
        <v>52</v>
      </c>
      <c r="L844" t="str">
        <f>IF(Table1[[#This Row],[Age]]&lt;30,"20-29",
IF(Table1[[#This Row],[Age]]&lt;40,"30-39",
IF(Table1[[#This Row],[Age]]&lt;50,"40-49",
IF(Table1[[#This Row],[Age]]&lt;60,"50-59","60+"))))</f>
        <v>50-59</v>
      </c>
      <c r="M844" t="s">
        <v>13</v>
      </c>
      <c r="N844" t="s">
        <v>21</v>
      </c>
    </row>
    <row r="845" spans="1:14" x14ac:dyDescent="0.35">
      <c r="A845">
        <v>944</v>
      </c>
      <c r="B845" t="s">
        <v>26</v>
      </c>
      <c r="C845" s="6">
        <v>44590</v>
      </c>
      <c r="D845">
        <f>YEAR(Table1[[#This Row],[Join Date]])</f>
        <v>2022</v>
      </c>
      <c r="E845" s="6" t="s">
        <v>48</v>
      </c>
      <c r="F845" t="str">
        <f>IFERROR(YEAR(Table1[[#This Row],[Exit Date]]), " ")</f>
        <v xml:space="preserve"> </v>
      </c>
      <c r="G845" t="str">
        <f>IFERROR((Table1[[#This Row],[Exit Year]]-Table1[[#This Row],[Join Year]])+1," ")</f>
        <v xml:space="preserve"> </v>
      </c>
      <c r="H845" t="s">
        <v>48</v>
      </c>
      <c r="I845" t="s">
        <v>11</v>
      </c>
      <c r="J845" t="s">
        <v>18</v>
      </c>
      <c r="K845">
        <v>25</v>
      </c>
      <c r="L845" t="str">
        <f>IF(Table1[[#This Row],[Age]]&lt;30,"20-29",
IF(Table1[[#This Row],[Age]]&lt;40,"30-39",
IF(Table1[[#This Row],[Age]]&lt;50,"40-49",
IF(Table1[[#This Row],[Age]]&lt;60,"50-59","60+"))))</f>
        <v>20-29</v>
      </c>
      <c r="M845" t="s">
        <v>20</v>
      </c>
      <c r="N845" t="s">
        <v>37</v>
      </c>
    </row>
    <row r="846" spans="1:14" x14ac:dyDescent="0.35">
      <c r="A846">
        <v>945</v>
      </c>
      <c r="B846" t="s">
        <v>15</v>
      </c>
      <c r="C846" s="6">
        <v>45215</v>
      </c>
      <c r="D846">
        <f>YEAR(Table1[[#This Row],[Join Date]])</f>
        <v>2023</v>
      </c>
      <c r="E846" s="6" t="s">
        <v>48</v>
      </c>
      <c r="F846" t="str">
        <f>IFERROR(YEAR(Table1[[#This Row],[Exit Date]]), " ")</f>
        <v xml:space="preserve"> </v>
      </c>
      <c r="G846" t="str">
        <f>IFERROR((Table1[[#This Row],[Exit Year]]-Table1[[#This Row],[Join Year]])+1," ")</f>
        <v xml:space="preserve"> </v>
      </c>
      <c r="H846" t="s">
        <v>48</v>
      </c>
      <c r="I846" t="s">
        <v>11</v>
      </c>
      <c r="J846" t="s">
        <v>18</v>
      </c>
      <c r="K846">
        <v>46</v>
      </c>
      <c r="L846" t="str">
        <f>IF(Table1[[#This Row],[Age]]&lt;30,"20-29",
IF(Table1[[#This Row],[Age]]&lt;40,"30-39",
IF(Table1[[#This Row],[Age]]&lt;50,"40-49",
IF(Table1[[#This Row],[Age]]&lt;60,"50-59","60+"))))</f>
        <v>40-49</v>
      </c>
      <c r="M846" t="s">
        <v>39</v>
      </c>
      <c r="N846" t="s">
        <v>25</v>
      </c>
    </row>
    <row r="847" spans="1:14" x14ac:dyDescent="0.35">
      <c r="A847">
        <v>946</v>
      </c>
      <c r="B847" t="s">
        <v>15</v>
      </c>
      <c r="C847" s="6">
        <v>43624</v>
      </c>
      <c r="D847">
        <f>YEAR(Table1[[#This Row],[Join Date]])</f>
        <v>2019</v>
      </c>
      <c r="E847" s="6">
        <v>44228</v>
      </c>
      <c r="F847">
        <f>IFERROR(YEAR(Table1[[#This Row],[Exit Date]]), " ")</f>
        <v>2021</v>
      </c>
      <c r="G847">
        <f>IFERROR((Table1[[#This Row],[Exit Year]]-Table1[[#This Row],[Join Year]])+1," ")</f>
        <v>3</v>
      </c>
      <c r="H847" t="s">
        <v>41</v>
      </c>
      <c r="I847" t="s">
        <v>23</v>
      </c>
      <c r="J847" t="s">
        <v>12</v>
      </c>
      <c r="K847">
        <v>24</v>
      </c>
      <c r="L847" t="str">
        <f>IF(Table1[[#This Row],[Age]]&lt;30,"20-29",
IF(Table1[[#This Row],[Age]]&lt;40,"30-39",
IF(Table1[[#This Row],[Age]]&lt;50,"40-49",
IF(Table1[[#This Row],[Age]]&lt;60,"50-59","60+"))))</f>
        <v>20-29</v>
      </c>
      <c r="M847" t="s">
        <v>13</v>
      </c>
      <c r="N847" t="s">
        <v>35</v>
      </c>
    </row>
    <row r="848" spans="1:14" x14ac:dyDescent="0.35">
      <c r="A848">
        <v>947</v>
      </c>
      <c r="B848" t="s">
        <v>15</v>
      </c>
      <c r="C848" s="6">
        <v>44514</v>
      </c>
      <c r="D848">
        <f>YEAR(Table1[[#This Row],[Join Date]])</f>
        <v>2021</v>
      </c>
      <c r="E848" s="6">
        <v>45529</v>
      </c>
      <c r="F848">
        <f>IFERROR(YEAR(Table1[[#This Row],[Exit Date]]), " ")</f>
        <v>2024</v>
      </c>
      <c r="G848">
        <f>IFERROR((Table1[[#This Row],[Exit Year]]-Table1[[#This Row],[Join Year]])+1," ")</f>
        <v>4</v>
      </c>
      <c r="H848" t="s">
        <v>46</v>
      </c>
      <c r="I848" t="s">
        <v>23</v>
      </c>
      <c r="J848" t="s">
        <v>18</v>
      </c>
      <c r="K848">
        <v>38</v>
      </c>
      <c r="L848" t="str">
        <f>IF(Table1[[#This Row],[Age]]&lt;30,"20-29",
IF(Table1[[#This Row],[Age]]&lt;40,"30-39",
IF(Table1[[#This Row],[Age]]&lt;50,"40-49",
IF(Table1[[#This Row],[Age]]&lt;60,"50-59","60+"))))</f>
        <v>30-39</v>
      </c>
      <c r="M848" t="s">
        <v>16</v>
      </c>
      <c r="N848" t="s">
        <v>14</v>
      </c>
    </row>
    <row r="849" spans="1:14" x14ac:dyDescent="0.35">
      <c r="A849">
        <v>948</v>
      </c>
      <c r="B849" t="s">
        <v>29</v>
      </c>
      <c r="C849" s="6">
        <v>43700</v>
      </c>
      <c r="D849">
        <f>YEAR(Table1[[#This Row],[Join Date]])</f>
        <v>2019</v>
      </c>
      <c r="E849" s="6" t="s">
        <v>48</v>
      </c>
      <c r="F849" t="str">
        <f>IFERROR(YEAR(Table1[[#This Row],[Exit Date]]), " ")</f>
        <v xml:space="preserve"> </v>
      </c>
      <c r="G849" t="str">
        <f>IFERROR((Table1[[#This Row],[Exit Year]]-Table1[[#This Row],[Join Year]])+1," ")</f>
        <v xml:space="preserve"> </v>
      </c>
      <c r="H849" t="s">
        <v>48</v>
      </c>
      <c r="I849" t="s">
        <v>11</v>
      </c>
      <c r="J849" t="s">
        <v>12</v>
      </c>
      <c r="K849">
        <v>49</v>
      </c>
      <c r="L849" t="str">
        <f>IF(Table1[[#This Row],[Age]]&lt;30,"20-29",
IF(Table1[[#This Row],[Age]]&lt;40,"30-39",
IF(Table1[[#This Row],[Age]]&lt;50,"40-49",
IF(Table1[[#This Row],[Age]]&lt;60,"50-59","60+"))))</f>
        <v>40-49</v>
      </c>
      <c r="M849" t="s">
        <v>16</v>
      </c>
      <c r="N849" t="s">
        <v>17</v>
      </c>
    </row>
    <row r="850" spans="1:14" x14ac:dyDescent="0.35">
      <c r="A850">
        <v>949</v>
      </c>
      <c r="B850" t="s">
        <v>34</v>
      </c>
      <c r="C850" s="6">
        <v>45540</v>
      </c>
      <c r="D850">
        <f>YEAR(Table1[[#This Row],[Join Date]])</f>
        <v>2024</v>
      </c>
      <c r="E850" s="6" t="s">
        <v>48</v>
      </c>
      <c r="F850" t="str">
        <f>IFERROR(YEAR(Table1[[#This Row],[Exit Date]]), " ")</f>
        <v xml:space="preserve"> </v>
      </c>
      <c r="G850" t="str">
        <f>IFERROR((Table1[[#This Row],[Exit Year]]-Table1[[#This Row],[Join Year]])+1," ")</f>
        <v xml:space="preserve"> </v>
      </c>
      <c r="H850" t="s">
        <v>48</v>
      </c>
      <c r="I850" t="s">
        <v>11</v>
      </c>
      <c r="J850" t="s">
        <v>12</v>
      </c>
      <c r="K850">
        <v>31</v>
      </c>
      <c r="L850" t="str">
        <f>IF(Table1[[#This Row],[Age]]&lt;30,"20-29",
IF(Table1[[#This Row],[Age]]&lt;40,"30-39",
IF(Table1[[#This Row],[Age]]&lt;50,"40-49",
IF(Table1[[#This Row],[Age]]&lt;60,"50-59","60+"))))</f>
        <v>30-39</v>
      </c>
      <c r="M850" t="s">
        <v>20</v>
      </c>
      <c r="N850" t="s">
        <v>19</v>
      </c>
    </row>
    <row r="851" spans="1:14" x14ac:dyDescent="0.35">
      <c r="A851">
        <v>950</v>
      </c>
      <c r="B851" t="s">
        <v>10</v>
      </c>
      <c r="C851" s="6">
        <v>43297</v>
      </c>
      <c r="D851">
        <f>YEAR(Table1[[#This Row],[Join Date]])</f>
        <v>2018</v>
      </c>
      <c r="E851" s="6">
        <v>44682</v>
      </c>
      <c r="F851">
        <f>IFERROR(YEAR(Table1[[#This Row],[Exit Date]]), " ")</f>
        <v>2022</v>
      </c>
      <c r="G851">
        <f>IFERROR((Table1[[#This Row],[Exit Year]]-Table1[[#This Row],[Join Year]])+1," ")</f>
        <v>5</v>
      </c>
      <c r="H851" t="s">
        <v>40</v>
      </c>
      <c r="I851" t="s">
        <v>23</v>
      </c>
      <c r="J851" t="s">
        <v>12</v>
      </c>
      <c r="K851">
        <v>51</v>
      </c>
      <c r="L851" t="str">
        <f>IF(Table1[[#This Row],[Age]]&lt;30,"20-29",
IF(Table1[[#This Row],[Age]]&lt;40,"30-39",
IF(Table1[[#This Row],[Age]]&lt;50,"40-49",
IF(Table1[[#This Row],[Age]]&lt;60,"50-59","60+"))))</f>
        <v>50-59</v>
      </c>
      <c r="M851" t="s">
        <v>24</v>
      </c>
      <c r="N851" t="s">
        <v>21</v>
      </c>
    </row>
    <row r="852" spans="1:14" x14ac:dyDescent="0.35">
      <c r="A852">
        <v>951</v>
      </c>
      <c r="B852" t="s">
        <v>10</v>
      </c>
      <c r="C852" s="6">
        <v>43407</v>
      </c>
      <c r="D852">
        <f>YEAR(Table1[[#This Row],[Join Date]])</f>
        <v>2018</v>
      </c>
      <c r="E852" s="6" t="s">
        <v>48</v>
      </c>
      <c r="F852" t="str">
        <f>IFERROR(YEAR(Table1[[#This Row],[Exit Date]]), " ")</f>
        <v xml:space="preserve"> </v>
      </c>
      <c r="G852" t="str">
        <f>IFERROR((Table1[[#This Row],[Exit Year]]-Table1[[#This Row],[Join Year]])+1," ")</f>
        <v xml:space="preserve"> </v>
      </c>
      <c r="H852" t="s">
        <v>48</v>
      </c>
      <c r="I852" t="s">
        <v>11</v>
      </c>
      <c r="J852" t="s">
        <v>18</v>
      </c>
      <c r="K852">
        <v>27</v>
      </c>
      <c r="L852" t="str">
        <f>IF(Table1[[#This Row],[Age]]&lt;30,"20-29",
IF(Table1[[#This Row],[Age]]&lt;40,"30-39",
IF(Table1[[#This Row],[Age]]&lt;50,"40-49",
IF(Table1[[#This Row],[Age]]&lt;60,"50-59","60+"))))</f>
        <v>20-29</v>
      </c>
      <c r="M852" t="s">
        <v>13</v>
      </c>
      <c r="N852" t="s">
        <v>25</v>
      </c>
    </row>
    <row r="853" spans="1:14" x14ac:dyDescent="0.35">
      <c r="A853">
        <v>952</v>
      </c>
      <c r="B853" t="s">
        <v>15</v>
      </c>
      <c r="C853" s="6">
        <v>44121</v>
      </c>
      <c r="D853">
        <f>YEAR(Table1[[#This Row],[Join Date]])</f>
        <v>2020</v>
      </c>
      <c r="E853" s="6" t="s">
        <v>48</v>
      </c>
      <c r="F853" t="str">
        <f>IFERROR(YEAR(Table1[[#This Row],[Exit Date]]), " ")</f>
        <v xml:space="preserve"> </v>
      </c>
      <c r="G853" t="str">
        <f>IFERROR((Table1[[#This Row],[Exit Year]]-Table1[[#This Row],[Join Year]])+1," ")</f>
        <v xml:space="preserve"> </v>
      </c>
      <c r="H853" t="s">
        <v>48</v>
      </c>
      <c r="I853" t="s">
        <v>11</v>
      </c>
      <c r="J853" t="s">
        <v>12</v>
      </c>
      <c r="K853">
        <v>22</v>
      </c>
      <c r="L853" t="str">
        <f>IF(Table1[[#This Row],[Age]]&lt;30,"20-29",
IF(Table1[[#This Row],[Age]]&lt;40,"30-39",
IF(Table1[[#This Row],[Age]]&lt;50,"40-49",
IF(Table1[[#This Row],[Age]]&lt;60,"50-59","60+"))))</f>
        <v>20-29</v>
      </c>
      <c r="M853" t="s">
        <v>30</v>
      </c>
      <c r="N853" t="s">
        <v>28</v>
      </c>
    </row>
    <row r="854" spans="1:14" x14ac:dyDescent="0.35">
      <c r="A854">
        <v>953</v>
      </c>
      <c r="B854" t="s">
        <v>15</v>
      </c>
      <c r="C854" s="6">
        <v>44423</v>
      </c>
      <c r="D854">
        <f>YEAR(Table1[[#This Row],[Join Date]])</f>
        <v>2021</v>
      </c>
      <c r="E854" s="6" t="s">
        <v>48</v>
      </c>
      <c r="F854" t="str">
        <f>IFERROR(YEAR(Table1[[#This Row],[Exit Date]]), " ")</f>
        <v xml:space="preserve"> </v>
      </c>
      <c r="G854" t="str">
        <f>IFERROR((Table1[[#This Row],[Exit Year]]-Table1[[#This Row],[Join Year]])+1," ")</f>
        <v xml:space="preserve"> </v>
      </c>
      <c r="H854" t="s">
        <v>48</v>
      </c>
      <c r="I854" t="s">
        <v>11</v>
      </c>
      <c r="J854" t="s">
        <v>18</v>
      </c>
      <c r="K854">
        <v>50</v>
      </c>
      <c r="L854" t="str">
        <f>IF(Table1[[#This Row],[Age]]&lt;30,"20-29",
IF(Table1[[#This Row],[Age]]&lt;40,"30-39",
IF(Table1[[#This Row],[Age]]&lt;50,"40-49",
IF(Table1[[#This Row],[Age]]&lt;60,"50-59","60+"))))</f>
        <v>50-59</v>
      </c>
      <c r="M854" t="s">
        <v>13</v>
      </c>
      <c r="N854" t="s">
        <v>31</v>
      </c>
    </row>
    <row r="855" spans="1:14" x14ac:dyDescent="0.35">
      <c r="A855">
        <v>954</v>
      </c>
      <c r="B855" t="s">
        <v>15</v>
      </c>
      <c r="C855" s="6">
        <v>45087</v>
      </c>
      <c r="D855">
        <f>YEAR(Table1[[#This Row],[Join Date]])</f>
        <v>2023</v>
      </c>
      <c r="E855" s="6" t="s">
        <v>48</v>
      </c>
      <c r="F855" t="str">
        <f>IFERROR(YEAR(Table1[[#This Row],[Exit Date]]), " ")</f>
        <v xml:space="preserve"> </v>
      </c>
      <c r="G855" t="str">
        <f>IFERROR((Table1[[#This Row],[Exit Year]]-Table1[[#This Row],[Join Year]])+1," ")</f>
        <v xml:space="preserve"> </v>
      </c>
      <c r="H855" t="s">
        <v>48</v>
      </c>
      <c r="I855" t="s">
        <v>11</v>
      </c>
      <c r="J855" t="s">
        <v>12</v>
      </c>
      <c r="K855">
        <v>24</v>
      </c>
      <c r="L855" t="str">
        <f>IF(Table1[[#This Row],[Age]]&lt;30,"20-29",
IF(Table1[[#This Row],[Age]]&lt;40,"30-39",
IF(Table1[[#This Row],[Age]]&lt;50,"40-49",
IF(Table1[[#This Row],[Age]]&lt;60,"50-59","60+"))))</f>
        <v>20-29</v>
      </c>
      <c r="M855" t="s">
        <v>13</v>
      </c>
      <c r="N855" t="s">
        <v>32</v>
      </c>
    </row>
    <row r="856" spans="1:14" x14ac:dyDescent="0.35">
      <c r="A856">
        <v>955</v>
      </c>
      <c r="B856" t="s">
        <v>15</v>
      </c>
      <c r="C856" s="6">
        <v>43479</v>
      </c>
      <c r="D856">
        <f>YEAR(Table1[[#This Row],[Join Date]])</f>
        <v>2019</v>
      </c>
      <c r="E856" s="6">
        <v>44449</v>
      </c>
      <c r="F856">
        <f>IFERROR(YEAR(Table1[[#This Row],[Exit Date]]), " ")</f>
        <v>2021</v>
      </c>
      <c r="G856">
        <f>IFERROR((Table1[[#This Row],[Exit Year]]-Table1[[#This Row],[Join Year]])+1," ")</f>
        <v>3</v>
      </c>
      <c r="H856" t="s">
        <v>22</v>
      </c>
      <c r="I856" t="s">
        <v>23</v>
      </c>
      <c r="J856" t="s">
        <v>18</v>
      </c>
      <c r="K856">
        <v>50</v>
      </c>
      <c r="L856" t="str">
        <f>IF(Table1[[#This Row],[Age]]&lt;30,"20-29",
IF(Table1[[#This Row],[Age]]&lt;40,"30-39",
IF(Table1[[#This Row],[Age]]&lt;50,"40-49",
IF(Table1[[#This Row],[Age]]&lt;60,"50-59","60+"))))</f>
        <v>50-59</v>
      </c>
      <c r="M856" t="s">
        <v>16</v>
      </c>
      <c r="N856" t="s">
        <v>33</v>
      </c>
    </row>
    <row r="857" spans="1:14" x14ac:dyDescent="0.35">
      <c r="A857">
        <v>956</v>
      </c>
      <c r="B857" t="s">
        <v>26</v>
      </c>
      <c r="C857" s="6">
        <v>44749</v>
      </c>
      <c r="D857">
        <f>YEAR(Table1[[#This Row],[Join Date]])</f>
        <v>2022</v>
      </c>
      <c r="E857" s="6">
        <v>44972</v>
      </c>
      <c r="F857">
        <f>IFERROR(YEAR(Table1[[#This Row],[Exit Date]]), " ")</f>
        <v>2023</v>
      </c>
      <c r="G857">
        <f>IFERROR((Table1[[#This Row],[Exit Year]]-Table1[[#This Row],[Join Year]])+1," ")</f>
        <v>2</v>
      </c>
      <c r="H857" t="s">
        <v>46</v>
      </c>
      <c r="I857" t="s">
        <v>23</v>
      </c>
      <c r="J857" t="s">
        <v>18</v>
      </c>
      <c r="K857">
        <v>28</v>
      </c>
      <c r="L857" t="str">
        <f>IF(Table1[[#This Row],[Age]]&lt;30,"20-29",
IF(Table1[[#This Row],[Age]]&lt;40,"30-39",
IF(Table1[[#This Row],[Age]]&lt;50,"40-49",
IF(Table1[[#This Row],[Age]]&lt;60,"50-59","60+"))))</f>
        <v>20-29</v>
      </c>
      <c r="M857" t="s">
        <v>13</v>
      </c>
      <c r="N857" t="s">
        <v>35</v>
      </c>
    </row>
    <row r="858" spans="1:14" x14ac:dyDescent="0.35">
      <c r="A858">
        <v>957</v>
      </c>
      <c r="B858" t="s">
        <v>29</v>
      </c>
      <c r="C858" s="6">
        <v>45457</v>
      </c>
      <c r="D858">
        <f>YEAR(Table1[[#This Row],[Join Date]])</f>
        <v>2024</v>
      </c>
      <c r="E858" s="6" t="s">
        <v>48</v>
      </c>
      <c r="F858" t="str">
        <f>IFERROR(YEAR(Table1[[#This Row],[Exit Date]]), " ")</f>
        <v xml:space="preserve"> </v>
      </c>
      <c r="G858" t="str">
        <f>IFERROR((Table1[[#This Row],[Exit Year]]-Table1[[#This Row],[Join Year]])+1," ")</f>
        <v xml:space="preserve"> </v>
      </c>
      <c r="H858" t="s">
        <v>48</v>
      </c>
      <c r="I858" t="s">
        <v>11</v>
      </c>
      <c r="J858" t="s">
        <v>12</v>
      </c>
      <c r="K858">
        <v>40</v>
      </c>
      <c r="L858" t="str">
        <f>IF(Table1[[#This Row],[Age]]&lt;30,"20-29",
IF(Table1[[#This Row],[Age]]&lt;40,"30-39",
IF(Table1[[#This Row],[Age]]&lt;50,"40-49",
IF(Table1[[#This Row],[Age]]&lt;60,"50-59","60+"))))</f>
        <v>40-49</v>
      </c>
      <c r="M858" t="s">
        <v>20</v>
      </c>
      <c r="N858" t="s">
        <v>37</v>
      </c>
    </row>
    <row r="859" spans="1:14" x14ac:dyDescent="0.35">
      <c r="A859">
        <v>958</v>
      </c>
      <c r="B859" t="s">
        <v>10</v>
      </c>
      <c r="C859" s="6">
        <v>43304</v>
      </c>
      <c r="D859">
        <f>YEAR(Table1[[#This Row],[Join Date]])</f>
        <v>2018</v>
      </c>
      <c r="E859" s="6" t="s">
        <v>48</v>
      </c>
      <c r="F859" t="str">
        <f>IFERROR(YEAR(Table1[[#This Row],[Exit Date]]), " ")</f>
        <v xml:space="preserve"> </v>
      </c>
      <c r="G859" t="str">
        <f>IFERROR((Table1[[#This Row],[Exit Year]]-Table1[[#This Row],[Join Year]])+1," ")</f>
        <v xml:space="preserve"> </v>
      </c>
      <c r="H859" t="s">
        <v>48</v>
      </c>
      <c r="I859" t="s">
        <v>11</v>
      </c>
      <c r="J859" t="s">
        <v>18</v>
      </c>
      <c r="K859">
        <v>32</v>
      </c>
      <c r="L859" t="str">
        <f>IF(Table1[[#This Row],[Age]]&lt;30,"20-29",
IF(Table1[[#This Row],[Age]]&lt;40,"30-39",
IF(Table1[[#This Row],[Age]]&lt;50,"40-49",
IF(Table1[[#This Row],[Age]]&lt;60,"50-59","60+"))))</f>
        <v>30-39</v>
      </c>
      <c r="M859" t="s">
        <v>44</v>
      </c>
      <c r="N859" t="s">
        <v>19</v>
      </c>
    </row>
    <row r="860" spans="1:14" x14ac:dyDescent="0.35">
      <c r="A860">
        <v>959</v>
      </c>
      <c r="B860" t="s">
        <v>15</v>
      </c>
      <c r="C860" s="6">
        <v>44987</v>
      </c>
      <c r="D860">
        <f>YEAR(Table1[[#This Row],[Join Date]])</f>
        <v>2023</v>
      </c>
      <c r="E860" s="6" t="s">
        <v>48</v>
      </c>
      <c r="F860" t="str">
        <f>IFERROR(YEAR(Table1[[#This Row],[Exit Date]]), " ")</f>
        <v xml:space="preserve"> </v>
      </c>
      <c r="G860" t="str">
        <f>IFERROR((Table1[[#This Row],[Exit Year]]-Table1[[#This Row],[Join Year]])+1," ")</f>
        <v xml:space="preserve"> </v>
      </c>
      <c r="H860" t="s">
        <v>48</v>
      </c>
      <c r="I860" t="s">
        <v>11</v>
      </c>
      <c r="J860" t="s">
        <v>18</v>
      </c>
      <c r="K860">
        <v>50</v>
      </c>
      <c r="L860" t="str">
        <f>IF(Table1[[#This Row],[Age]]&lt;30,"20-29",
IF(Table1[[#This Row],[Age]]&lt;40,"30-39",
IF(Table1[[#This Row],[Age]]&lt;50,"40-49",
IF(Table1[[#This Row],[Age]]&lt;60,"50-59","60+"))))</f>
        <v>50-59</v>
      </c>
      <c r="M860" t="s">
        <v>13</v>
      </c>
      <c r="N860" t="s">
        <v>25</v>
      </c>
    </row>
    <row r="861" spans="1:14" x14ac:dyDescent="0.35">
      <c r="A861">
        <v>960</v>
      </c>
      <c r="B861" t="s">
        <v>34</v>
      </c>
      <c r="C861" s="6">
        <v>45326</v>
      </c>
      <c r="D861">
        <f>YEAR(Table1[[#This Row],[Join Date]])</f>
        <v>2024</v>
      </c>
      <c r="E861" s="6" t="s">
        <v>48</v>
      </c>
      <c r="F861" t="str">
        <f>IFERROR(YEAR(Table1[[#This Row],[Exit Date]]), " ")</f>
        <v xml:space="preserve"> </v>
      </c>
      <c r="G861" t="str">
        <f>IFERROR((Table1[[#This Row],[Exit Year]]-Table1[[#This Row],[Join Year]])+1," ")</f>
        <v xml:space="preserve"> </v>
      </c>
      <c r="H861" t="s">
        <v>48</v>
      </c>
      <c r="I861" t="s">
        <v>11</v>
      </c>
      <c r="J861" t="s">
        <v>12</v>
      </c>
      <c r="K861">
        <v>24</v>
      </c>
      <c r="L861" t="str">
        <f>IF(Table1[[#This Row],[Age]]&lt;30,"20-29",
IF(Table1[[#This Row],[Age]]&lt;40,"30-39",
IF(Table1[[#This Row],[Age]]&lt;50,"40-49",
IF(Table1[[#This Row],[Age]]&lt;60,"50-59","60+"))))</f>
        <v>20-29</v>
      </c>
      <c r="M861" t="s">
        <v>16</v>
      </c>
      <c r="N861" t="s">
        <v>35</v>
      </c>
    </row>
    <row r="862" spans="1:14" x14ac:dyDescent="0.35">
      <c r="A862">
        <v>961</v>
      </c>
      <c r="B862" t="s">
        <v>36</v>
      </c>
      <c r="C862" s="6">
        <v>45474</v>
      </c>
      <c r="D862">
        <f>YEAR(Table1[[#This Row],[Join Date]])</f>
        <v>2024</v>
      </c>
      <c r="E862" s="6" t="s">
        <v>48</v>
      </c>
      <c r="F862" t="str">
        <f>IFERROR(YEAR(Table1[[#This Row],[Exit Date]]), " ")</f>
        <v xml:space="preserve"> </v>
      </c>
      <c r="G862" t="str">
        <f>IFERROR((Table1[[#This Row],[Exit Year]]-Table1[[#This Row],[Join Year]])+1," ")</f>
        <v xml:space="preserve"> </v>
      </c>
      <c r="H862" t="s">
        <v>48</v>
      </c>
      <c r="I862" t="s">
        <v>11</v>
      </c>
      <c r="J862" t="s">
        <v>12</v>
      </c>
      <c r="K862">
        <v>36</v>
      </c>
      <c r="L862" t="str">
        <f>IF(Table1[[#This Row],[Age]]&lt;30,"20-29",
IF(Table1[[#This Row],[Age]]&lt;40,"30-39",
IF(Table1[[#This Row],[Age]]&lt;50,"40-49",
IF(Table1[[#This Row],[Age]]&lt;60,"50-59","60+"))))</f>
        <v>30-39</v>
      </c>
      <c r="M862" t="s">
        <v>16</v>
      </c>
      <c r="N862" t="s">
        <v>17</v>
      </c>
    </row>
    <row r="863" spans="1:14" x14ac:dyDescent="0.35">
      <c r="A863">
        <v>962</v>
      </c>
      <c r="B863" t="s">
        <v>29</v>
      </c>
      <c r="C863" s="6">
        <v>44227</v>
      </c>
      <c r="D863">
        <f>YEAR(Table1[[#This Row],[Join Date]])</f>
        <v>2021</v>
      </c>
      <c r="E863" s="6">
        <v>45322</v>
      </c>
      <c r="F863">
        <f>IFERROR(YEAR(Table1[[#This Row],[Exit Date]]), " ")</f>
        <v>2024</v>
      </c>
      <c r="G863">
        <f>IFERROR((Table1[[#This Row],[Exit Year]]-Table1[[#This Row],[Join Year]])+1," ")</f>
        <v>4</v>
      </c>
      <c r="H863" t="s">
        <v>46</v>
      </c>
      <c r="I863" t="s">
        <v>23</v>
      </c>
      <c r="J863" t="s">
        <v>12</v>
      </c>
      <c r="K863">
        <v>49</v>
      </c>
      <c r="L863" t="str">
        <f>IF(Table1[[#This Row],[Age]]&lt;30,"20-29",
IF(Table1[[#This Row],[Age]]&lt;40,"30-39",
IF(Table1[[#This Row],[Age]]&lt;50,"40-49",
IF(Table1[[#This Row],[Age]]&lt;60,"50-59","60+"))))</f>
        <v>40-49</v>
      </c>
      <c r="M863" t="s">
        <v>20</v>
      </c>
      <c r="N863" t="s">
        <v>19</v>
      </c>
    </row>
    <row r="864" spans="1:14" x14ac:dyDescent="0.35">
      <c r="A864">
        <v>963</v>
      </c>
      <c r="B864" t="s">
        <v>10</v>
      </c>
      <c r="C864" s="6">
        <v>43446</v>
      </c>
      <c r="D864">
        <f>YEAR(Table1[[#This Row],[Join Date]])</f>
        <v>2018</v>
      </c>
      <c r="E864" s="6">
        <v>43936</v>
      </c>
      <c r="F864">
        <f>IFERROR(YEAR(Table1[[#This Row],[Exit Date]]), " ")</f>
        <v>2020</v>
      </c>
      <c r="G864">
        <f>IFERROR((Table1[[#This Row],[Exit Year]]-Table1[[#This Row],[Join Year]])+1," ")</f>
        <v>3</v>
      </c>
      <c r="H864" t="s">
        <v>46</v>
      </c>
      <c r="I864" t="s">
        <v>23</v>
      </c>
      <c r="J864" t="s">
        <v>18</v>
      </c>
      <c r="K864">
        <v>43</v>
      </c>
      <c r="L864" t="str">
        <f>IF(Table1[[#This Row],[Age]]&lt;30,"20-29",
IF(Table1[[#This Row],[Age]]&lt;40,"30-39",
IF(Table1[[#This Row],[Age]]&lt;50,"40-49",
IF(Table1[[#This Row],[Age]]&lt;60,"50-59","60+"))))</f>
        <v>40-49</v>
      </c>
      <c r="M864" t="s">
        <v>24</v>
      </c>
      <c r="N864" t="s">
        <v>21</v>
      </c>
    </row>
    <row r="865" spans="1:14" x14ac:dyDescent="0.35">
      <c r="A865">
        <v>964</v>
      </c>
      <c r="B865" t="s">
        <v>15</v>
      </c>
      <c r="C865" s="6">
        <v>45314</v>
      </c>
      <c r="D865">
        <f>YEAR(Table1[[#This Row],[Join Date]])</f>
        <v>2024</v>
      </c>
      <c r="E865" s="6" t="s">
        <v>48</v>
      </c>
      <c r="F865" t="str">
        <f>IFERROR(YEAR(Table1[[#This Row],[Exit Date]]), " ")</f>
        <v xml:space="preserve"> </v>
      </c>
      <c r="G865" t="str">
        <f>IFERROR((Table1[[#This Row],[Exit Year]]-Table1[[#This Row],[Join Year]])+1," ")</f>
        <v xml:space="preserve"> </v>
      </c>
      <c r="H865" t="s">
        <v>48</v>
      </c>
      <c r="I865" t="s">
        <v>11</v>
      </c>
      <c r="J865" t="s">
        <v>18</v>
      </c>
      <c r="K865">
        <v>40</v>
      </c>
      <c r="L865" t="str">
        <f>IF(Table1[[#This Row],[Age]]&lt;30,"20-29",
IF(Table1[[#This Row],[Age]]&lt;40,"30-39",
IF(Table1[[#This Row],[Age]]&lt;50,"40-49",
IF(Table1[[#This Row],[Age]]&lt;60,"50-59","60+"))))</f>
        <v>40-49</v>
      </c>
      <c r="M865" t="s">
        <v>13</v>
      </c>
      <c r="N865" t="s">
        <v>25</v>
      </c>
    </row>
    <row r="866" spans="1:14" x14ac:dyDescent="0.35">
      <c r="A866">
        <v>965</v>
      </c>
      <c r="B866" t="s">
        <v>15</v>
      </c>
      <c r="C866" s="6">
        <v>43123</v>
      </c>
      <c r="D866">
        <f>YEAR(Table1[[#This Row],[Join Date]])</f>
        <v>2018</v>
      </c>
      <c r="E866" s="6" t="s">
        <v>48</v>
      </c>
      <c r="F866" t="str">
        <f>IFERROR(YEAR(Table1[[#This Row],[Exit Date]]), " ")</f>
        <v xml:space="preserve"> </v>
      </c>
      <c r="G866" t="str">
        <f>IFERROR((Table1[[#This Row],[Exit Year]]-Table1[[#This Row],[Join Year]])+1," ")</f>
        <v xml:space="preserve"> </v>
      </c>
      <c r="H866" t="s">
        <v>48</v>
      </c>
      <c r="I866" t="s">
        <v>11</v>
      </c>
      <c r="J866" t="s">
        <v>12</v>
      </c>
      <c r="K866">
        <v>42</v>
      </c>
      <c r="L866" t="str">
        <f>IF(Table1[[#This Row],[Age]]&lt;30,"20-29",
IF(Table1[[#This Row],[Age]]&lt;40,"30-39",
IF(Table1[[#This Row],[Age]]&lt;50,"40-49",
IF(Table1[[#This Row],[Age]]&lt;60,"50-59","60+"))))</f>
        <v>40-49</v>
      </c>
      <c r="M866" t="s">
        <v>30</v>
      </c>
      <c r="N866" t="s">
        <v>35</v>
      </c>
    </row>
    <row r="867" spans="1:14" x14ac:dyDescent="0.35">
      <c r="A867">
        <v>966</v>
      </c>
      <c r="B867" t="s">
        <v>10</v>
      </c>
      <c r="C867" s="6">
        <v>43717</v>
      </c>
      <c r="D867">
        <f>YEAR(Table1[[#This Row],[Join Date]])</f>
        <v>2019</v>
      </c>
      <c r="E867" s="6">
        <v>44677</v>
      </c>
      <c r="F867">
        <f>IFERROR(YEAR(Table1[[#This Row],[Exit Date]]), " ")</f>
        <v>2022</v>
      </c>
      <c r="G867">
        <f>IFERROR((Table1[[#This Row],[Exit Year]]-Table1[[#This Row],[Join Year]])+1," ")</f>
        <v>4</v>
      </c>
      <c r="H867" t="s">
        <v>40</v>
      </c>
      <c r="I867" t="s">
        <v>23</v>
      </c>
      <c r="J867" t="s">
        <v>18</v>
      </c>
      <c r="K867">
        <v>35</v>
      </c>
      <c r="L867" t="str">
        <f>IF(Table1[[#This Row],[Age]]&lt;30,"20-29",
IF(Table1[[#This Row],[Age]]&lt;40,"30-39",
IF(Table1[[#This Row],[Age]]&lt;50,"40-49",
IF(Table1[[#This Row],[Age]]&lt;60,"50-59","60+"))))</f>
        <v>30-39</v>
      </c>
      <c r="M867" t="s">
        <v>13</v>
      </c>
      <c r="N867" t="s">
        <v>14</v>
      </c>
    </row>
    <row r="868" spans="1:14" x14ac:dyDescent="0.35">
      <c r="A868">
        <v>967</v>
      </c>
      <c r="B868" t="s">
        <v>29</v>
      </c>
      <c r="C868" s="6">
        <v>43534</v>
      </c>
      <c r="D868">
        <f>YEAR(Table1[[#This Row],[Join Date]])</f>
        <v>2019</v>
      </c>
      <c r="E868" s="6">
        <v>44117</v>
      </c>
      <c r="F868">
        <f>IFERROR(YEAR(Table1[[#This Row],[Exit Date]]), " ")</f>
        <v>2020</v>
      </c>
      <c r="G868">
        <f>IFERROR((Table1[[#This Row],[Exit Year]]-Table1[[#This Row],[Join Year]])+1," ")</f>
        <v>2</v>
      </c>
      <c r="H868" t="s">
        <v>38</v>
      </c>
      <c r="I868" t="s">
        <v>23</v>
      </c>
      <c r="J868" t="s">
        <v>12</v>
      </c>
      <c r="K868">
        <v>31</v>
      </c>
      <c r="L868" t="str">
        <f>IF(Table1[[#This Row],[Age]]&lt;30,"20-29",
IF(Table1[[#This Row],[Age]]&lt;40,"30-39",
IF(Table1[[#This Row],[Age]]&lt;50,"40-49",
IF(Table1[[#This Row],[Age]]&lt;60,"50-59","60+"))))</f>
        <v>30-39</v>
      </c>
      <c r="M868" t="s">
        <v>13</v>
      </c>
      <c r="N868" t="s">
        <v>19</v>
      </c>
    </row>
    <row r="869" spans="1:14" x14ac:dyDescent="0.35">
      <c r="A869">
        <v>968</v>
      </c>
      <c r="B869" t="s">
        <v>36</v>
      </c>
      <c r="C869" s="6">
        <v>44619</v>
      </c>
      <c r="D869">
        <f>YEAR(Table1[[#This Row],[Join Date]])</f>
        <v>2022</v>
      </c>
      <c r="E869" s="6" t="s">
        <v>48</v>
      </c>
      <c r="F869" t="str">
        <f>IFERROR(YEAR(Table1[[#This Row],[Exit Date]]), " ")</f>
        <v xml:space="preserve"> </v>
      </c>
      <c r="G869" t="str">
        <f>IFERROR((Table1[[#This Row],[Exit Year]]-Table1[[#This Row],[Join Year]])+1," ")</f>
        <v xml:space="preserve"> </v>
      </c>
      <c r="H869" t="s">
        <v>48</v>
      </c>
      <c r="I869" t="s">
        <v>11</v>
      </c>
      <c r="J869" t="s">
        <v>12</v>
      </c>
      <c r="K869">
        <v>51</v>
      </c>
      <c r="L869" t="str">
        <f>IF(Table1[[#This Row],[Age]]&lt;30,"20-29",
IF(Table1[[#This Row],[Age]]&lt;40,"30-39",
IF(Table1[[#This Row],[Age]]&lt;50,"40-49",
IF(Table1[[#This Row],[Age]]&lt;60,"50-59","60+"))))</f>
        <v>50-59</v>
      </c>
      <c r="M869" t="s">
        <v>16</v>
      </c>
      <c r="N869" t="s">
        <v>21</v>
      </c>
    </row>
    <row r="870" spans="1:14" x14ac:dyDescent="0.35">
      <c r="A870">
        <v>969</v>
      </c>
      <c r="B870" t="s">
        <v>10</v>
      </c>
      <c r="C870" s="6">
        <v>45485</v>
      </c>
      <c r="D870">
        <f>YEAR(Table1[[#This Row],[Join Date]])</f>
        <v>2024</v>
      </c>
      <c r="E870" s="6" t="s">
        <v>48</v>
      </c>
      <c r="F870" t="str">
        <f>IFERROR(YEAR(Table1[[#This Row],[Exit Date]]), " ")</f>
        <v xml:space="preserve"> </v>
      </c>
      <c r="G870" t="str">
        <f>IFERROR((Table1[[#This Row],[Exit Year]]-Table1[[#This Row],[Join Year]])+1," ")</f>
        <v xml:space="preserve"> </v>
      </c>
      <c r="H870" t="s">
        <v>48</v>
      </c>
      <c r="I870" t="s">
        <v>11</v>
      </c>
      <c r="J870" t="s">
        <v>12</v>
      </c>
      <c r="K870">
        <v>48</v>
      </c>
      <c r="L870" t="str">
        <f>IF(Table1[[#This Row],[Age]]&lt;30,"20-29",
IF(Table1[[#This Row],[Age]]&lt;40,"30-39",
IF(Table1[[#This Row],[Age]]&lt;50,"40-49",
IF(Table1[[#This Row],[Age]]&lt;60,"50-59","60+"))))</f>
        <v>40-49</v>
      </c>
      <c r="M870" t="s">
        <v>13</v>
      </c>
      <c r="N870" t="s">
        <v>37</v>
      </c>
    </row>
    <row r="871" spans="1:14" x14ac:dyDescent="0.35">
      <c r="A871">
        <v>970</v>
      </c>
      <c r="B871" t="s">
        <v>29</v>
      </c>
      <c r="C871" s="6">
        <v>43588</v>
      </c>
      <c r="D871">
        <f>YEAR(Table1[[#This Row],[Join Date]])</f>
        <v>2019</v>
      </c>
      <c r="E871" s="6">
        <v>44896</v>
      </c>
      <c r="F871">
        <f>IFERROR(YEAR(Table1[[#This Row],[Exit Date]]), " ")</f>
        <v>2022</v>
      </c>
      <c r="G871">
        <f>IFERROR((Table1[[#This Row],[Exit Year]]-Table1[[#This Row],[Join Year]])+1," ")</f>
        <v>4</v>
      </c>
      <c r="H871" t="s">
        <v>41</v>
      </c>
      <c r="I871" t="s">
        <v>23</v>
      </c>
      <c r="J871" t="s">
        <v>18</v>
      </c>
      <c r="K871">
        <v>41</v>
      </c>
      <c r="L871" t="str">
        <f>IF(Table1[[#This Row],[Age]]&lt;30,"20-29",
IF(Table1[[#This Row],[Age]]&lt;40,"30-39",
IF(Table1[[#This Row],[Age]]&lt;50,"40-49",
IF(Table1[[#This Row],[Age]]&lt;60,"50-59","60+"))))</f>
        <v>40-49</v>
      </c>
      <c r="M871" t="s">
        <v>20</v>
      </c>
      <c r="N871" t="s">
        <v>25</v>
      </c>
    </row>
    <row r="872" spans="1:14" x14ac:dyDescent="0.35">
      <c r="A872">
        <v>971</v>
      </c>
      <c r="B872" t="s">
        <v>36</v>
      </c>
      <c r="C872" s="6">
        <v>44250</v>
      </c>
      <c r="D872">
        <f>YEAR(Table1[[#This Row],[Join Date]])</f>
        <v>2021</v>
      </c>
      <c r="E872" s="6">
        <v>45392</v>
      </c>
      <c r="F872">
        <f>IFERROR(YEAR(Table1[[#This Row],[Exit Date]]), " ")</f>
        <v>2024</v>
      </c>
      <c r="G872">
        <f>IFERROR((Table1[[#This Row],[Exit Year]]-Table1[[#This Row],[Join Year]])+1," ")</f>
        <v>4</v>
      </c>
      <c r="H872" t="s">
        <v>46</v>
      </c>
      <c r="I872" t="s">
        <v>23</v>
      </c>
      <c r="J872" t="s">
        <v>12</v>
      </c>
      <c r="K872">
        <v>35</v>
      </c>
      <c r="L872" t="str">
        <f>IF(Table1[[#This Row],[Age]]&lt;30,"20-29",
IF(Table1[[#This Row],[Age]]&lt;40,"30-39",
IF(Table1[[#This Row],[Age]]&lt;50,"40-49",
IF(Table1[[#This Row],[Age]]&lt;60,"50-59","60+"))))</f>
        <v>30-39</v>
      </c>
      <c r="M872" t="s">
        <v>39</v>
      </c>
      <c r="N872" t="s">
        <v>35</v>
      </c>
    </row>
    <row r="873" spans="1:14" x14ac:dyDescent="0.35">
      <c r="A873">
        <v>972</v>
      </c>
      <c r="B873" t="s">
        <v>26</v>
      </c>
      <c r="C873" s="6">
        <v>45244</v>
      </c>
      <c r="D873">
        <f>YEAR(Table1[[#This Row],[Join Date]])</f>
        <v>2023</v>
      </c>
      <c r="E873" s="6">
        <v>45446</v>
      </c>
      <c r="F873">
        <f>IFERROR(YEAR(Table1[[#This Row],[Exit Date]]), " ")</f>
        <v>2024</v>
      </c>
      <c r="G873">
        <f>IFERROR((Table1[[#This Row],[Exit Year]]-Table1[[#This Row],[Join Year]])+1," ")</f>
        <v>2</v>
      </c>
      <c r="H873" t="s">
        <v>40</v>
      </c>
      <c r="I873" t="s">
        <v>23</v>
      </c>
      <c r="J873" t="s">
        <v>18</v>
      </c>
      <c r="K873">
        <v>24</v>
      </c>
      <c r="L873" t="str">
        <f>IF(Table1[[#This Row],[Age]]&lt;30,"20-29",
IF(Table1[[#This Row],[Age]]&lt;40,"30-39",
IF(Table1[[#This Row],[Age]]&lt;50,"40-49",
IF(Table1[[#This Row],[Age]]&lt;60,"50-59","60+"))))</f>
        <v>20-29</v>
      </c>
      <c r="M873" t="s">
        <v>13</v>
      </c>
      <c r="N873" t="s">
        <v>14</v>
      </c>
    </row>
    <row r="874" spans="1:14" x14ac:dyDescent="0.35">
      <c r="A874">
        <v>973</v>
      </c>
      <c r="B874" t="s">
        <v>15</v>
      </c>
      <c r="C874" s="6">
        <v>45256</v>
      </c>
      <c r="D874">
        <f>YEAR(Table1[[#This Row],[Join Date]])</f>
        <v>2023</v>
      </c>
      <c r="E874" s="6" t="s">
        <v>48</v>
      </c>
      <c r="F874" t="str">
        <f>IFERROR(YEAR(Table1[[#This Row],[Exit Date]]), " ")</f>
        <v xml:space="preserve"> </v>
      </c>
      <c r="G874" t="str">
        <f>IFERROR((Table1[[#This Row],[Exit Year]]-Table1[[#This Row],[Join Year]])+1," ")</f>
        <v xml:space="preserve"> </v>
      </c>
      <c r="H874" t="s">
        <v>48</v>
      </c>
      <c r="I874" t="s">
        <v>11</v>
      </c>
      <c r="J874" t="s">
        <v>12</v>
      </c>
      <c r="K874">
        <v>41</v>
      </c>
      <c r="L874" t="str">
        <f>IF(Table1[[#This Row],[Age]]&lt;30,"20-29",
IF(Table1[[#This Row],[Age]]&lt;40,"30-39",
IF(Table1[[#This Row],[Age]]&lt;50,"40-49",
IF(Table1[[#This Row],[Age]]&lt;60,"50-59","60+"))))</f>
        <v>40-49</v>
      </c>
      <c r="M874" t="s">
        <v>16</v>
      </c>
      <c r="N874" t="s">
        <v>17</v>
      </c>
    </row>
    <row r="875" spans="1:14" x14ac:dyDescent="0.35">
      <c r="A875">
        <v>974</v>
      </c>
      <c r="B875" t="s">
        <v>26</v>
      </c>
      <c r="C875" s="6">
        <v>45465</v>
      </c>
      <c r="D875">
        <f>YEAR(Table1[[#This Row],[Join Date]])</f>
        <v>2024</v>
      </c>
      <c r="E875" s="6" t="s">
        <v>48</v>
      </c>
      <c r="F875" t="str">
        <f>IFERROR(YEAR(Table1[[#This Row],[Exit Date]]), " ")</f>
        <v xml:space="preserve"> </v>
      </c>
      <c r="G875" t="str">
        <f>IFERROR((Table1[[#This Row],[Exit Year]]-Table1[[#This Row],[Join Year]])+1," ")</f>
        <v xml:space="preserve"> </v>
      </c>
      <c r="H875" t="s">
        <v>48</v>
      </c>
      <c r="I875" t="s">
        <v>11</v>
      </c>
      <c r="J875" t="s">
        <v>18</v>
      </c>
      <c r="K875">
        <v>40</v>
      </c>
      <c r="L875" t="str">
        <f>IF(Table1[[#This Row],[Age]]&lt;30,"20-29",
IF(Table1[[#This Row],[Age]]&lt;40,"30-39",
IF(Table1[[#This Row],[Age]]&lt;50,"40-49",
IF(Table1[[#This Row],[Age]]&lt;60,"50-59","60+"))))</f>
        <v>40-49</v>
      </c>
      <c r="M875" t="s">
        <v>16</v>
      </c>
      <c r="N875" t="s">
        <v>19</v>
      </c>
    </row>
    <row r="876" spans="1:14" x14ac:dyDescent="0.35">
      <c r="A876">
        <v>975</v>
      </c>
      <c r="B876" t="s">
        <v>10</v>
      </c>
      <c r="C876" s="6">
        <v>43597</v>
      </c>
      <c r="D876">
        <f>YEAR(Table1[[#This Row],[Join Date]])</f>
        <v>2019</v>
      </c>
      <c r="E876" s="6" t="s">
        <v>48</v>
      </c>
      <c r="F876" t="str">
        <f>IFERROR(YEAR(Table1[[#This Row],[Exit Date]]), " ")</f>
        <v xml:space="preserve"> </v>
      </c>
      <c r="G876" t="str">
        <f>IFERROR((Table1[[#This Row],[Exit Year]]-Table1[[#This Row],[Join Year]])+1," ")</f>
        <v xml:space="preserve"> </v>
      </c>
      <c r="H876" t="s">
        <v>48</v>
      </c>
      <c r="I876" t="s">
        <v>11</v>
      </c>
      <c r="J876" t="s">
        <v>18</v>
      </c>
      <c r="K876">
        <v>48</v>
      </c>
      <c r="L876" t="str">
        <f>IF(Table1[[#This Row],[Age]]&lt;30,"20-29",
IF(Table1[[#This Row],[Age]]&lt;40,"30-39",
IF(Table1[[#This Row],[Age]]&lt;50,"40-49",
IF(Table1[[#This Row],[Age]]&lt;60,"50-59","60+"))))</f>
        <v>40-49</v>
      </c>
      <c r="M876" t="s">
        <v>20</v>
      </c>
      <c r="N876" t="s">
        <v>21</v>
      </c>
    </row>
    <row r="877" spans="1:14" x14ac:dyDescent="0.35">
      <c r="A877">
        <v>976</v>
      </c>
      <c r="B877" t="s">
        <v>15</v>
      </c>
      <c r="C877" s="6">
        <v>44866</v>
      </c>
      <c r="D877">
        <f>YEAR(Table1[[#This Row],[Join Date]])</f>
        <v>2022</v>
      </c>
      <c r="E877" s="6" t="s">
        <v>48</v>
      </c>
      <c r="F877" t="str">
        <f>IFERROR(YEAR(Table1[[#This Row],[Exit Date]]), " ")</f>
        <v xml:space="preserve"> </v>
      </c>
      <c r="G877" t="str">
        <f>IFERROR((Table1[[#This Row],[Exit Year]]-Table1[[#This Row],[Join Year]])+1," ")</f>
        <v xml:space="preserve"> </v>
      </c>
      <c r="H877" t="s">
        <v>48</v>
      </c>
      <c r="I877" t="s">
        <v>11</v>
      </c>
      <c r="J877" t="s">
        <v>12</v>
      </c>
      <c r="K877">
        <v>52</v>
      </c>
      <c r="L877" t="str">
        <f>IF(Table1[[#This Row],[Age]]&lt;30,"20-29",
IF(Table1[[#This Row],[Age]]&lt;40,"30-39",
IF(Table1[[#This Row],[Age]]&lt;50,"40-49",
IF(Table1[[#This Row],[Age]]&lt;60,"50-59","60+"))))</f>
        <v>50-59</v>
      </c>
      <c r="M877" t="s">
        <v>24</v>
      </c>
      <c r="N877" t="s">
        <v>25</v>
      </c>
    </row>
    <row r="878" spans="1:14" x14ac:dyDescent="0.35">
      <c r="A878">
        <v>977</v>
      </c>
      <c r="B878" t="s">
        <v>34</v>
      </c>
      <c r="C878" s="6">
        <v>44006</v>
      </c>
      <c r="D878">
        <f>YEAR(Table1[[#This Row],[Join Date]])</f>
        <v>2020</v>
      </c>
      <c r="E878" s="6">
        <v>44463</v>
      </c>
      <c r="F878">
        <f>IFERROR(YEAR(Table1[[#This Row],[Exit Date]]), " ")</f>
        <v>2021</v>
      </c>
      <c r="G878">
        <f>IFERROR((Table1[[#This Row],[Exit Year]]-Table1[[#This Row],[Join Year]])+1," ")</f>
        <v>2</v>
      </c>
      <c r="H878" t="s">
        <v>43</v>
      </c>
      <c r="I878" t="s">
        <v>23</v>
      </c>
      <c r="J878" t="s">
        <v>18</v>
      </c>
      <c r="K878">
        <v>33</v>
      </c>
      <c r="L878" t="str">
        <f>IF(Table1[[#This Row],[Age]]&lt;30,"20-29",
IF(Table1[[#This Row],[Age]]&lt;40,"30-39",
IF(Table1[[#This Row],[Age]]&lt;50,"40-49",
IF(Table1[[#This Row],[Age]]&lt;60,"50-59","60+"))))</f>
        <v>30-39</v>
      </c>
      <c r="M878" t="s">
        <v>13</v>
      </c>
      <c r="N878" t="s">
        <v>28</v>
      </c>
    </row>
    <row r="879" spans="1:14" x14ac:dyDescent="0.35">
      <c r="A879">
        <v>978</v>
      </c>
      <c r="B879" t="s">
        <v>26</v>
      </c>
      <c r="C879" s="6">
        <v>45095</v>
      </c>
      <c r="D879">
        <f>YEAR(Table1[[#This Row],[Join Date]])</f>
        <v>2023</v>
      </c>
      <c r="E879" s="6" t="s">
        <v>48</v>
      </c>
      <c r="F879" t="str">
        <f>IFERROR(YEAR(Table1[[#This Row],[Exit Date]]), " ")</f>
        <v xml:space="preserve"> </v>
      </c>
      <c r="G879" t="str">
        <f>IFERROR((Table1[[#This Row],[Exit Year]]-Table1[[#This Row],[Join Year]])+1," ")</f>
        <v xml:space="preserve"> </v>
      </c>
      <c r="H879" t="s">
        <v>48</v>
      </c>
      <c r="I879" t="s">
        <v>11</v>
      </c>
      <c r="J879" t="s">
        <v>18</v>
      </c>
      <c r="K879">
        <v>51</v>
      </c>
      <c r="L879" t="str">
        <f>IF(Table1[[#This Row],[Age]]&lt;30,"20-29",
IF(Table1[[#This Row],[Age]]&lt;40,"30-39",
IF(Table1[[#This Row],[Age]]&lt;50,"40-49",
IF(Table1[[#This Row],[Age]]&lt;60,"50-59","60+"))))</f>
        <v>50-59</v>
      </c>
      <c r="M879" t="s">
        <v>42</v>
      </c>
      <c r="N879" t="s">
        <v>31</v>
      </c>
    </row>
    <row r="880" spans="1:14" x14ac:dyDescent="0.35">
      <c r="A880">
        <v>979</v>
      </c>
      <c r="B880" t="s">
        <v>10</v>
      </c>
      <c r="C880" s="6">
        <v>44360</v>
      </c>
      <c r="D880">
        <f>YEAR(Table1[[#This Row],[Join Date]])</f>
        <v>2021</v>
      </c>
      <c r="E880" s="6">
        <v>44755</v>
      </c>
      <c r="F880">
        <f>IFERROR(YEAR(Table1[[#This Row],[Exit Date]]), " ")</f>
        <v>2022</v>
      </c>
      <c r="G880">
        <f>IFERROR((Table1[[#This Row],[Exit Year]]-Table1[[#This Row],[Join Year]])+1," ")</f>
        <v>2</v>
      </c>
      <c r="H880" t="s">
        <v>46</v>
      </c>
      <c r="I880" t="s">
        <v>23</v>
      </c>
      <c r="J880" t="s">
        <v>12</v>
      </c>
      <c r="K880">
        <v>46</v>
      </c>
      <c r="L880" t="str">
        <f>IF(Table1[[#This Row],[Age]]&lt;30,"20-29",
IF(Table1[[#This Row],[Age]]&lt;40,"30-39",
IF(Table1[[#This Row],[Age]]&lt;50,"40-49",
IF(Table1[[#This Row],[Age]]&lt;60,"50-59","60+"))))</f>
        <v>40-49</v>
      </c>
      <c r="M880" t="s">
        <v>13</v>
      </c>
      <c r="N880" t="s">
        <v>32</v>
      </c>
    </row>
    <row r="881" spans="1:14" x14ac:dyDescent="0.35">
      <c r="A881">
        <v>980</v>
      </c>
      <c r="B881" t="s">
        <v>26</v>
      </c>
      <c r="C881" s="6">
        <v>43419</v>
      </c>
      <c r="D881">
        <f>YEAR(Table1[[#This Row],[Join Date]])</f>
        <v>2018</v>
      </c>
      <c r="E881" s="6">
        <v>44303</v>
      </c>
      <c r="F881">
        <f>IFERROR(YEAR(Table1[[#This Row],[Exit Date]]), " ")</f>
        <v>2021</v>
      </c>
      <c r="G881">
        <f>IFERROR((Table1[[#This Row],[Exit Year]]-Table1[[#This Row],[Join Year]])+1," ")</f>
        <v>4</v>
      </c>
      <c r="H881" t="s">
        <v>22</v>
      </c>
      <c r="I881" t="s">
        <v>23</v>
      </c>
      <c r="J881" t="s">
        <v>12</v>
      </c>
      <c r="K881">
        <v>53</v>
      </c>
      <c r="L881" t="str">
        <f>IF(Table1[[#This Row],[Age]]&lt;30,"20-29",
IF(Table1[[#This Row],[Age]]&lt;40,"30-39",
IF(Table1[[#This Row],[Age]]&lt;50,"40-49",
IF(Table1[[#This Row],[Age]]&lt;60,"50-59","60+"))))</f>
        <v>50-59</v>
      </c>
      <c r="M881" t="s">
        <v>13</v>
      </c>
      <c r="N881" t="s">
        <v>33</v>
      </c>
    </row>
    <row r="882" spans="1:14" x14ac:dyDescent="0.35">
      <c r="A882">
        <v>981</v>
      </c>
      <c r="B882" t="s">
        <v>36</v>
      </c>
      <c r="C882" s="6">
        <v>44249</v>
      </c>
      <c r="D882">
        <f>YEAR(Table1[[#This Row],[Join Date]])</f>
        <v>2021</v>
      </c>
      <c r="E882" s="6" t="s">
        <v>48</v>
      </c>
      <c r="F882" t="str">
        <f>IFERROR(YEAR(Table1[[#This Row],[Exit Date]]), " ")</f>
        <v xml:space="preserve"> </v>
      </c>
      <c r="G882" t="str">
        <f>IFERROR((Table1[[#This Row],[Exit Year]]-Table1[[#This Row],[Join Year]])+1," ")</f>
        <v xml:space="preserve"> </v>
      </c>
      <c r="H882" t="s">
        <v>48</v>
      </c>
      <c r="I882" t="s">
        <v>11</v>
      </c>
      <c r="J882" t="s">
        <v>12</v>
      </c>
      <c r="K882">
        <v>35</v>
      </c>
      <c r="L882" t="str">
        <f>IF(Table1[[#This Row],[Age]]&lt;30,"20-29",
IF(Table1[[#This Row],[Age]]&lt;40,"30-39",
IF(Table1[[#This Row],[Age]]&lt;50,"40-49",
IF(Table1[[#This Row],[Age]]&lt;60,"50-59","60+"))))</f>
        <v>30-39</v>
      </c>
      <c r="M882" t="s">
        <v>16</v>
      </c>
      <c r="N882" t="s">
        <v>35</v>
      </c>
    </row>
    <row r="883" spans="1:14" x14ac:dyDescent="0.35">
      <c r="A883">
        <v>982</v>
      </c>
      <c r="B883" t="s">
        <v>10</v>
      </c>
      <c r="C883" s="6">
        <v>45533</v>
      </c>
      <c r="D883">
        <f>YEAR(Table1[[#This Row],[Join Date]])</f>
        <v>2024</v>
      </c>
      <c r="E883" s="6" t="s">
        <v>48</v>
      </c>
      <c r="F883" t="str">
        <f>IFERROR(YEAR(Table1[[#This Row],[Exit Date]]), " ")</f>
        <v xml:space="preserve"> </v>
      </c>
      <c r="G883" t="str">
        <f>IFERROR((Table1[[#This Row],[Exit Year]]-Table1[[#This Row],[Join Year]])+1," ")</f>
        <v xml:space="preserve"> </v>
      </c>
      <c r="H883" t="s">
        <v>48</v>
      </c>
      <c r="I883" t="s">
        <v>11</v>
      </c>
      <c r="J883" t="s">
        <v>18</v>
      </c>
      <c r="K883">
        <v>32</v>
      </c>
      <c r="L883" t="str">
        <f>IF(Table1[[#This Row],[Age]]&lt;30,"20-29",
IF(Table1[[#This Row],[Age]]&lt;40,"30-39",
IF(Table1[[#This Row],[Age]]&lt;50,"40-49",
IF(Table1[[#This Row],[Age]]&lt;60,"50-59","60+"))))</f>
        <v>30-39</v>
      </c>
      <c r="M883" t="s">
        <v>13</v>
      </c>
      <c r="N883" t="s">
        <v>37</v>
      </c>
    </row>
    <row r="884" spans="1:14" x14ac:dyDescent="0.35">
      <c r="A884">
        <v>983</v>
      </c>
      <c r="B884" t="s">
        <v>36</v>
      </c>
      <c r="C884" s="6">
        <v>44377</v>
      </c>
      <c r="D884">
        <f>YEAR(Table1[[#This Row],[Join Date]])</f>
        <v>2021</v>
      </c>
      <c r="E884" s="6" t="s">
        <v>48</v>
      </c>
      <c r="F884" t="str">
        <f>IFERROR(YEAR(Table1[[#This Row],[Exit Date]]), " ")</f>
        <v xml:space="preserve"> </v>
      </c>
      <c r="G884" t="str">
        <f>IFERROR((Table1[[#This Row],[Exit Year]]-Table1[[#This Row],[Join Year]])+1," ")</f>
        <v xml:space="preserve"> </v>
      </c>
      <c r="H884" t="s">
        <v>48</v>
      </c>
      <c r="I884" t="s">
        <v>11</v>
      </c>
      <c r="J884" t="s">
        <v>18</v>
      </c>
      <c r="K884">
        <v>46</v>
      </c>
      <c r="L884" t="str">
        <f>IF(Table1[[#This Row],[Age]]&lt;30,"20-29",
IF(Table1[[#This Row],[Age]]&lt;40,"30-39",
IF(Table1[[#This Row],[Age]]&lt;50,"40-49",
IF(Table1[[#This Row],[Age]]&lt;60,"50-59","60+"))))</f>
        <v>40-49</v>
      </c>
      <c r="M884" t="s">
        <v>20</v>
      </c>
      <c r="N884" t="s">
        <v>19</v>
      </c>
    </row>
    <row r="885" spans="1:14" x14ac:dyDescent="0.35">
      <c r="A885">
        <v>984</v>
      </c>
      <c r="B885" t="s">
        <v>10</v>
      </c>
      <c r="C885" s="6">
        <v>44088</v>
      </c>
      <c r="D885">
        <f>YEAR(Table1[[#This Row],[Join Date]])</f>
        <v>2020</v>
      </c>
      <c r="E885" s="6" t="s">
        <v>48</v>
      </c>
      <c r="F885" t="str">
        <f>IFERROR(YEAR(Table1[[#This Row],[Exit Date]]), " ")</f>
        <v xml:space="preserve"> </v>
      </c>
      <c r="G885" t="str">
        <f>IFERROR((Table1[[#This Row],[Exit Year]]-Table1[[#This Row],[Join Year]])+1," ")</f>
        <v xml:space="preserve"> </v>
      </c>
      <c r="H885" t="s">
        <v>48</v>
      </c>
      <c r="I885" t="s">
        <v>11</v>
      </c>
      <c r="J885" t="s">
        <v>12</v>
      </c>
      <c r="K885">
        <v>50</v>
      </c>
      <c r="L885" t="str">
        <f>IF(Table1[[#This Row],[Age]]&lt;30,"20-29",
IF(Table1[[#This Row],[Age]]&lt;40,"30-39",
IF(Table1[[#This Row],[Age]]&lt;50,"40-49",
IF(Table1[[#This Row],[Age]]&lt;60,"50-59","60+"))))</f>
        <v>50-59</v>
      </c>
      <c r="M885" t="s">
        <v>39</v>
      </c>
      <c r="N885" t="s">
        <v>25</v>
      </c>
    </row>
    <row r="886" spans="1:14" x14ac:dyDescent="0.35">
      <c r="A886">
        <v>985</v>
      </c>
      <c r="B886" t="s">
        <v>26</v>
      </c>
      <c r="C886" s="6">
        <v>43373</v>
      </c>
      <c r="D886">
        <f>YEAR(Table1[[#This Row],[Join Date]])</f>
        <v>2018</v>
      </c>
      <c r="E886" s="6">
        <v>44825</v>
      </c>
      <c r="F886">
        <f>IFERROR(YEAR(Table1[[#This Row],[Exit Date]]), " ")</f>
        <v>2022</v>
      </c>
      <c r="G886">
        <f>IFERROR((Table1[[#This Row],[Exit Year]]-Table1[[#This Row],[Join Year]])+1," ")</f>
        <v>5</v>
      </c>
      <c r="H886" t="s">
        <v>27</v>
      </c>
      <c r="I886" t="s">
        <v>23</v>
      </c>
      <c r="J886" t="s">
        <v>18</v>
      </c>
      <c r="K886">
        <v>64</v>
      </c>
      <c r="L886" t="str">
        <f>IF(Table1[[#This Row],[Age]]&lt;30,"20-29",
IF(Table1[[#This Row],[Age]]&lt;40,"30-39",
IF(Table1[[#This Row],[Age]]&lt;50,"40-49",
IF(Table1[[#This Row],[Age]]&lt;60,"50-59","60+"))))</f>
        <v>60+</v>
      </c>
      <c r="M886" t="s">
        <v>13</v>
      </c>
      <c r="N886" t="s">
        <v>35</v>
      </c>
    </row>
    <row r="887" spans="1:14" x14ac:dyDescent="0.35">
      <c r="A887">
        <v>986</v>
      </c>
      <c r="B887" t="s">
        <v>26</v>
      </c>
      <c r="C887" s="6">
        <v>43314</v>
      </c>
      <c r="D887">
        <f>YEAR(Table1[[#This Row],[Join Date]])</f>
        <v>2018</v>
      </c>
      <c r="E887" s="6" t="s">
        <v>48</v>
      </c>
      <c r="F887" t="str">
        <f>IFERROR(YEAR(Table1[[#This Row],[Exit Date]]), " ")</f>
        <v xml:space="preserve"> </v>
      </c>
      <c r="G887" t="str">
        <f>IFERROR((Table1[[#This Row],[Exit Year]]-Table1[[#This Row],[Join Year]])+1," ")</f>
        <v xml:space="preserve"> </v>
      </c>
      <c r="H887" t="s">
        <v>48</v>
      </c>
      <c r="I887" t="s">
        <v>11</v>
      </c>
      <c r="J887" t="s">
        <v>12</v>
      </c>
      <c r="K887">
        <v>29</v>
      </c>
      <c r="L887" t="str">
        <f>IF(Table1[[#This Row],[Age]]&lt;30,"20-29",
IF(Table1[[#This Row],[Age]]&lt;40,"30-39",
IF(Table1[[#This Row],[Age]]&lt;50,"40-49",
IF(Table1[[#This Row],[Age]]&lt;60,"50-59","60+"))))</f>
        <v>20-29</v>
      </c>
      <c r="M887" t="s">
        <v>16</v>
      </c>
      <c r="N887" t="s">
        <v>17</v>
      </c>
    </row>
    <row r="888" spans="1:14" x14ac:dyDescent="0.35">
      <c r="A888">
        <v>987</v>
      </c>
      <c r="B888" t="s">
        <v>26</v>
      </c>
      <c r="C888" s="6">
        <v>44418</v>
      </c>
      <c r="D888">
        <f>YEAR(Table1[[#This Row],[Join Date]])</f>
        <v>2021</v>
      </c>
      <c r="E888" s="6">
        <v>45628</v>
      </c>
      <c r="F888">
        <f>IFERROR(YEAR(Table1[[#This Row],[Exit Date]]), " ")</f>
        <v>2024</v>
      </c>
      <c r="G888">
        <f>IFERROR((Table1[[#This Row],[Exit Year]]-Table1[[#This Row],[Join Year]])+1," ")</f>
        <v>4</v>
      </c>
      <c r="H888" t="s">
        <v>22</v>
      </c>
      <c r="I888" t="s">
        <v>23</v>
      </c>
      <c r="J888" t="s">
        <v>12</v>
      </c>
      <c r="K888">
        <v>27</v>
      </c>
      <c r="L888" t="str">
        <f>IF(Table1[[#This Row],[Age]]&lt;30,"20-29",
IF(Table1[[#This Row],[Age]]&lt;40,"30-39",
IF(Table1[[#This Row],[Age]]&lt;50,"40-49",
IF(Table1[[#This Row],[Age]]&lt;60,"50-59","60+"))))</f>
        <v>20-29</v>
      </c>
      <c r="M888" t="s">
        <v>16</v>
      </c>
      <c r="N888" t="s">
        <v>19</v>
      </c>
    </row>
    <row r="889" spans="1:14" x14ac:dyDescent="0.35">
      <c r="A889">
        <v>988</v>
      </c>
      <c r="B889" t="s">
        <v>34</v>
      </c>
      <c r="C889" s="6">
        <v>44324</v>
      </c>
      <c r="D889">
        <f>YEAR(Table1[[#This Row],[Join Date]])</f>
        <v>2021</v>
      </c>
      <c r="E889" s="6">
        <v>45076</v>
      </c>
      <c r="F889">
        <f>IFERROR(YEAR(Table1[[#This Row],[Exit Date]]), " ")</f>
        <v>2023</v>
      </c>
      <c r="G889">
        <f>IFERROR((Table1[[#This Row],[Exit Year]]-Table1[[#This Row],[Join Year]])+1," ")</f>
        <v>3</v>
      </c>
      <c r="H889" t="s">
        <v>40</v>
      </c>
      <c r="I889" t="s">
        <v>23</v>
      </c>
      <c r="J889" t="s">
        <v>12</v>
      </c>
      <c r="K889">
        <v>31</v>
      </c>
      <c r="L889" t="str">
        <f>IF(Table1[[#This Row],[Age]]&lt;30,"20-29",
IF(Table1[[#This Row],[Age]]&lt;40,"30-39",
IF(Table1[[#This Row],[Age]]&lt;50,"40-49",
IF(Table1[[#This Row],[Age]]&lt;60,"50-59","60+"))))</f>
        <v>30-39</v>
      </c>
      <c r="M889" t="s">
        <v>20</v>
      </c>
      <c r="N889" t="s">
        <v>21</v>
      </c>
    </row>
    <row r="890" spans="1:14" x14ac:dyDescent="0.35">
      <c r="A890">
        <v>989</v>
      </c>
      <c r="B890" t="s">
        <v>10</v>
      </c>
      <c r="C890" s="6">
        <v>43513</v>
      </c>
      <c r="D890">
        <f>YEAR(Table1[[#This Row],[Join Date]])</f>
        <v>2019</v>
      </c>
      <c r="E890" s="6">
        <v>44923</v>
      </c>
      <c r="F890">
        <f>IFERROR(YEAR(Table1[[#This Row],[Exit Date]]), " ")</f>
        <v>2022</v>
      </c>
      <c r="G890">
        <f>IFERROR((Table1[[#This Row],[Exit Year]]-Table1[[#This Row],[Join Year]])+1," ")</f>
        <v>4</v>
      </c>
      <c r="H890" t="s">
        <v>46</v>
      </c>
      <c r="I890" t="s">
        <v>23</v>
      </c>
      <c r="J890" t="s">
        <v>18</v>
      </c>
      <c r="K890">
        <v>24</v>
      </c>
      <c r="L890" t="str">
        <f>IF(Table1[[#This Row],[Age]]&lt;30,"20-29",
IF(Table1[[#This Row],[Age]]&lt;40,"30-39",
IF(Table1[[#This Row],[Age]]&lt;50,"40-49",
IF(Table1[[#This Row],[Age]]&lt;60,"50-59","60+"))))</f>
        <v>20-29</v>
      </c>
      <c r="M890" t="s">
        <v>24</v>
      </c>
      <c r="N890" t="s">
        <v>25</v>
      </c>
    </row>
    <row r="891" spans="1:14" x14ac:dyDescent="0.35">
      <c r="A891">
        <v>990</v>
      </c>
      <c r="B891" t="s">
        <v>36</v>
      </c>
      <c r="C891" s="6">
        <v>44180</v>
      </c>
      <c r="D891">
        <f>YEAR(Table1[[#This Row],[Join Date]])</f>
        <v>2020</v>
      </c>
      <c r="E891" s="6" t="s">
        <v>48</v>
      </c>
      <c r="F891" t="str">
        <f>IFERROR(YEAR(Table1[[#This Row],[Exit Date]]), " ")</f>
        <v xml:space="preserve"> </v>
      </c>
      <c r="G891" t="str">
        <f>IFERROR((Table1[[#This Row],[Exit Year]]-Table1[[#This Row],[Join Year]])+1," ")</f>
        <v xml:space="preserve"> </v>
      </c>
      <c r="H891" t="s">
        <v>48</v>
      </c>
      <c r="I891" t="s">
        <v>11</v>
      </c>
      <c r="J891" t="s">
        <v>12</v>
      </c>
      <c r="K891">
        <v>37</v>
      </c>
      <c r="L891" t="str">
        <f>IF(Table1[[#This Row],[Age]]&lt;30,"20-29",
IF(Table1[[#This Row],[Age]]&lt;40,"30-39",
IF(Table1[[#This Row],[Age]]&lt;50,"40-49",
IF(Table1[[#This Row],[Age]]&lt;60,"50-59","60+"))))</f>
        <v>30-39</v>
      </c>
      <c r="M891" t="s">
        <v>13</v>
      </c>
      <c r="N891" t="s">
        <v>35</v>
      </c>
    </row>
    <row r="892" spans="1:14" x14ac:dyDescent="0.35">
      <c r="A892">
        <v>991</v>
      </c>
      <c r="B892" t="s">
        <v>34</v>
      </c>
      <c r="C892" s="6">
        <v>44099</v>
      </c>
      <c r="D892">
        <f>YEAR(Table1[[#This Row],[Join Date]])</f>
        <v>2020</v>
      </c>
      <c r="E892" s="6" t="s">
        <v>48</v>
      </c>
      <c r="F892" t="str">
        <f>IFERROR(YEAR(Table1[[#This Row],[Exit Date]]), " ")</f>
        <v xml:space="preserve"> </v>
      </c>
      <c r="G892" t="str">
        <f>IFERROR((Table1[[#This Row],[Exit Year]]-Table1[[#This Row],[Join Year]])+1," ")</f>
        <v xml:space="preserve"> </v>
      </c>
      <c r="H892" t="s">
        <v>48</v>
      </c>
      <c r="I892" t="s">
        <v>11</v>
      </c>
      <c r="J892" t="s">
        <v>18</v>
      </c>
      <c r="K892">
        <v>23</v>
      </c>
      <c r="L892" t="str">
        <f>IF(Table1[[#This Row],[Age]]&lt;30,"20-29",
IF(Table1[[#This Row],[Age]]&lt;40,"30-39",
IF(Table1[[#This Row],[Age]]&lt;50,"40-49",
IF(Table1[[#This Row],[Age]]&lt;60,"50-59","60+"))))</f>
        <v>20-29</v>
      </c>
      <c r="M892" t="s">
        <v>30</v>
      </c>
      <c r="N892" t="s">
        <v>14</v>
      </c>
    </row>
    <row r="893" spans="1:14" x14ac:dyDescent="0.35">
      <c r="A893">
        <v>992</v>
      </c>
      <c r="B893" t="s">
        <v>34</v>
      </c>
      <c r="C893" s="6">
        <v>45632</v>
      </c>
      <c r="D893">
        <f>YEAR(Table1[[#This Row],[Join Date]])</f>
        <v>2024</v>
      </c>
      <c r="E893" s="6" t="s">
        <v>48</v>
      </c>
      <c r="F893" t="str">
        <f>IFERROR(YEAR(Table1[[#This Row],[Exit Date]]), " ")</f>
        <v xml:space="preserve"> </v>
      </c>
      <c r="G893" t="str">
        <f>IFERROR((Table1[[#This Row],[Exit Year]]-Table1[[#This Row],[Join Year]])+1," ")</f>
        <v xml:space="preserve"> </v>
      </c>
      <c r="H893" t="s">
        <v>48</v>
      </c>
      <c r="I893" t="s">
        <v>11</v>
      </c>
      <c r="J893" t="s">
        <v>12</v>
      </c>
      <c r="K893">
        <v>31</v>
      </c>
      <c r="L893" t="str">
        <f>IF(Table1[[#This Row],[Age]]&lt;30,"20-29",
IF(Table1[[#This Row],[Age]]&lt;40,"30-39",
IF(Table1[[#This Row],[Age]]&lt;50,"40-49",
IF(Table1[[#This Row],[Age]]&lt;60,"50-59","60+"))))</f>
        <v>30-39</v>
      </c>
      <c r="M893" t="s">
        <v>13</v>
      </c>
      <c r="N893" t="s">
        <v>19</v>
      </c>
    </row>
    <row r="894" spans="1:14" x14ac:dyDescent="0.35">
      <c r="A894">
        <v>993</v>
      </c>
      <c r="B894" t="s">
        <v>36</v>
      </c>
      <c r="C894" s="6">
        <v>45294</v>
      </c>
      <c r="D894">
        <f>YEAR(Table1[[#This Row],[Join Date]])</f>
        <v>2024</v>
      </c>
      <c r="E894" s="6" t="s">
        <v>48</v>
      </c>
      <c r="F894" t="str">
        <f>IFERROR(YEAR(Table1[[#This Row],[Exit Date]]), " ")</f>
        <v xml:space="preserve"> </v>
      </c>
      <c r="G894" t="str">
        <f>IFERROR((Table1[[#This Row],[Exit Year]]-Table1[[#This Row],[Join Year]])+1," ")</f>
        <v xml:space="preserve"> </v>
      </c>
      <c r="H894" t="s">
        <v>48</v>
      </c>
      <c r="I894" t="s">
        <v>11</v>
      </c>
      <c r="J894" t="s">
        <v>18</v>
      </c>
      <c r="K894">
        <v>52</v>
      </c>
      <c r="L894" t="str">
        <f>IF(Table1[[#This Row],[Age]]&lt;30,"20-29",
IF(Table1[[#This Row],[Age]]&lt;40,"30-39",
IF(Table1[[#This Row],[Age]]&lt;50,"40-49",
IF(Table1[[#This Row],[Age]]&lt;60,"50-59","60+"))))</f>
        <v>50-59</v>
      </c>
      <c r="M894" t="s">
        <v>13</v>
      </c>
      <c r="N894" t="s">
        <v>21</v>
      </c>
    </row>
    <row r="895" spans="1:14" x14ac:dyDescent="0.35">
      <c r="A895">
        <v>994</v>
      </c>
      <c r="B895" t="s">
        <v>26</v>
      </c>
      <c r="C895" s="6">
        <v>44590</v>
      </c>
      <c r="D895">
        <f>YEAR(Table1[[#This Row],[Join Date]])</f>
        <v>2022</v>
      </c>
      <c r="E895" s="6" t="s">
        <v>48</v>
      </c>
      <c r="F895" t="str">
        <f>IFERROR(YEAR(Table1[[#This Row],[Exit Date]]), " ")</f>
        <v xml:space="preserve"> </v>
      </c>
      <c r="G895" t="str">
        <f>IFERROR((Table1[[#This Row],[Exit Year]]-Table1[[#This Row],[Join Year]])+1," ")</f>
        <v xml:space="preserve"> </v>
      </c>
      <c r="H895" t="s">
        <v>48</v>
      </c>
      <c r="I895" t="s">
        <v>11</v>
      </c>
      <c r="J895" t="s">
        <v>18</v>
      </c>
      <c r="K895">
        <v>25</v>
      </c>
      <c r="L895" t="str">
        <f>IF(Table1[[#This Row],[Age]]&lt;30,"20-29",
IF(Table1[[#This Row],[Age]]&lt;40,"30-39",
IF(Table1[[#This Row],[Age]]&lt;50,"40-49",
IF(Table1[[#This Row],[Age]]&lt;60,"50-59","60+"))))</f>
        <v>20-29</v>
      </c>
      <c r="M895" t="s">
        <v>16</v>
      </c>
      <c r="N895" t="s">
        <v>37</v>
      </c>
    </row>
    <row r="896" spans="1:14" x14ac:dyDescent="0.35">
      <c r="A896">
        <v>995</v>
      </c>
      <c r="B896" t="s">
        <v>15</v>
      </c>
      <c r="C896" s="6">
        <v>45215</v>
      </c>
      <c r="D896">
        <f>YEAR(Table1[[#This Row],[Join Date]])</f>
        <v>2023</v>
      </c>
      <c r="E896" s="6" t="s">
        <v>48</v>
      </c>
      <c r="F896" t="str">
        <f>IFERROR(YEAR(Table1[[#This Row],[Exit Date]]), " ")</f>
        <v xml:space="preserve"> </v>
      </c>
      <c r="G896" t="str">
        <f>IFERROR((Table1[[#This Row],[Exit Year]]-Table1[[#This Row],[Join Year]])+1," ")</f>
        <v xml:space="preserve"> </v>
      </c>
      <c r="H896" t="s">
        <v>48</v>
      </c>
      <c r="I896" t="s">
        <v>11</v>
      </c>
      <c r="J896" t="s">
        <v>12</v>
      </c>
      <c r="K896">
        <v>46</v>
      </c>
      <c r="L896" t="str">
        <f>IF(Table1[[#This Row],[Age]]&lt;30,"20-29",
IF(Table1[[#This Row],[Age]]&lt;40,"30-39",
IF(Table1[[#This Row],[Age]]&lt;50,"40-49",
IF(Table1[[#This Row],[Age]]&lt;60,"50-59","60+"))))</f>
        <v>40-49</v>
      </c>
      <c r="M896" t="s">
        <v>13</v>
      </c>
      <c r="N896" t="s">
        <v>25</v>
      </c>
    </row>
    <row r="897" spans="1:14" x14ac:dyDescent="0.35">
      <c r="A897">
        <v>996</v>
      </c>
      <c r="B897" t="s">
        <v>15</v>
      </c>
      <c r="C897" s="6">
        <v>43624</v>
      </c>
      <c r="D897">
        <f>YEAR(Table1[[#This Row],[Join Date]])</f>
        <v>2019</v>
      </c>
      <c r="E897" s="6">
        <v>44228</v>
      </c>
      <c r="F897">
        <f>IFERROR(YEAR(Table1[[#This Row],[Exit Date]]), " ")</f>
        <v>2021</v>
      </c>
      <c r="G897">
        <f>IFERROR((Table1[[#This Row],[Exit Year]]-Table1[[#This Row],[Join Year]])+1," ")</f>
        <v>3</v>
      </c>
      <c r="H897" t="s">
        <v>41</v>
      </c>
      <c r="I897" t="s">
        <v>23</v>
      </c>
      <c r="J897" t="s">
        <v>18</v>
      </c>
      <c r="K897">
        <v>24</v>
      </c>
      <c r="L897" t="str">
        <f>IF(Table1[[#This Row],[Age]]&lt;30,"20-29",
IF(Table1[[#This Row],[Age]]&lt;40,"30-39",
IF(Table1[[#This Row],[Age]]&lt;50,"40-49",
IF(Table1[[#This Row],[Age]]&lt;60,"50-59","60+"))))</f>
        <v>20-29</v>
      </c>
      <c r="M897" t="s">
        <v>20</v>
      </c>
      <c r="N897" t="s">
        <v>35</v>
      </c>
    </row>
    <row r="898" spans="1:14" x14ac:dyDescent="0.35">
      <c r="A898">
        <v>997</v>
      </c>
      <c r="B898" t="s">
        <v>15</v>
      </c>
      <c r="C898" s="6">
        <v>44514</v>
      </c>
      <c r="D898">
        <f>YEAR(Table1[[#This Row],[Join Date]])</f>
        <v>2021</v>
      </c>
      <c r="E898" s="6">
        <v>45529</v>
      </c>
      <c r="F898">
        <f>IFERROR(YEAR(Table1[[#This Row],[Exit Date]]), " ")</f>
        <v>2024</v>
      </c>
      <c r="G898">
        <f>IFERROR((Table1[[#This Row],[Exit Year]]-Table1[[#This Row],[Join Year]])+1," ")</f>
        <v>4</v>
      </c>
      <c r="H898" t="s">
        <v>41</v>
      </c>
      <c r="I898" t="s">
        <v>23</v>
      </c>
      <c r="J898" t="s">
        <v>18</v>
      </c>
      <c r="K898">
        <v>38</v>
      </c>
      <c r="L898" t="str">
        <f>IF(Table1[[#This Row],[Age]]&lt;30,"20-29",
IF(Table1[[#This Row],[Age]]&lt;40,"30-39",
IF(Table1[[#This Row],[Age]]&lt;50,"40-49",
IF(Table1[[#This Row],[Age]]&lt;60,"50-59","60+"))))</f>
        <v>30-39</v>
      </c>
      <c r="M898" t="s">
        <v>39</v>
      </c>
      <c r="N898" t="s">
        <v>14</v>
      </c>
    </row>
    <row r="899" spans="1:14" x14ac:dyDescent="0.35">
      <c r="A899">
        <v>998</v>
      </c>
      <c r="B899" t="s">
        <v>29</v>
      </c>
      <c r="C899" s="6">
        <v>43700</v>
      </c>
      <c r="D899">
        <f>YEAR(Table1[[#This Row],[Join Date]])</f>
        <v>2019</v>
      </c>
      <c r="E899" s="6" t="s">
        <v>48</v>
      </c>
      <c r="F899" t="str">
        <f>IFERROR(YEAR(Table1[[#This Row],[Exit Date]]), " ")</f>
        <v xml:space="preserve"> </v>
      </c>
      <c r="G899" t="str">
        <f>IFERROR((Table1[[#This Row],[Exit Year]]-Table1[[#This Row],[Join Year]])+1," ")</f>
        <v xml:space="preserve"> </v>
      </c>
      <c r="H899" t="s">
        <v>48</v>
      </c>
      <c r="I899" t="s">
        <v>11</v>
      </c>
      <c r="J899" t="s">
        <v>12</v>
      </c>
      <c r="K899">
        <v>49</v>
      </c>
      <c r="L899" t="str">
        <f>IF(Table1[[#This Row],[Age]]&lt;30,"20-29",
IF(Table1[[#This Row],[Age]]&lt;40,"30-39",
IF(Table1[[#This Row],[Age]]&lt;50,"40-49",
IF(Table1[[#This Row],[Age]]&lt;60,"50-59","60+"))))</f>
        <v>40-49</v>
      </c>
      <c r="M899" t="s">
        <v>13</v>
      </c>
      <c r="N899" t="s">
        <v>17</v>
      </c>
    </row>
    <row r="900" spans="1:14" x14ac:dyDescent="0.35">
      <c r="A900">
        <v>999</v>
      </c>
      <c r="B900" t="s">
        <v>34</v>
      </c>
      <c r="C900" s="6">
        <v>45540</v>
      </c>
      <c r="D900">
        <f>YEAR(Table1[[#This Row],[Join Date]])</f>
        <v>2024</v>
      </c>
      <c r="E900" s="6" t="s">
        <v>48</v>
      </c>
      <c r="F900" t="str">
        <f>IFERROR(YEAR(Table1[[#This Row],[Exit Date]]), " ")</f>
        <v xml:space="preserve"> </v>
      </c>
      <c r="G900" t="str">
        <f>IFERROR((Table1[[#This Row],[Exit Year]]-Table1[[#This Row],[Join Year]])+1," ")</f>
        <v xml:space="preserve"> </v>
      </c>
      <c r="H900" t="s">
        <v>48</v>
      </c>
      <c r="I900" t="s">
        <v>11</v>
      </c>
      <c r="J900" t="s">
        <v>18</v>
      </c>
      <c r="K900">
        <v>31</v>
      </c>
      <c r="L900" t="str">
        <f>IF(Table1[[#This Row],[Age]]&lt;30,"20-29",
IF(Table1[[#This Row],[Age]]&lt;40,"30-39",
IF(Table1[[#This Row],[Age]]&lt;50,"40-49",
IF(Table1[[#This Row],[Age]]&lt;60,"50-59","60+"))))</f>
        <v>30-39</v>
      </c>
      <c r="M900" t="s">
        <v>16</v>
      </c>
      <c r="N900" t="s">
        <v>19</v>
      </c>
    </row>
    <row r="901" spans="1:14" x14ac:dyDescent="0.35">
      <c r="A901">
        <v>1000</v>
      </c>
      <c r="B901" t="s">
        <v>10</v>
      </c>
      <c r="C901" s="6">
        <v>43297</v>
      </c>
      <c r="D901">
        <f>YEAR(Table1[[#This Row],[Join Date]])</f>
        <v>2018</v>
      </c>
      <c r="E901" s="6">
        <v>44682</v>
      </c>
      <c r="F901">
        <f>IFERROR(YEAR(Table1[[#This Row],[Exit Date]]), " ")</f>
        <v>2022</v>
      </c>
      <c r="G901">
        <f>IFERROR((Table1[[#This Row],[Exit Year]]-Table1[[#This Row],[Join Year]])+1," ")</f>
        <v>5</v>
      </c>
      <c r="H901" t="s">
        <v>40</v>
      </c>
      <c r="I901" t="s">
        <v>23</v>
      </c>
      <c r="J901" t="s">
        <v>18</v>
      </c>
      <c r="K901">
        <v>51</v>
      </c>
      <c r="L901" t="str">
        <f>IF(Table1[[#This Row],[Age]]&lt;30,"20-29",
IF(Table1[[#This Row],[Age]]&lt;40,"30-39",
IF(Table1[[#This Row],[Age]]&lt;50,"40-49",
IF(Table1[[#This Row],[Age]]&lt;60,"50-59","60+"))))</f>
        <v>50-59</v>
      </c>
      <c r="M901" t="s">
        <v>16</v>
      </c>
      <c r="N901" t="s">
        <v>21</v>
      </c>
    </row>
    <row r="902" spans="1:14" x14ac:dyDescent="0.35">
      <c r="A902">
        <v>1001</v>
      </c>
      <c r="B902" t="s">
        <v>10</v>
      </c>
      <c r="C902" s="6">
        <v>43407</v>
      </c>
      <c r="D902">
        <f>YEAR(Table1[[#This Row],[Join Date]])</f>
        <v>2018</v>
      </c>
      <c r="E902" s="6" t="s">
        <v>48</v>
      </c>
      <c r="F902" t="str">
        <f>IFERROR(YEAR(Table1[[#This Row],[Exit Date]]), " ")</f>
        <v xml:space="preserve"> </v>
      </c>
      <c r="G902" t="str">
        <f>IFERROR((Table1[[#This Row],[Exit Year]]-Table1[[#This Row],[Join Year]])+1," ")</f>
        <v xml:space="preserve"> </v>
      </c>
      <c r="H902" t="s">
        <v>48</v>
      </c>
      <c r="I902" t="s">
        <v>11</v>
      </c>
      <c r="J902" t="s">
        <v>12</v>
      </c>
      <c r="K902">
        <v>27</v>
      </c>
      <c r="L902" t="str">
        <f>IF(Table1[[#This Row],[Age]]&lt;30,"20-29",
IF(Table1[[#This Row],[Age]]&lt;40,"30-39",
IF(Table1[[#This Row],[Age]]&lt;50,"40-49",
IF(Table1[[#This Row],[Age]]&lt;60,"50-59","60+"))))</f>
        <v>20-29</v>
      </c>
      <c r="M902" t="s">
        <v>20</v>
      </c>
      <c r="N902" t="s">
        <v>25</v>
      </c>
    </row>
    <row r="903" spans="1:14" x14ac:dyDescent="0.35">
      <c r="A903">
        <v>1002</v>
      </c>
      <c r="B903" t="s">
        <v>15</v>
      </c>
      <c r="C903" s="6">
        <v>44121</v>
      </c>
      <c r="D903">
        <f>YEAR(Table1[[#This Row],[Join Date]])</f>
        <v>2020</v>
      </c>
      <c r="E903" s="6" t="s">
        <v>48</v>
      </c>
      <c r="F903" t="str">
        <f>IFERROR(YEAR(Table1[[#This Row],[Exit Date]]), " ")</f>
        <v xml:space="preserve"> </v>
      </c>
      <c r="G903" t="str">
        <f>IFERROR((Table1[[#This Row],[Exit Year]]-Table1[[#This Row],[Join Year]])+1," ")</f>
        <v xml:space="preserve"> </v>
      </c>
      <c r="H903" t="s">
        <v>48</v>
      </c>
      <c r="I903" t="s">
        <v>11</v>
      </c>
      <c r="J903" t="s">
        <v>18</v>
      </c>
      <c r="K903">
        <v>22</v>
      </c>
      <c r="L903" t="str">
        <f>IF(Table1[[#This Row],[Age]]&lt;30,"20-29",
IF(Table1[[#This Row],[Age]]&lt;40,"30-39",
IF(Table1[[#This Row],[Age]]&lt;50,"40-49",
IF(Table1[[#This Row],[Age]]&lt;60,"50-59","60+"))))</f>
        <v>20-29</v>
      </c>
      <c r="M903" t="s">
        <v>24</v>
      </c>
      <c r="N903" t="s">
        <v>28</v>
      </c>
    </row>
    <row r="904" spans="1:14" x14ac:dyDescent="0.35">
      <c r="A904">
        <v>1003</v>
      </c>
      <c r="B904" t="s">
        <v>15</v>
      </c>
      <c r="C904" s="6">
        <v>44423</v>
      </c>
      <c r="D904">
        <f>YEAR(Table1[[#This Row],[Join Date]])</f>
        <v>2021</v>
      </c>
      <c r="E904" s="6" t="s">
        <v>48</v>
      </c>
      <c r="F904" t="str">
        <f>IFERROR(YEAR(Table1[[#This Row],[Exit Date]]), " ")</f>
        <v xml:space="preserve"> </v>
      </c>
      <c r="G904" t="str">
        <f>IFERROR((Table1[[#This Row],[Exit Year]]-Table1[[#This Row],[Join Year]])+1," ")</f>
        <v xml:space="preserve"> </v>
      </c>
      <c r="H904" t="s">
        <v>48</v>
      </c>
      <c r="I904" t="s">
        <v>11</v>
      </c>
      <c r="J904" t="s">
        <v>12</v>
      </c>
      <c r="K904">
        <v>50</v>
      </c>
      <c r="L904" t="str">
        <f>IF(Table1[[#This Row],[Age]]&lt;30,"20-29",
IF(Table1[[#This Row],[Age]]&lt;40,"30-39",
IF(Table1[[#This Row],[Age]]&lt;50,"40-49",
IF(Table1[[#This Row],[Age]]&lt;60,"50-59","60+"))))</f>
        <v>50-59</v>
      </c>
      <c r="M904" t="s">
        <v>13</v>
      </c>
      <c r="N904" t="s">
        <v>31</v>
      </c>
    </row>
    <row r="905" spans="1:14" x14ac:dyDescent="0.35">
      <c r="A905">
        <v>1004</v>
      </c>
      <c r="B905" t="s">
        <v>15</v>
      </c>
      <c r="C905" s="6">
        <v>45087</v>
      </c>
      <c r="D905">
        <f>YEAR(Table1[[#This Row],[Join Date]])</f>
        <v>2023</v>
      </c>
      <c r="E905" s="6" t="s">
        <v>48</v>
      </c>
      <c r="F905" t="str">
        <f>IFERROR(YEAR(Table1[[#This Row],[Exit Date]]), " ")</f>
        <v xml:space="preserve"> </v>
      </c>
      <c r="G905" t="str">
        <f>IFERROR((Table1[[#This Row],[Exit Year]]-Table1[[#This Row],[Join Year]])+1," ")</f>
        <v xml:space="preserve"> </v>
      </c>
      <c r="H905" t="s">
        <v>48</v>
      </c>
      <c r="I905" t="s">
        <v>11</v>
      </c>
      <c r="J905" t="s">
        <v>12</v>
      </c>
      <c r="K905">
        <v>24</v>
      </c>
      <c r="L905" t="str">
        <f>IF(Table1[[#This Row],[Age]]&lt;30,"20-29",
IF(Table1[[#This Row],[Age]]&lt;40,"30-39",
IF(Table1[[#This Row],[Age]]&lt;50,"40-49",
IF(Table1[[#This Row],[Age]]&lt;60,"50-59","60+"))))</f>
        <v>20-29</v>
      </c>
      <c r="M905" t="s">
        <v>30</v>
      </c>
      <c r="N905" t="s">
        <v>32</v>
      </c>
    </row>
    <row r="906" spans="1:14" x14ac:dyDescent="0.35">
      <c r="A906">
        <v>1005</v>
      </c>
      <c r="B906" t="s">
        <v>15</v>
      </c>
      <c r="C906" s="6">
        <v>43479</v>
      </c>
      <c r="D906">
        <f>YEAR(Table1[[#This Row],[Join Date]])</f>
        <v>2019</v>
      </c>
      <c r="E906" s="6">
        <v>44449</v>
      </c>
      <c r="F906">
        <f>IFERROR(YEAR(Table1[[#This Row],[Exit Date]]), " ")</f>
        <v>2021</v>
      </c>
      <c r="G906">
        <f>IFERROR((Table1[[#This Row],[Exit Year]]-Table1[[#This Row],[Join Year]])+1," ")</f>
        <v>3</v>
      </c>
      <c r="H906" t="s">
        <v>46</v>
      </c>
      <c r="I906" t="s">
        <v>23</v>
      </c>
      <c r="J906" t="s">
        <v>12</v>
      </c>
      <c r="K906">
        <v>50</v>
      </c>
      <c r="L906" t="str">
        <f>IF(Table1[[#This Row],[Age]]&lt;30,"20-29",
IF(Table1[[#This Row],[Age]]&lt;40,"30-39",
IF(Table1[[#This Row],[Age]]&lt;50,"40-49",
IF(Table1[[#This Row],[Age]]&lt;60,"50-59","60+"))))</f>
        <v>50-59</v>
      </c>
      <c r="M906" t="s">
        <v>13</v>
      </c>
      <c r="N906" t="s">
        <v>33</v>
      </c>
    </row>
    <row r="907" spans="1:14" x14ac:dyDescent="0.35">
      <c r="A907">
        <v>1006</v>
      </c>
      <c r="B907" t="s">
        <v>26</v>
      </c>
      <c r="C907" s="6">
        <v>44749</v>
      </c>
      <c r="D907">
        <f>YEAR(Table1[[#This Row],[Join Date]])</f>
        <v>2022</v>
      </c>
      <c r="E907" s="6">
        <v>44972</v>
      </c>
      <c r="F907">
        <f>IFERROR(YEAR(Table1[[#This Row],[Exit Date]]), " ")</f>
        <v>2023</v>
      </c>
      <c r="G907">
        <f>IFERROR((Table1[[#This Row],[Exit Year]]-Table1[[#This Row],[Join Year]])+1," ")</f>
        <v>2</v>
      </c>
      <c r="H907" t="s">
        <v>46</v>
      </c>
      <c r="I907" t="s">
        <v>23</v>
      </c>
      <c r="J907" t="s">
        <v>18</v>
      </c>
      <c r="K907">
        <v>28</v>
      </c>
      <c r="L907" t="str">
        <f>IF(Table1[[#This Row],[Age]]&lt;30,"20-29",
IF(Table1[[#This Row],[Age]]&lt;40,"30-39",
IF(Table1[[#This Row],[Age]]&lt;50,"40-49",
IF(Table1[[#This Row],[Age]]&lt;60,"50-59","60+"))))</f>
        <v>20-29</v>
      </c>
      <c r="M907" t="s">
        <v>13</v>
      </c>
      <c r="N907" t="s">
        <v>35</v>
      </c>
    </row>
    <row r="908" spans="1:14" x14ac:dyDescent="0.35">
      <c r="A908">
        <v>1007</v>
      </c>
      <c r="B908" t="s">
        <v>29</v>
      </c>
      <c r="C908" s="6">
        <v>45457</v>
      </c>
      <c r="D908">
        <f>YEAR(Table1[[#This Row],[Join Date]])</f>
        <v>2024</v>
      </c>
      <c r="E908" s="6" t="s">
        <v>48</v>
      </c>
      <c r="F908" t="str">
        <f>IFERROR(YEAR(Table1[[#This Row],[Exit Date]]), " ")</f>
        <v xml:space="preserve"> </v>
      </c>
      <c r="G908" t="str">
        <f>IFERROR((Table1[[#This Row],[Exit Year]]-Table1[[#This Row],[Join Year]])+1," ")</f>
        <v xml:space="preserve"> </v>
      </c>
      <c r="H908" t="s">
        <v>48</v>
      </c>
      <c r="I908" t="s">
        <v>11</v>
      </c>
      <c r="J908" t="s">
        <v>12</v>
      </c>
      <c r="K908">
        <v>40</v>
      </c>
      <c r="L908" t="str">
        <f>IF(Table1[[#This Row],[Age]]&lt;30,"20-29",
IF(Table1[[#This Row],[Age]]&lt;40,"30-39",
IF(Table1[[#This Row],[Age]]&lt;50,"40-49",
IF(Table1[[#This Row],[Age]]&lt;60,"50-59","60+"))))</f>
        <v>40-49</v>
      </c>
      <c r="M908" t="s">
        <v>16</v>
      </c>
      <c r="N908" t="s">
        <v>37</v>
      </c>
    </row>
    <row r="909" spans="1:14" x14ac:dyDescent="0.35">
      <c r="A909">
        <v>1008</v>
      </c>
      <c r="B909" t="s">
        <v>10</v>
      </c>
      <c r="C909" s="6">
        <v>43304</v>
      </c>
      <c r="D909">
        <f>YEAR(Table1[[#This Row],[Join Date]])</f>
        <v>2018</v>
      </c>
      <c r="E909" s="6" t="s">
        <v>48</v>
      </c>
      <c r="F909" t="str">
        <f>IFERROR(YEAR(Table1[[#This Row],[Exit Date]]), " ")</f>
        <v xml:space="preserve"> </v>
      </c>
      <c r="G909" t="str">
        <f>IFERROR((Table1[[#This Row],[Exit Year]]-Table1[[#This Row],[Join Year]])+1," ")</f>
        <v xml:space="preserve"> </v>
      </c>
      <c r="H909" t="s">
        <v>48</v>
      </c>
      <c r="I909" t="s">
        <v>11</v>
      </c>
      <c r="J909" t="s">
        <v>18</v>
      </c>
      <c r="K909">
        <v>32</v>
      </c>
      <c r="L909" t="str">
        <f>IF(Table1[[#This Row],[Age]]&lt;30,"20-29",
IF(Table1[[#This Row],[Age]]&lt;40,"30-39",
IF(Table1[[#This Row],[Age]]&lt;50,"40-49",
IF(Table1[[#This Row],[Age]]&lt;60,"50-59","60+"))))</f>
        <v>30-39</v>
      </c>
      <c r="M909" t="s">
        <v>13</v>
      </c>
      <c r="N909" t="s">
        <v>19</v>
      </c>
    </row>
    <row r="910" spans="1:14" x14ac:dyDescent="0.35">
      <c r="A910">
        <v>1009</v>
      </c>
      <c r="B910" t="s">
        <v>15</v>
      </c>
      <c r="C910" s="6">
        <v>44987</v>
      </c>
      <c r="D910">
        <f>YEAR(Table1[[#This Row],[Join Date]])</f>
        <v>2023</v>
      </c>
      <c r="E910" s="6" t="s">
        <v>48</v>
      </c>
      <c r="F910" t="str">
        <f>IFERROR(YEAR(Table1[[#This Row],[Exit Date]]), " ")</f>
        <v xml:space="preserve"> </v>
      </c>
      <c r="G910" t="str">
        <f>IFERROR((Table1[[#This Row],[Exit Year]]-Table1[[#This Row],[Join Year]])+1," ")</f>
        <v xml:space="preserve"> </v>
      </c>
      <c r="H910" t="s">
        <v>48</v>
      </c>
      <c r="I910" t="s">
        <v>11</v>
      </c>
      <c r="J910" t="s">
        <v>12</v>
      </c>
      <c r="K910">
        <v>50</v>
      </c>
      <c r="L910" t="str">
        <f>IF(Table1[[#This Row],[Age]]&lt;30,"20-29",
IF(Table1[[#This Row],[Age]]&lt;40,"30-39",
IF(Table1[[#This Row],[Age]]&lt;50,"40-49",
IF(Table1[[#This Row],[Age]]&lt;60,"50-59","60+"))))</f>
        <v>50-59</v>
      </c>
      <c r="M910" t="s">
        <v>20</v>
      </c>
      <c r="N910" t="s">
        <v>25</v>
      </c>
    </row>
    <row r="911" spans="1:14" x14ac:dyDescent="0.35">
      <c r="A911">
        <v>1010</v>
      </c>
      <c r="B911" t="s">
        <v>34</v>
      </c>
      <c r="C911" s="6">
        <v>45326</v>
      </c>
      <c r="D911">
        <f>YEAR(Table1[[#This Row],[Join Date]])</f>
        <v>2024</v>
      </c>
      <c r="E911" s="6" t="s">
        <v>48</v>
      </c>
      <c r="F911" t="str">
        <f>IFERROR(YEAR(Table1[[#This Row],[Exit Date]]), " ")</f>
        <v xml:space="preserve"> </v>
      </c>
      <c r="G911" t="str">
        <f>IFERROR((Table1[[#This Row],[Exit Year]]-Table1[[#This Row],[Join Year]])+1," ")</f>
        <v xml:space="preserve"> </v>
      </c>
      <c r="H911" t="s">
        <v>48</v>
      </c>
      <c r="I911" t="s">
        <v>11</v>
      </c>
      <c r="J911" t="s">
        <v>18</v>
      </c>
      <c r="K911">
        <v>24</v>
      </c>
      <c r="L911" t="str">
        <f>IF(Table1[[#This Row],[Age]]&lt;30,"20-29",
IF(Table1[[#This Row],[Age]]&lt;40,"30-39",
IF(Table1[[#This Row],[Age]]&lt;50,"40-49",
IF(Table1[[#This Row],[Age]]&lt;60,"50-59","60+"))))</f>
        <v>20-29</v>
      </c>
      <c r="M911" t="s">
        <v>44</v>
      </c>
      <c r="N911" t="s">
        <v>35</v>
      </c>
    </row>
    <row r="912" spans="1:14" x14ac:dyDescent="0.35">
      <c r="A912">
        <v>1011</v>
      </c>
      <c r="B912" t="s">
        <v>36</v>
      </c>
      <c r="C912" s="6">
        <v>45474</v>
      </c>
      <c r="D912">
        <f>YEAR(Table1[[#This Row],[Join Date]])</f>
        <v>2024</v>
      </c>
      <c r="E912" s="6" t="s">
        <v>48</v>
      </c>
      <c r="F912" t="str">
        <f>IFERROR(YEAR(Table1[[#This Row],[Exit Date]]), " ")</f>
        <v xml:space="preserve"> </v>
      </c>
      <c r="G912" t="str">
        <f>IFERROR((Table1[[#This Row],[Exit Year]]-Table1[[#This Row],[Join Year]])+1," ")</f>
        <v xml:space="preserve"> </v>
      </c>
      <c r="H912" t="s">
        <v>48</v>
      </c>
      <c r="I912" t="s">
        <v>11</v>
      </c>
      <c r="J912" t="s">
        <v>18</v>
      </c>
      <c r="K912">
        <v>36</v>
      </c>
      <c r="L912" t="str">
        <f>IF(Table1[[#This Row],[Age]]&lt;30,"20-29",
IF(Table1[[#This Row],[Age]]&lt;40,"30-39",
IF(Table1[[#This Row],[Age]]&lt;50,"40-49",
IF(Table1[[#This Row],[Age]]&lt;60,"50-59","60+"))))</f>
        <v>30-39</v>
      </c>
      <c r="M912" t="s">
        <v>13</v>
      </c>
      <c r="N912" t="s">
        <v>17</v>
      </c>
    </row>
    <row r="913" spans="1:14" x14ac:dyDescent="0.35">
      <c r="A913">
        <v>1012</v>
      </c>
      <c r="B913" t="s">
        <v>29</v>
      </c>
      <c r="C913" s="6">
        <v>44227</v>
      </c>
      <c r="D913">
        <f>YEAR(Table1[[#This Row],[Join Date]])</f>
        <v>2021</v>
      </c>
      <c r="E913" s="6">
        <v>45322</v>
      </c>
      <c r="F913">
        <f>IFERROR(YEAR(Table1[[#This Row],[Exit Date]]), " ")</f>
        <v>2024</v>
      </c>
      <c r="G913">
        <f>IFERROR((Table1[[#This Row],[Exit Year]]-Table1[[#This Row],[Join Year]])+1," ")</f>
        <v>4</v>
      </c>
      <c r="H913" t="s">
        <v>46</v>
      </c>
      <c r="I913" t="s">
        <v>23</v>
      </c>
      <c r="J913" t="s">
        <v>12</v>
      </c>
      <c r="K913">
        <v>49</v>
      </c>
      <c r="L913" t="str">
        <f>IF(Table1[[#This Row],[Age]]&lt;30,"20-29",
IF(Table1[[#This Row],[Age]]&lt;40,"30-39",
IF(Table1[[#This Row],[Age]]&lt;50,"40-49",
IF(Table1[[#This Row],[Age]]&lt;60,"50-59","60+"))))</f>
        <v>40-49</v>
      </c>
      <c r="M913" t="s">
        <v>16</v>
      </c>
      <c r="N913" t="s">
        <v>19</v>
      </c>
    </row>
    <row r="914" spans="1:14" x14ac:dyDescent="0.35">
      <c r="A914">
        <v>1013</v>
      </c>
      <c r="B914" t="s">
        <v>10</v>
      </c>
      <c r="C914" s="6">
        <v>43446</v>
      </c>
      <c r="D914">
        <f>YEAR(Table1[[#This Row],[Join Date]])</f>
        <v>2018</v>
      </c>
      <c r="E914" s="6">
        <v>43936</v>
      </c>
      <c r="F914">
        <f>IFERROR(YEAR(Table1[[#This Row],[Exit Date]]), " ")</f>
        <v>2020</v>
      </c>
      <c r="G914">
        <f>IFERROR((Table1[[#This Row],[Exit Year]]-Table1[[#This Row],[Join Year]])+1," ")</f>
        <v>3</v>
      </c>
      <c r="H914" t="s">
        <v>38</v>
      </c>
      <c r="I914" t="s">
        <v>23</v>
      </c>
      <c r="J914" t="s">
        <v>18</v>
      </c>
      <c r="K914">
        <v>43</v>
      </c>
      <c r="L914" t="str">
        <f>IF(Table1[[#This Row],[Age]]&lt;30,"20-29",
IF(Table1[[#This Row],[Age]]&lt;40,"30-39",
IF(Table1[[#This Row],[Age]]&lt;50,"40-49",
IF(Table1[[#This Row],[Age]]&lt;60,"50-59","60+"))))</f>
        <v>40-49</v>
      </c>
      <c r="M914" t="s">
        <v>16</v>
      </c>
      <c r="N914" t="s">
        <v>21</v>
      </c>
    </row>
    <row r="915" spans="1:14" x14ac:dyDescent="0.35">
      <c r="A915">
        <v>1014</v>
      </c>
      <c r="B915" t="s">
        <v>15</v>
      </c>
      <c r="C915" s="6">
        <v>45314</v>
      </c>
      <c r="D915">
        <f>YEAR(Table1[[#This Row],[Join Date]])</f>
        <v>2024</v>
      </c>
      <c r="E915" s="6" t="s">
        <v>48</v>
      </c>
      <c r="F915" t="str">
        <f>IFERROR(YEAR(Table1[[#This Row],[Exit Date]]), " ")</f>
        <v xml:space="preserve"> </v>
      </c>
      <c r="G915" t="str">
        <f>IFERROR((Table1[[#This Row],[Exit Year]]-Table1[[#This Row],[Join Year]])+1," ")</f>
        <v xml:space="preserve"> </v>
      </c>
      <c r="H915" t="s">
        <v>48</v>
      </c>
      <c r="I915" t="s">
        <v>11</v>
      </c>
      <c r="J915" t="s">
        <v>18</v>
      </c>
      <c r="K915">
        <v>40</v>
      </c>
      <c r="L915" t="str">
        <f>IF(Table1[[#This Row],[Age]]&lt;30,"20-29",
IF(Table1[[#This Row],[Age]]&lt;40,"30-39",
IF(Table1[[#This Row],[Age]]&lt;50,"40-49",
IF(Table1[[#This Row],[Age]]&lt;60,"50-59","60+"))))</f>
        <v>40-49</v>
      </c>
      <c r="M915" t="s">
        <v>20</v>
      </c>
      <c r="N915" t="s">
        <v>25</v>
      </c>
    </row>
    <row r="916" spans="1:14" x14ac:dyDescent="0.35">
      <c r="A916">
        <v>1015</v>
      </c>
      <c r="B916" t="s">
        <v>15</v>
      </c>
      <c r="C916" s="6">
        <v>43123</v>
      </c>
      <c r="D916">
        <f>YEAR(Table1[[#This Row],[Join Date]])</f>
        <v>2018</v>
      </c>
      <c r="E916" s="6" t="s">
        <v>48</v>
      </c>
      <c r="F916" t="str">
        <f>IFERROR(YEAR(Table1[[#This Row],[Exit Date]]), " ")</f>
        <v xml:space="preserve"> </v>
      </c>
      <c r="G916" t="str">
        <f>IFERROR((Table1[[#This Row],[Exit Year]]-Table1[[#This Row],[Join Year]])+1," ")</f>
        <v xml:space="preserve"> </v>
      </c>
      <c r="H916" t="s">
        <v>48</v>
      </c>
      <c r="I916" t="s">
        <v>11</v>
      </c>
      <c r="J916" t="s">
        <v>12</v>
      </c>
      <c r="K916">
        <v>42</v>
      </c>
      <c r="L916" t="str">
        <f>IF(Table1[[#This Row],[Age]]&lt;30,"20-29",
IF(Table1[[#This Row],[Age]]&lt;40,"30-39",
IF(Table1[[#This Row],[Age]]&lt;50,"40-49",
IF(Table1[[#This Row],[Age]]&lt;60,"50-59","60+"))))</f>
        <v>40-49</v>
      </c>
      <c r="M916" t="s">
        <v>24</v>
      </c>
      <c r="N916" t="s">
        <v>35</v>
      </c>
    </row>
    <row r="917" spans="1:14" x14ac:dyDescent="0.35">
      <c r="A917">
        <v>1016</v>
      </c>
      <c r="B917" t="s">
        <v>10</v>
      </c>
      <c r="C917" s="6">
        <v>43717</v>
      </c>
      <c r="D917">
        <f>YEAR(Table1[[#This Row],[Join Date]])</f>
        <v>2019</v>
      </c>
      <c r="E917" s="6">
        <v>44677</v>
      </c>
      <c r="F917">
        <f>IFERROR(YEAR(Table1[[#This Row],[Exit Date]]), " ")</f>
        <v>2022</v>
      </c>
      <c r="G917">
        <f>IFERROR((Table1[[#This Row],[Exit Year]]-Table1[[#This Row],[Join Year]])+1," ")</f>
        <v>4</v>
      </c>
      <c r="H917" t="s">
        <v>40</v>
      </c>
      <c r="I917" t="s">
        <v>23</v>
      </c>
      <c r="J917" t="s">
        <v>18</v>
      </c>
      <c r="K917">
        <v>35</v>
      </c>
      <c r="L917" t="str">
        <f>IF(Table1[[#This Row],[Age]]&lt;30,"20-29",
IF(Table1[[#This Row],[Age]]&lt;40,"30-39",
IF(Table1[[#This Row],[Age]]&lt;50,"40-49",
IF(Table1[[#This Row],[Age]]&lt;60,"50-59","60+"))))</f>
        <v>30-39</v>
      </c>
      <c r="M917" t="s">
        <v>13</v>
      </c>
      <c r="N917" t="s">
        <v>14</v>
      </c>
    </row>
    <row r="918" spans="1:14" x14ac:dyDescent="0.35">
      <c r="A918">
        <v>1017</v>
      </c>
      <c r="B918" t="s">
        <v>29</v>
      </c>
      <c r="C918" s="6">
        <v>43534</v>
      </c>
      <c r="D918">
        <f>YEAR(Table1[[#This Row],[Join Date]])</f>
        <v>2019</v>
      </c>
      <c r="E918" s="6">
        <v>44117</v>
      </c>
      <c r="F918">
        <f>IFERROR(YEAR(Table1[[#This Row],[Exit Date]]), " ")</f>
        <v>2020</v>
      </c>
      <c r="G918">
        <f>IFERROR((Table1[[#This Row],[Exit Year]]-Table1[[#This Row],[Join Year]])+1," ")</f>
        <v>2</v>
      </c>
      <c r="H918" t="s">
        <v>38</v>
      </c>
      <c r="I918" t="s">
        <v>23</v>
      </c>
      <c r="J918" t="s">
        <v>18</v>
      </c>
      <c r="K918">
        <v>31</v>
      </c>
      <c r="L918" t="str">
        <f>IF(Table1[[#This Row],[Age]]&lt;30,"20-29",
IF(Table1[[#This Row],[Age]]&lt;40,"30-39",
IF(Table1[[#This Row],[Age]]&lt;50,"40-49",
IF(Table1[[#This Row],[Age]]&lt;60,"50-59","60+"))))</f>
        <v>30-39</v>
      </c>
      <c r="M918" t="s">
        <v>44</v>
      </c>
      <c r="N918" t="s">
        <v>19</v>
      </c>
    </row>
    <row r="919" spans="1:14" x14ac:dyDescent="0.35">
      <c r="A919">
        <v>1018</v>
      </c>
      <c r="B919" t="s">
        <v>36</v>
      </c>
      <c r="C919" s="6">
        <v>44619</v>
      </c>
      <c r="D919">
        <f>YEAR(Table1[[#This Row],[Join Date]])</f>
        <v>2022</v>
      </c>
      <c r="E919" s="6" t="s">
        <v>48</v>
      </c>
      <c r="F919" t="str">
        <f>IFERROR(YEAR(Table1[[#This Row],[Exit Date]]), " ")</f>
        <v xml:space="preserve"> </v>
      </c>
      <c r="G919" t="str">
        <f>IFERROR((Table1[[#This Row],[Exit Year]]-Table1[[#This Row],[Join Year]])+1," ")</f>
        <v xml:space="preserve"> </v>
      </c>
      <c r="H919" t="s">
        <v>48</v>
      </c>
      <c r="I919" t="s">
        <v>11</v>
      </c>
      <c r="J919" t="s">
        <v>18</v>
      </c>
      <c r="K919">
        <v>51</v>
      </c>
      <c r="L919" t="str">
        <f>IF(Table1[[#This Row],[Age]]&lt;30,"20-29",
IF(Table1[[#This Row],[Age]]&lt;40,"30-39",
IF(Table1[[#This Row],[Age]]&lt;50,"40-49",
IF(Table1[[#This Row],[Age]]&lt;60,"50-59","60+"))))</f>
        <v>50-59</v>
      </c>
      <c r="M919" t="s">
        <v>13</v>
      </c>
      <c r="N919" t="s">
        <v>21</v>
      </c>
    </row>
    <row r="920" spans="1:14" x14ac:dyDescent="0.35">
      <c r="A920">
        <v>1019</v>
      </c>
      <c r="B920" t="s">
        <v>10</v>
      </c>
      <c r="C920" s="6">
        <v>45485</v>
      </c>
      <c r="D920">
        <f>YEAR(Table1[[#This Row],[Join Date]])</f>
        <v>2024</v>
      </c>
      <c r="E920" s="6" t="s">
        <v>48</v>
      </c>
      <c r="F920" t="str">
        <f>IFERROR(YEAR(Table1[[#This Row],[Exit Date]]), " ")</f>
        <v xml:space="preserve"> </v>
      </c>
      <c r="G920" t="str">
        <f>IFERROR((Table1[[#This Row],[Exit Year]]-Table1[[#This Row],[Join Year]])+1," ")</f>
        <v xml:space="preserve"> </v>
      </c>
      <c r="H920" t="s">
        <v>48</v>
      </c>
      <c r="I920" t="s">
        <v>11</v>
      </c>
      <c r="J920" t="s">
        <v>12</v>
      </c>
      <c r="K920">
        <v>48</v>
      </c>
      <c r="L920" t="str">
        <f>IF(Table1[[#This Row],[Age]]&lt;30,"20-29",
IF(Table1[[#This Row],[Age]]&lt;40,"30-39",
IF(Table1[[#This Row],[Age]]&lt;50,"40-49",
IF(Table1[[#This Row],[Age]]&lt;60,"50-59","60+"))))</f>
        <v>40-49</v>
      </c>
      <c r="M920" t="s">
        <v>13</v>
      </c>
      <c r="N920" t="s">
        <v>37</v>
      </c>
    </row>
    <row r="921" spans="1:14" x14ac:dyDescent="0.35">
      <c r="A921">
        <v>1020</v>
      </c>
      <c r="B921" t="s">
        <v>29</v>
      </c>
      <c r="C921" s="6">
        <v>43588</v>
      </c>
      <c r="D921">
        <f>YEAR(Table1[[#This Row],[Join Date]])</f>
        <v>2019</v>
      </c>
      <c r="E921" s="6">
        <v>44896</v>
      </c>
      <c r="F921">
        <f>IFERROR(YEAR(Table1[[#This Row],[Exit Date]]), " ")</f>
        <v>2022</v>
      </c>
      <c r="G921">
        <f>IFERROR((Table1[[#This Row],[Exit Year]]-Table1[[#This Row],[Join Year]])+1," ")</f>
        <v>4</v>
      </c>
      <c r="H921" t="s">
        <v>41</v>
      </c>
      <c r="I921" t="s">
        <v>23</v>
      </c>
      <c r="J921" t="s">
        <v>18</v>
      </c>
      <c r="K921">
        <v>41</v>
      </c>
      <c r="L921" t="str">
        <f>IF(Table1[[#This Row],[Age]]&lt;30,"20-29",
IF(Table1[[#This Row],[Age]]&lt;40,"30-39",
IF(Table1[[#This Row],[Age]]&lt;50,"40-49",
IF(Table1[[#This Row],[Age]]&lt;60,"50-59","60+"))))</f>
        <v>40-49</v>
      </c>
      <c r="M921" t="s">
        <v>16</v>
      </c>
      <c r="N921" t="s">
        <v>25</v>
      </c>
    </row>
    <row r="922" spans="1:14" x14ac:dyDescent="0.35">
      <c r="A922">
        <v>1021</v>
      </c>
      <c r="B922" t="s">
        <v>36</v>
      </c>
      <c r="C922" s="6">
        <v>44250</v>
      </c>
      <c r="D922">
        <f>YEAR(Table1[[#This Row],[Join Date]])</f>
        <v>2021</v>
      </c>
      <c r="E922" s="6">
        <v>45392</v>
      </c>
      <c r="F922">
        <f>IFERROR(YEAR(Table1[[#This Row],[Exit Date]]), " ")</f>
        <v>2024</v>
      </c>
      <c r="G922">
        <f>IFERROR((Table1[[#This Row],[Exit Year]]-Table1[[#This Row],[Join Year]])+1," ")</f>
        <v>4</v>
      </c>
      <c r="H922" t="s">
        <v>46</v>
      </c>
      <c r="I922" t="s">
        <v>23</v>
      </c>
      <c r="J922" t="s">
        <v>12</v>
      </c>
      <c r="K922">
        <v>35</v>
      </c>
      <c r="L922" t="str">
        <f>IF(Table1[[#This Row],[Age]]&lt;30,"20-29",
IF(Table1[[#This Row],[Age]]&lt;40,"30-39",
IF(Table1[[#This Row],[Age]]&lt;50,"40-49",
IF(Table1[[#This Row],[Age]]&lt;60,"50-59","60+"))))</f>
        <v>30-39</v>
      </c>
      <c r="M922" t="s">
        <v>13</v>
      </c>
      <c r="N922" t="s">
        <v>35</v>
      </c>
    </row>
    <row r="923" spans="1:14" x14ac:dyDescent="0.35">
      <c r="A923">
        <v>1022</v>
      </c>
      <c r="B923" t="s">
        <v>26</v>
      </c>
      <c r="C923" s="6">
        <v>45244</v>
      </c>
      <c r="D923">
        <f>YEAR(Table1[[#This Row],[Join Date]])</f>
        <v>2023</v>
      </c>
      <c r="E923" s="6">
        <v>45446</v>
      </c>
      <c r="F923">
        <f>IFERROR(YEAR(Table1[[#This Row],[Exit Date]]), " ")</f>
        <v>2024</v>
      </c>
      <c r="G923">
        <f>IFERROR((Table1[[#This Row],[Exit Year]]-Table1[[#This Row],[Join Year]])+1," ")</f>
        <v>2</v>
      </c>
      <c r="H923" t="s">
        <v>40</v>
      </c>
      <c r="I923" t="s">
        <v>23</v>
      </c>
      <c r="J923" t="s">
        <v>12</v>
      </c>
      <c r="K923">
        <v>24</v>
      </c>
      <c r="L923" t="str">
        <f>IF(Table1[[#This Row],[Age]]&lt;30,"20-29",
IF(Table1[[#This Row],[Age]]&lt;40,"30-39",
IF(Table1[[#This Row],[Age]]&lt;50,"40-49",
IF(Table1[[#This Row],[Age]]&lt;60,"50-59","60+"))))</f>
        <v>20-29</v>
      </c>
      <c r="M923" t="s">
        <v>20</v>
      </c>
      <c r="N923" t="s">
        <v>14</v>
      </c>
    </row>
    <row r="924" spans="1:14" x14ac:dyDescent="0.35">
      <c r="A924">
        <v>1023</v>
      </c>
      <c r="B924" t="s">
        <v>15</v>
      </c>
      <c r="C924" s="6">
        <v>45256</v>
      </c>
      <c r="D924">
        <f>YEAR(Table1[[#This Row],[Join Date]])</f>
        <v>2023</v>
      </c>
      <c r="E924" s="6" t="s">
        <v>48</v>
      </c>
      <c r="F924" t="str">
        <f>IFERROR(YEAR(Table1[[#This Row],[Exit Date]]), " ")</f>
        <v xml:space="preserve"> </v>
      </c>
      <c r="G924" t="str">
        <f>IFERROR((Table1[[#This Row],[Exit Year]]-Table1[[#This Row],[Join Year]])+1," ")</f>
        <v xml:space="preserve"> </v>
      </c>
      <c r="H924" t="s">
        <v>48</v>
      </c>
      <c r="I924" t="s">
        <v>11</v>
      </c>
      <c r="J924" t="s">
        <v>12</v>
      </c>
      <c r="K924">
        <v>41</v>
      </c>
      <c r="L924" t="str">
        <f>IF(Table1[[#This Row],[Age]]&lt;30,"20-29",
IF(Table1[[#This Row],[Age]]&lt;40,"30-39",
IF(Table1[[#This Row],[Age]]&lt;50,"40-49",
IF(Table1[[#This Row],[Age]]&lt;60,"50-59","60+"))))</f>
        <v>40-49</v>
      </c>
      <c r="M924" t="s">
        <v>39</v>
      </c>
      <c r="N924" t="s">
        <v>17</v>
      </c>
    </row>
    <row r="925" spans="1:14" x14ac:dyDescent="0.35">
      <c r="A925">
        <v>1024</v>
      </c>
      <c r="B925" t="s">
        <v>26</v>
      </c>
      <c r="C925" s="6">
        <v>45465</v>
      </c>
      <c r="D925">
        <f>YEAR(Table1[[#This Row],[Join Date]])</f>
        <v>2024</v>
      </c>
      <c r="E925" s="6" t="s">
        <v>48</v>
      </c>
      <c r="F925" t="str">
        <f>IFERROR(YEAR(Table1[[#This Row],[Exit Date]]), " ")</f>
        <v xml:space="preserve"> </v>
      </c>
      <c r="G925" t="str">
        <f>IFERROR((Table1[[#This Row],[Exit Year]]-Table1[[#This Row],[Join Year]])+1," ")</f>
        <v xml:space="preserve"> </v>
      </c>
      <c r="H925" t="s">
        <v>48</v>
      </c>
      <c r="I925" t="s">
        <v>11</v>
      </c>
      <c r="J925" t="s">
        <v>18</v>
      </c>
      <c r="K925">
        <v>40</v>
      </c>
      <c r="L925" t="str">
        <f>IF(Table1[[#This Row],[Age]]&lt;30,"20-29",
IF(Table1[[#This Row],[Age]]&lt;40,"30-39",
IF(Table1[[#This Row],[Age]]&lt;50,"40-49",
IF(Table1[[#This Row],[Age]]&lt;60,"50-59","60+"))))</f>
        <v>40-49</v>
      </c>
      <c r="M925" t="s">
        <v>13</v>
      </c>
      <c r="N925" t="s">
        <v>19</v>
      </c>
    </row>
    <row r="926" spans="1:14" x14ac:dyDescent="0.35">
      <c r="A926">
        <v>1025</v>
      </c>
      <c r="B926" t="s">
        <v>10</v>
      </c>
      <c r="C926" s="6">
        <v>43597</v>
      </c>
      <c r="D926">
        <f>YEAR(Table1[[#This Row],[Join Date]])</f>
        <v>2019</v>
      </c>
      <c r="E926" s="6" t="s">
        <v>48</v>
      </c>
      <c r="F926" t="str">
        <f>IFERROR(YEAR(Table1[[#This Row],[Exit Date]]), " ")</f>
        <v xml:space="preserve"> </v>
      </c>
      <c r="G926" t="str">
        <f>IFERROR((Table1[[#This Row],[Exit Year]]-Table1[[#This Row],[Join Year]])+1," ")</f>
        <v xml:space="preserve"> </v>
      </c>
      <c r="H926" t="s">
        <v>48</v>
      </c>
      <c r="I926" t="s">
        <v>11</v>
      </c>
      <c r="J926" t="s">
        <v>12</v>
      </c>
      <c r="K926">
        <v>48</v>
      </c>
      <c r="L926" t="str">
        <f>IF(Table1[[#This Row],[Age]]&lt;30,"20-29",
IF(Table1[[#This Row],[Age]]&lt;40,"30-39",
IF(Table1[[#This Row],[Age]]&lt;50,"40-49",
IF(Table1[[#This Row],[Age]]&lt;60,"50-59","60+"))))</f>
        <v>40-49</v>
      </c>
      <c r="M926" t="s">
        <v>16</v>
      </c>
      <c r="N926" t="s">
        <v>21</v>
      </c>
    </row>
    <row r="927" spans="1:14" x14ac:dyDescent="0.35">
      <c r="A927">
        <v>1026</v>
      </c>
      <c r="B927" t="s">
        <v>15</v>
      </c>
      <c r="C927" s="6">
        <v>44866</v>
      </c>
      <c r="D927">
        <f>YEAR(Table1[[#This Row],[Join Date]])</f>
        <v>2022</v>
      </c>
      <c r="E927" s="6" t="s">
        <v>48</v>
      </c>
      <c r="F927" t="str">
        <f>IFERROR(YEAR(Table1[[#This Row],[Exit Date]]), " ")</f>
        <v xml:space="preserve"> </v>
      </c>
      <c r="G927" t="str">
        <f>IFERROR((Table1[[#This Row],[Exit Year]]-Table1[[#This Row],[Join Year]])+1," ")</f>
        <v xml:space="preserve"> </v>
      </c>
      <c r="H927" t="s">
        <v>48</v>
      </c>
      <c r="I927" t="s">
        <v>11</v>
      </c>
      <c r="J927" t="s">
        <v>18</v>
      </c>
      <c r="K927">
        <v>52</v>
      </c>
      <c r="L927" t="str">
        <f>IF(Table1[[#This Row],[Age]]&lt;30,"20-29",
IF(Table1[[#This Row],[Age]]&lt;40,"30-39",
IF(Table1[[#This Row],[Age]]&lt;50,"40-49",
IF(Table1[[#This Row],[Age]]&lt;60,"50-59","60+"))))</f>
        <v>50-59</v>
      </c>
      <c r="M927" t="s">
        <v>16</v>
      </c>
      <c r="N927" t="s">
        <v>25</v>
      </c>
    </row>
    <row r="928" spans="1:14" x14ac:dyDescent="0.35">
      <c r="A928">
        <v>1027</v>
      </c>
      <c r="B928" t="s">
        <v>34</v>
      </c>
      <c r="C928" s="6">
        <v>44006</v>
      </c>
      <c r="D928">
        <f>YEAR(Table1[[#This Row],[Join Date]])</f>
        <v>2020</v>
      </c>
      <c r="E928" s="6">
        <v>44463</v>
      </c>
      <c r="F928">
        <f>IFERROR(YEAR(Table1[[#This Row],[Exit Date]]), " ")</f>
        <v>2021</v>
      </c>
      <c r="G928">
        <f>IFERROR((Table1[[#This Row],[Exit Year]]-Table1[[#This Row],[Join Year]])+1," ")</f>
        <v>2</v>
      </c>
      <c r="H928" t="s">
        <v>46</v>
      </c>
      <c r="I928" t="s">
        <v>23</v>
      </c>
      <c r="J928" t="s">
        <v>12</v>
      </c>
      <c r="K928">
        <v>33</v>
      </c>
      <c r="L928" t="str">
        <f>IF(Table1[[#This Row],[Age]]&lt;30,"20-29",
IF(Table1[[#This Row],[Age]]&lt;40,"30-39",
IF(Table1[[#This Row],[Age]]&lt;50,"40-49",
IF(Table1[[#This Row],[Age]]&lt;60,"50-59","60+"))))</f>
        <v>30-39</v>
      </c>
      <c r="M928" t="s">
        <v>20</v>
      </c>
      <c r="N928" t="s">
        <v>28</v>
      </c>
    </row>
    <row r="929" spans="1:14" x14ac:dyDescent="0.35">
      <c r="A929">
        <v>1028</v>
      </c>
      <c r="B929" t="s">
        <v>26</v>
      </c>
      <c r="C929" s="6">
        <v>45095</v>
      </c>
      <c r="D929">
        <f>YEAR(Table1[[#This Row],[Join Date]])</f>
        <v>2023</v>
      </c>
      <c r="E929" s="6" t="s">
        <v>48</v>
      </c>
      <c r="F929" t="str">
        <f>IFERROR(YEAR(Table1[[#This Row],[Exit Date]]), " ")</f>
        <v xml:space="preserve"> </v>
      </c>
      <c r="G929" t="str">
        <f>IFERROR((Table1[[#This Row],[Exit Year]]-Table1[[#This Row],[Join Year]])+1," ")</f>
        <v xml:space="preserve"> </v>
      </c>
      <c r="H929" t="s">
        <v>48</v>
      </c>
      <c r="I929" t="s">
        <v>11</v>
      </c>
      <c r="J929" t="s">
        <v>18</v>
      </c>
      <c r="K929">
        <v>51</v>
      </c>
      <c r="L929" t="str">
        <f>IF(Table1[[#This Row],[Age]]&lt;30,"20-29",
IF(Table1[[#This Row],[Age]]&lt;40,"30-39",
IF(Table1[[#This Row],[Age]]&lt;50,"40-49",
IF(Table1[[#This Row],[Age]]&lt;60,"50-59","60+"))))</f>
        <v>50-59</v>
      </c>
      <c r="M929" t="s">
        <v>24</v>
      </c>
      <c r="N929" t="s">
        <v>31</v>
      </c>
    </row>
    <row r="930" spans="1:14" x14ac:dyDescent="0.35">
      <c r="A930">
        <v>1029</v>
      </c>
      <c r="B930" t="s">
        <v>10</v>
      </c>
      <c r="C930" s="6">
        <v>44360</v>
      </c>
      <c r="D930">
        <f>YEAR(Table1[[#This Row],[Join Date]])</f>
        <v>2021</v>
      </c>
      <c r="E930" s="6">
        <v>44755</v>
      </c>
      <c r="F930">
        <f>IFERROR(YEAR(Table1[[#This Row],[Exit Date]]), " ")</f>
        <v>2022</v>
      </c>
      <c r="G930">
        <f>IFERROR((Table1[[#This Row],[Exit Year]]-Table1[[#This Row],[Join Year]])+1," ")</f>
        <v>2</v>
      </c>
      <c r="H930" t="s">
        <v>38</v>
      </c>
      <c r="I930" t="s">
        <v>23</v>
      </c>
      <c r="J930" t="s">
        <v>18</v>
      </c>
      <c r="K930">
        <v>46</v>
      </c>
      <c r="L930" t="str">
        <f>IF(Table1[[#This Row],[Age]]&lt;30,"20-29",
IF(Table1[[#This Row],[Age]]&lt;40,"30-39",
IF(Table1[[#This Row],[Age]]&lt;50,"40-49",
IF(Table1[[#This Row],[Age]]&lt;60,"50-59","60+"))))</f>
        <v>40-49</v>
      </c>
      <c r="M930" t="s">
        <v>13</v>
      </c>
      <c r="N930" t="s">
        <v>32</v>
      </c>
    </row>
    <row r="931" spans="1:14" x14ac:dyDescent="0.35">
      <c r="A931">
        <v>1030</v>
      </c>
      <c r="B931" t="s">
        <v>26</v>
      </c>
      <c r="C931" s="6">
        <v>43419</v>
      </c>
      <c r="D931">
        <f>YEAR(Table1[[#This Row],[Join Date]])</f>
        <v>2018</v>
      </c>
      <c r="E931" s="6">
        <v>44303</v>
      </c>
      <c r="F931">
        <f>IFERROR(YEAR(Table1[[#This Row],[Exit Date]]), " ")</f>
        <v>2021</v>
      </c>
      <c r="G931">
        <f>IFERROR((Table1[[#This Row],[Exit Year]]-Table1[[#This Row],[Join Year]])+1," ")</f>
        <v>4</v>
      </c>
      <c r="H931" t="s">
        <v>22</v>
      </c>
      <c r="I931" t="s">
        <v>23</v>
      </c>
      <c r="J931" t="s">
        <v>12</v>
      </c>
      <c r="K931">
        <v>53</v>
      </c>
      <c r="L931" t="str">
        <f>IF(Table1[[#This Row],[Age]]&lt;30,"20-29",
IF(Table1[[#This Row],[Age]]&lt;40,"30-39",
IF(Table1[[#This Row],[Age]]&lt;50,"40-49",
IF(Table1[[#This Row],[Age]]&lt;60,"50-59","60+"))))</f>
        <v>50-59</v>
      </c>
      <c r="M931" t="s">
        <v>42</v>
      </c>
      <c r="N931" t="s">
        <v>33</v>
      </c>
    </row>
    <row r="932" spans="1:14" x14ac:dyDescent="0.35">
      <c r="A932">
        <v>1031</v>
      </c>
      <c r="B932" t="s">
        <v>36</v>
      </c>
      <c r="C932" s="6">
        <v>44249</v>
      </c>
      <c r="D932">
        <f>YEAR(Table1[[#This Row],[Join Date]])</f>
        <v>2021</v>
      </c>
      <c r="E932" s="6" t="s">
        <v>48</v>
      </c>
      <c r="F932" t="str">
        <f>IFERROR(YEAR(Table1[[#This Row],[Exit Date]]), " ")</f>
        <v xml:space="preserve"> </v>
      </c>
      <c r="G932" t="str">
        <f>IFERROR((Table1[[#This Row],[Exit Year]]-Table1[[#This Row],[Join Year]])+1," ")</f>
        <v xml:space="preserve"> </v>
      </c>
      <c r="H932" t="s">
        <v>48</v>
      </c>
      <c r="I932" t="s">
        <v>11</v>
      </c>
      <c r="J932" t="s">
        <v>18</v>
      </c>
      <c r="K932">
        <v>35</v>
      </c>
      <c r="L932" t="str">
        <f>IF(Table1[[#This Row],[Age]]&lt;30,"20-29",
IF(Table1[[#This Row],[Age]]&lt;40,"30-39",
IF(Table1[[#This Row],[Age]]&lt;50,"40-49",
IF(Table1[[#This Row],[Age]]&lt;60,"50-59","60+"))))</f>
        <v>30-39</v>
      </c>
      <c r="M932" t="s">
        <v>13</v>
      </c>
      <c r="N932" t="s">
        <v>35</v>
      </c>
    </row>
    <row r="933" spans="1:14" x14ac:dyDescent="0.35">
      <c r="A933">
        <v>1032</v>
      </c>
      <c r="B933" t="s">
        <v>10</v>
      </c>
      <c r="C933" s="6">
        <v>45533</v>
      </c>
      <c r="D933">
        <f>YEAR(Table1[[#This Row],[Join Date]])</f>
        <v>2024</v>
      </c>
      <c r="E933" s="6" t="s">
        <v>48</v>
      </c>
      <c r="F933" t="str">
        <f>IFERROR(YEAR(Table1[[#This Row],[Exit Date]]), " ")</f>
        <v xml:space="preserve"> </v>
      </c>
      <c r="G933" t="str">
        <f>IFERROR((Table1[[#This Row],[Exit Year]]-Table1[[#This Row],[Join Year]])+1," ")</f>
        <v xml:space="preserve"> </v>
      </c>
      <c r="H933" t="s">
        <v>48</v>
      </c>
      <c r="I933" t="s">
        <v>11</v>
      </c>
      <c r="J933" t="s">
        <v>18</v>
      </c>
      <c r="K933">
        <v>32</v>
      </c>
      <c r="L933" t="str">
        <f>IF(Table1[[#This Row],[Age]]&lt;30,"20-29",
IF(Table1[[#This Row],[Age]]&lt;40,"30-39",
IF(Table1[[#This Row],[Age]]&lt;50,"40-49",
IF(Table1[[#This Row],[Age]]&lt;60,"50-59","60+"))))</f>
        <v>30-39</v>
      </c>
      <c r="M933" t="s">
        <v>13</v>
      </c>
      <c r="N933" t="s">
        <v>37</v>
      </c>
    </row>
    <row r="934" spans="1:14" x14ac:dyDescent="0.35">
      <c r="A934">
        <v>1033</v>
      </c>
      <c r="B934" t="s">
        <v>36</v>
      </c>
      <c r="C934" s="6">
        <v>44377</v>
      </c>
      <c r="D934">
        <f>YEAR(Table1[[#This Row],[Join Date]])</f>
        <v>2021</v>
      </c>
      <c r="E934" s="6" t="s">
        <v>48</v>
      </c>
      <c r="F934" t="str">
        <f>IFERROR(YEAR(Table1[[#This Row],[Exit Date]]), " ")</f>
        <v xml:space="preserve"> </v>
      </c>
      <c r="G934" t="str">
        <f>IFERROR((Table1[[#This Row],[Exit Year]]-Table1[[#This Row],[Join Year]])+1," ")</f>
        <v xml:space="preserve"> </v>
      </c>
      <c r="H934" t="s">
        <v>48</v>
      </c>
      <c r="I934" t="s">
        <v>11</v>
      </c>
      <c r="J934" t="s">
        <v>12</v>
      </c>
      <c r="K934">
        <v>46</v>
      </c>
      <c r="L934" t="str">
        <f>IF(Table1[[#This Row],[Age]]&lt;30,"20-29",
IF(Table1[[#This Row],[Age]]&lt;40,"30-39",
IF(Table1[[#This Row],[Age]]&lt;50,"40-49",
IF(Table1[[#This Row],[Age]]&lt;60,"50-59","60+"))))</f>
        <v>40-49</v>
      </c>
      <c r="M934" t="s">
        <v>16</v>
      </c>
      <c r="N934" t="s">
        <v>19</v>
      </c>
    </row>
    <row r="935" spans="1:14" x14ac:dyDescent="0.35">
      <c r="A935">
        <v>1034</v>
      </c>
      <c r="B935" t="s">
        <v>10</v>
      </c>
      <c r="C935" s="6">
        <v>44088</v>
      </c>
      <c r="D935">
        <f>YEAR(Table1[[#This Row],[Join Date]])</f>
        <v>2020</v>
      </c>
      <c r="E935" s="6" t="s">
        <v>48</v>
      </c>
      <c r="F935" t="str">
        <f>IFERROR(YEAR(Table1[[#This Row],[Exit Date]]), " ")</f>
        <v xml:space="preserve"> </v>
      </c>
      <c r="G935" t="str">
        <f>IFERROR((Table1[[#This Row],[Exit Year]]-Table1[[#This Row],[Join Year]])+1," ")</f>
        <v xml:space="preserve"> </v>
      </c>
      <c r="H935" t="s">
        <v>48</v>
      </c>
      <c r="I935" t="s">
        <v>11</v>
      </c>
      <c r="J935" t="s">
        <v>18</v>
      </c>
      <c r="K935">
        <v>50</v>
      </c>
      <c r="L935" t="str">
        <f>IF(Table1[[#This Row],[Age]]&lt;30,"20-29",
IF(Table1[[#This Row],[Age]]&lt;40,"30-39",
IF(Table1[[#This Row],[Age]]&lt;50,"40-49",
IF(Table1[[#This Row],[Age]]&lt;60,"50-59","60+"))))</f>
        <v>50-59</v>
      </c>
      <c r="M935" t="s">
        <v>13</v>
      </c>
      <c r="N935" t="s">
        <v>25</v>
      </c>
    </row>
    <row r="936" spans="1:14" x14ac:dyDescent="0.35">
      <c r="A936">
        <v>1035</v>
      </c>
      <c r="B936" t="s">
        <v>26</v>
      </c>
      <c r="C936" s="6">
        <v>43373</v>
      </c>
      <c r="D936">
        <f>YEAR(Table1[[#This Row],[Join Date]])</f>
        <v>2018</v>
      </c>
      <c r="E936" s="6">
        <v>44825</v>
      </c>
      <c r="F936">
        <f>IFERROR(YEAR(Table1[[#This Row],[Exit Date]]), " ")</f>
        <v>2022</v>
      </c>
      <c r="G936">
        <f>IFERROR((Table1[[#This Row],[Exit Year]]-Table1[[#This Row],[Join Year]])+1," ")</f>
        <v>5</v>
      </c>
      <c r="H936" t="s">
        <v>27</v>
      </c>
      <c r="I936" t="s">
        <v>23</v>
      </c>
      <c r="J936" t="s">
        <v>18</v>
      </c>
      <c r="K936">
        <v>61</v>
      </c>
      <c r="L936" t="str">
        <f>IF(Table1[[#This Row],[Age]]&lt;30,"20-29",
IF(Table1[[#This Row],[Age]]&lt;40,"30-39",
IF(Table1[[#This Row],[Age]]&lt;50,"40-49",
IF(Table1[[#This Row],[Age]]&lt;60,"50-59","60+"))))</f>
        <v>60+</v>
      </c>
      <c r="M936" t="s">
        <v>20</v>
      </c>
      <c r="N936" t="s">
        <v>35</v>
      </c>
    </row>
    <row r="937" spans="1:14" x14ac:dyDescent="0.35">
      <c r="A937">
        <v>1036</v>
      </c>
      <c r="B937" t="s">
        <v>26</v>
      </c>
      <c r="C937" s="6">
        <v>43314</v>
      </c>
      <c r="D937">
        <f>YEAR(Table1[[#This Row],[Join Date]])</f>
        <v>2018</v>
      </c>
      <c r="E937" s="6" t="s">
        <v>48</v>
      </c>
      <c r="F937" t="str">
        <f>IFERROR(YEAR(Table1[[#This Row],[Exit Date]]), " ")</f>
        <v xml:space="preserve"> </v>
      </c>
      <c r="G937" t="str">
        <f>IFERROR((Table1[[#This Row],[Exit Year]]-Table1[[#This Row],[Join Year]])+1," ")</f>
        <v xml:space="preserve"> </v>
      </c>
      <c r="H937" t="s">
        <v>48</v>
      </c>
      <c r="I937" t="s">
        <v>11</v>
      </c>
      <c r="J937" t="s">
        <v>18</v>
      </c>
      <c r="K937">
        <v>62</v>
      </c>
      <c r="L937" t="str">
        <f>IF(Table1[[#This Row],[Age]]&lt;30,"20-29",
IF(Table1[[#This Row],[Age]]&lt;40,"30-39",
IF(Table1[[#This Row],[Age]]&lt;50,"40-49",
IF(Table1[[#This Row],[Age]]&lt;60,"50-59","60+"))))</f>
        <v>60+</v>
      </c>
      <c r="M937" t="s">
        <v>44</v>
      </c>
      <c r="N937" t="s">
        <v>17</v>
      </c>
    </row>
    <row r="938" spans="1:14" x14ac:dyDescent="0.35">
      <c r="A938">
        <v>1037</v>
      </c>
      <c r="B938" t="s">
        <v>26</v>
      </c>
      <c r="C938" s="6">
        <v>44418</v>
      </c>
      <c r="D938">
        <f>YEAR(Table1[[#This Row],[Join Date]])</f>
        <v>2021</v>
      </c>
      <c r="E938" s="6">
        <v>45628</v>
      </c>
      <c r="F938">
        <f>IFERROR(YEAR(Table1[[#This Row],[Exit Date]]), " ")</f>
        <v>2024</v>
      </c>
      <c r="G938">
        <f>IFERROR((Table1[[#This Row],[Exit Year]]-Table1[[#This Row],[Join Year]])+1," ")</f>
        <v>4</v>
      </c>
      <c r="H938" t="s">
        <v>46</v>
      </c>
      <c r="I938" t="s">
        <v>23</v>
      </c>
      <c r="J938" t="s">
        <v>12</v>
      </c>
      <c r="K938">
        <v>63</v>
      </c>
      <c r="L938" t="str">
        <f>IF(Table1[[#This Row],[Age]]&lt;30,"20-29",
IF(Table1[[#This Row],[Age]]&lt;40,"30-39",
IF(Table1[[#This Row],[Age]]&lt;50,"40-49",
IF(Table1[[#This Row],[Age]]&lt;60,"50-59","60+"))))</f>
        <v>60+</v>
      </c>
      <c r="M938" t="s">
        <v>13</v>
      </c>
      <c r="N938" t="s">
        <v>19</v>
      </c>
    </row>
    <row r="939" spans="1:14" x14ac:dyDescent="0.35">
      <c r="A939">
        <v>1038</v>
      </c>
      <c r="B939" t="s">
        <v>34</v>
      </c>
      <c r="C939" s="6">
        <v>44324</v>
      </c>
      <c r="D939">
        <f>YEAR(Table1[[#This Row],[Join Date]])</f>
        <v>2021</v>
      </c>
      <c r="E939" s="6">
        <v>45076</v>
      </c>
      <c r="F939">
        <f>IFERROR(YEAR(Table1[[#This Row],[Exit Date]]), " ")</f>
        <v>2023</v>
      </c>
      <c r="G939">
        <f>IFERROR((Table1[[#This Row],[Exit Year]]-Table1[[#This Row],[Join Year]])+1," ")</f>
        <v>3</v>
      </c>
      <c r="H939" t="s">
        <v>40</v>
      </c>
      <c r="I939" t="s">
        <v>23</v>
      </c>
      <c r="J939" t="s">
        <v>18</v>
      </c>
      <c r="K939">
        <v>64</v>
      </c>
      <c r="L939" t="str">
        <f>IF(Table1[[#This Row],[Age]]&lt;30,"20-29",
IF(Table1[[#This Row],[Age]]&lt;40,"30-39",
IF(Table1[[#This Row],[Age]]&lt;50,"40-49",
IF(Table1[[#This Row],[Age]]&lt;60,"50-59","60+"))))</f>
        <v>60+</v>
      </c>
      <c r="M939" t="s">
        <v>16</v>
      </c>
      <c r="N939" t="s">
        <v>21</v>
      </c>
    </row>
    <row r="940" spans="1:14" x14ac:dyDescent="0.35">
      <c r="A940">
        <v>1039</v>
      </c>
      <c r="B940" t="s">
        <v>10</v>
      </c>
      <c r="C940" s="6">
        <v>43513</v>
      </c>
      <c r="D940">
        <f>YEAR(Table1[[#This Row],[Join Date]])</f>
        <v>2019</v>
      </c>
      <c r="E940" s="6">
        <v>44923</v>
      </c>
      <c r="F940">
        <f>IFERROR(YEAR(Table1[[#This Row],[Exit Date]]), " ")</f>
        <v>2022</v>
      </c>
      <c r="G940">
        <f>IFERROR((Table1[[#This Row],[Exit Year]]-Table1[[#This Row],[Join Year]])+1," ")</f>
        <v>4</v>
      </c>
      <c r="H940" t="s">
        <v>38</v>
      </c>
      <c r="I940" t="s">
        <v>23</v>
      </c>
      <c r="J940" t="s">
        <v>12</v>
      </c>
      <c r="K940">
        <v>64</v>
      </c>
      <c r="L940" t="str">
        <f>IF(Table1[[#This Row],[Age]]&lt;30,"20-29",
IF(Table1[[#This Row],[Age]]&lt;40,"30-39",
IF(Table1[[#This Row],[Age]]&lt;50,"40-49",
IF(Table1[[#This Row],[Age]]&lt;60,"50-59","60+"))))</f>
        <v>60+</v>
      </c>
      <c r="M940" t="s">
        <v>16</v>
      </c>
      <c r="N940" t="s">
        <v>25</v>
      </c>
    </row>
    <row r="941" spans="1:14" x14ac:dyDescent="0.35">
      <c r="A941">
        <v>1040</v>
      </c>
      <c r="B941" t="s">
        <v>36</v>
      </c>
      <c r="C941" s="6">
        <v>44180</v>
      </c>
      <c r="D941">
        <f>YEAR(Table1[[#This Row],[Join Date]])</f>
        <v>2020</v>
      </c>
      <c r="E941" s="6" t="s">
        <v>48</v>
      </c>
      <c r="F941" t="str">
        <f>IFERROR(YEAR(Table1[[#This Row],[Exit Date]]), " ")</f>
        <v xml:space="preserve"> </v>
      </c>
      <c r="G941" t="str">
        <f>IFERROR((Table1[[#This Row],[Exit Year]]-Table1[[#This Row],[Join Year]])+1," ")</f>
        <v xml:space="preserve"> </v>
      </c>
      <c r="H941" t="s">
        <v>48</v>
      </c>
      <c r="I941" t="s">
        <v>11</v>
      </c>
      <c r="J941" t="s">
        <v>12</v>
      </c>
      <c r="K941">
        <v>60</v>
      </c>
      <c r="L941" t="str">
        <f>IF(Table1[[#This Row],[Age]]&lt;30,"20-29",
IF(Table1[[#This Row],[Age]]&lt;40,"30-39",
IF(Table1[[#This Row],[Age]]&lt;50,"40-49",
IF(Table1[[#This Row],[Age]]&lt;60,"50-59","60+"))))</f>
        <v>60+</v>
      </c>
      <c r="M941" t="s">
        <v>20</v>
      </c>
      <c r="N941" t="s">
        <v>35</v>
      </c>
    </row>
    <row r="942" spans="1:14" x14ac:dyDescent="0.35">
      <c r="A942">
        <v>1041</v>
      </c>
      <c r="B942" t="s">
        <v>34</v>
      </c>
      <c r="C942" s="6">
        <v>44099</v>
      </c>
      <c r="D942">
        <f>YEAR(Table1[[#This Row],[Join Date]])</f>
        <v>2020</v>
      </c>
      <c r="E942" s="6" t="s">
        <v>48</v>
      </c>
      <c r="F942" t="str">
        <f>IFERROR(YEAR(Table1[[#This Row],[Exit Date]]), " ")</f>
        <v xml:space="preserve"> </v>
      </c>
      <c r="G942" t="str">
        <f>IFERROR((Table1[[#This Row],[Exit Year]]-Table1[[#This Row],[Join Year]])+1," ")</f>
        <v xml:space="preserve"> </v>
      </c>
      <c r="H942" t="s">
        <v>48</v>
      </c>
      <c r="I942" t="s">
        <v>11</v>
      </c>
      <c r="J942" t="s">
        <v>12</v>
      </c>
      <c r="K942">
        <v>62</v>
      </c>
      <c r="L942" t="str">
        <f>IF(Table1[[#This Row],[Age]]&lt;30,"20-29",
IF(Table1[[#This Row],[Age]]&lt;40,"30-39",
IF(Table1[[#This Row],[Age]]&lt;50,"40-49",
IF(Table1[[#This Row],[Age]]&lt;60,"50-59","60+"))))</f>
        <v>60+</v>
      </c>
      <c r="M942" t="s">
        <v>24</v>
      </c>
      <c r="N942" t="s">
        <v>14</v>
      </c>
    </row>
    <row r="943" spans="1:14" x14ac:dyDescent="0.35">
      <c r="A943">
        <v>1042</v>
      </c>
      <c r="B943" t="s">
        <v>34</v>
      </c>
      <c r="C943" s="6">
        <v>45632</v>
      </c>
      <c r="D943">
        <f>YEAR(Table1[[#This Row],[Join Date]])</f>
        <v>2024</v>
      </c>
      <c r="E943" s="6" t="s">
        <v>48</v>
      </c>
      <c r="F943" t="str">
        <f>IFERROR(YEAR(Table1[[#This Row],[Exit Date]]), " ")</f>
        <v xml:space="preserve"> </v>
      </c>
      <c r="G943" t="str">
        <f>IFERROR((Table1[[#This Row],[Exit Year]]-Table1[[#This Row],[Join Year]])+1," ")</f>
        <v xml:space="preserve"> </v>
      </c>
      <c r="H943" t="s">
        <v>48</v>
      </c>
      <c r="I943" t="s">
        <v>11</v>
      </c>
      <c r="J943" t="s">
        <v>12</v>
      </c>
      <c r="K943">
        <v>59</v>
      </c>
      <c r="L943" t="str">
        <f>IF(Table1[[#This Row],[Age]]&lt;30,"20-29",
IF(Table1[[#This Row],[Age]]&lt;40,"30-39",
IF(Table1[[#This Row],[Age]]&lt;50,"40-49",
IF(Table1[[#This Row],[Age]]&lt;60,"50-59","60+"))))</f>
        <v>50-59</v>
      </c>
      <c r="M943" t="s">
        <v>13</v>
      </c>
      <c r="N943" t="s">
        <v>19</v>
      </c>
    </row>
    <row r="944" spans="1:14" x14ac:dyDescent="0.35">
      <c r="A944">
        <v>1043</v>
      </c>
      <c r="B944" t="s">
        <v>36</v>
      </c>
      <c r="C944" s="6">
        <v>45294</v>
      </c>
      <c r="D944">
        <f>YEAR(Table1[[#This Row],[Join Date]])</f>
        <v>2024</v>
      </c>
      <c r="E944" s="6" t="s">
        <v>48</v>
      </c>
      <c r="F944" t="str">
        <f>IFERROR(YEAR(Table1[[#This Row],[Exit Date]]), " ")</f>
        <v xml:space="preserve"> </v>
      </c>
      <c r="G944" t="str">
        <f>IFERROR((Table1[[#This Row],[Exit Year]]-Table1[[#This Row],[Join Year]])+1," ")</f>
        <v xml:space="preserve"> </v>
      </c>
      <c r="H944" t="s">
        <v>48</v>
      </c>
      <c r="I944" t="s">
        <v>11</v>
      </c>
      <c r="J944" t="s">
        <v>18</v>
      </c>
      <c r="K944">
        <v>64</v>
      </c>
      <c r="L944" t="str">
        <f>IF(Table1[[#This Row],[Age]]&lt;30,"20-29",
IF(Table1[[#This Row],[Age]]&lt;40,"30-39",
IF(Table1[[#This Row],[Age]]&lt;50,"40-49",
IF(Table1[[#This Row],[Age]]&lt;60,"50-59","60+"))))</f>
        <v>60+</v>
      </c>
      <c r="M944" t="s">
        <v>42</v>
      </c>
      <c r="N944" t="s">
        <v>21</v>
      </c>
    </row>
    <row r="945" spans="1:14" x14ac:dyDescent="0.35">
      <c r="A945">
        <v>1044</v>
      </c>
      <c r="B945" t="s">
        <v>26</v>
      </c>
      <c r="C945" s="6">
        <v>44590</v>
      </c>
      <c r="D945">
        <f>YEAR(Table1[[#This Row],[Join Date]])</f>
        <v>2022</v>
      </c>
      <c r="E945" s="6" t="s">
        <v>48</v>
      </c>
      <c r="F945" t="str">
        <f>IFERROR(YEAR(Table1[[#This Row],[Exit Date]]), " ")</f>
        <v xml:space="preserve"> </v>
      </c>
      <c r="G945" t="str">
        <f>IFERROR((Table1[[#This Row],[Exit Year]]-Table1[[#This Row],[Join Year]])+1," ")</f>
        <v xml:space="preserve"> </v>
      </c>
      <c r="H945" t="s">
        <v>48</v>
      </c>
      <c r="I945" t="s">
        <v>11</v>
      </c>
      <c r="J945" t="s">
        <v>18</v>
      </c>
      <c r="K945">
        <v>65</v>
      </c>
      <c r="L945" t="str">
        <f>IF(Table1[[#This Row],[Age]]&lt;30,"20-29",
IF(Table1[[#This Row],[Age]]&lt;40,"30-39",
IF(Table1[[#This Row],[Age]]&lt;50,"40-49",
IF(Table1[[#This Row],[Age]]&lt;60,"50-59","60+"))))</f>
        <v>60+</v>
      </c>
      <c r="M945" t="s">
        <v>13</v>
      </c>
      <c r="N945" t="s">
        <v>37</v>
      </c>
    </row>
    <row r="946" spans="1:14" x14ac:dyDescent="0.35">
      <c r="A946">
        <v>1045</v>
      </c>
      <c r="B946" t="s">
        <v>15</v>
      </c>
      <c r="C946" s="6">
        <v>45215</v>
      </c>
      <c r="D946">
        <f>YEAR(Table1[[#This Row],[Join Date]])</f>
        <v>2023</v>
      </c>
      <c r="E946" s="6" t="s">
        <v>48</v>
      </c>
      <c r="F946" t="str">
        <f>IFERROR(YEAR(Table1[[#This Row],[Exit Date]]), " ")</f>
        <v xml:space="preserve"> </v>
      </c>
      <c r="G946" t="str">
        <f>IFERROR((Table1[[#This Row],[Exit Year]]-Table1[[#This Row],[Join Year]])+1," ")</f>
        <v xml:space="preserve"> </v>
      </c>
      <c r="H946" t="s">
        <v>48</v>
      </c>
      <c r="I946" t="s">
        <v>11</v>
      </c>
      <c r="J946" t="s">
        <v>12</v>
      </c>
      <c r="K946">
        <v>66</v>
      </c>
      <c r="L946" t="str">
        <f>IF(Table1[[#This Row],[Age]]&lt;30,"20-29",
IF(Table1[[#This Row],[Age]]&lt;40,"30-39",
IF(Table1[[#This Row],[Age]]&lt;50,"40-49",
IF(Table1[[#This Row],[Age]]&lt;60,"50-59","60+"))))</f>
        <v>60+</v>
      </c>
      <c r="M946" t="s">
        <v>13</v>
      </c>
      <c r="N946" t="s">
        <v>25</v>
      </c>
    </row>
    <row r="947" spans="1:14" x14ac:dyDescent="0.35">
      <c r="A947">
        <v>1046</v>
      </c>
      <c r="B947" t="s">
        <v>15</v>
      </c>
      <c r="C947" s="6">
        <v>43624</v>
      </c>
      <c r="D947">
        <f>YEAR(Table1[[#This Row],[Join Date]])</f>
        <v>2019</v>
      </c>
      <c r="E947" s="6">
        <v>44228</v>
      </c>
      <c r="F947">
        <f>IFERROR(YEAR(Table1[[#This Row],[Exit Date]]), " ")</f>
        <v>2021</v>
      </c>
      <c r="G947">
        <f>IFERROR((Table1[[#This Row],[Exit Year]]-Table1[[#This Row],[Join Year]])+1," ")</f>
        <v>3</v>
      </c>
      <c r="H947" t="s">
        <v>41</v>
      </c>
      <c r="I947" t="s">
        <v>23</v>
      </c>
      <c r="J947" t="s">
        <v>12</v>
      </c>
      <c r="K947">
        <v>64</v>
      </c>
      <c r="L947" t="str">
        <f>IF(Table1[[#This Row],[Age]]&lt;30,"20-29",
IF(Table1[[#This Row],[Age]]&lt;40,"30-39",
IF(Table1[[#This Row],[Age]]&lt;50,"40-49",
IF(Table1[[#This Row],[Age]]&lt;60,"50-59","60+"))))</f>
        <v>60+</v>
      </c>
      <c r="M947" t="s">
        <v>16</v>
      </c>
      <c r="N947" t="s">
        <v>35</v>
      </c>
    </row>
    <row r="948" spans="1:14" x14ac:dyDescent="0.35">
      <c r="A948">
        <v>1047</v>
      </c>
      <c r="B948" t="s">
        <v>15</v>
      </c>
      <c r="C948" s="6">
        <v>44514</v>
      </c>
      <c r="D948">
        <f>YEAR(Table1[[#This Row],[Join Date]])</f>
        <v>2021</v>
      </c>
      <c r="E948" s="6">
        <v>45529</v>
      </c>
      <c r="F948">
        <f>IFERROR(YEAR(Table1[[#This Row],[Exit Date]]), " ")</f>
        <v>2024</v>
      </c>
      <c r="G948">
        <f>IFERROR((Table1[[#This Row],[Exit Year]]-Table1[[#This Row],[Join Year]])+1," ")</f>
        <v>4</v>
      </c>
      <c r="H948" t="s">
        <v>41</v>
      </c>
      <c r="I948" t="s">
        <v>23</v>
      </c>
      <c r="J948" t="s">
        <v>12</v>
      </c>
      <c r="K948">
        <v>65</v>
      </c>
      <c r="L948" t="str">
        <f>IF(Table1[[#This Row],[Age]]&lt;30,"20-29",
IF(Table1[[#This Row],[Age]]&lt;40,"30-39",
IF(Table1[[#This Row],[Age]]&lt;50,"40-49",
IF(Table1[[#This Row],[Age]]&lt;60,"50-59","60+"))))</f>
        <v>60+</v>
      </c>
      <c r="M948" t="s">
        <v>13</v>
      </c>
      <c r="N948" t="s">
        <v>14</v>
      </c>
    </row>
    <row r="949" spans="1:14" x14ac:dyDescent="0.35">
      <c r="A949">
        <v>1048</v>
      </c>
      <c r="B949" t="s">
        <v>29</v>
      </c>
      <c r="C949" s="6">
        <v>43700</v>
      </c>
      <c r="D949">
        <f>YEAR(Table1[[#This Row],[Join Date]])</f>
        <v>2019</v>
      </c>
      <c r="E949" s="6" t="s">
        <v>48</v>
      </c>
      <c r="F949" t="str">
        <f>IFERROR(YEAR(Table1[[#This Row],[Exit Date]]), " ")</f>
        <v xml:space="preserve"> </v>
      </c>
      <c r="G949" t="str">
        <f>IFERROR((Table1[[#This Row],[Exit Year]]-Table1[[#This Row],[Join Year]])+1," ")</f>
        <v xml:space="preserve"> </v>
      </c>
      <c r="H949" t="s">
        <v>48</v>
      </c>
      <c r="I949" t="s">
        <v>11</v>
      </c>
      <c r="J949" t="s">
        <v>18</v>
      </c>
      <c r="K949">
        <v>64</v>
      </c>
      <c r="L949" t="str">
        <f>IF(Table1[[#This Row],[Age]]&lt;30,"20-29",
IF(Table1[[#This Row],[Age]]&lt;40,"30-39",
IF(Table1[[#This Row],[Age]]&lt;50,"40-49",
IF(Table1[[#This Row],[Age]]&lt;60,"50-59","60+"))))</f>
        <v>60+</v>
      </c>
      <c r="M949" t="s">
        <v>20</v>
      </c>
      <c r="N949" t="s">
        <v>17</v>
      </c>
    </row>
    <row r="950" spans="1:14" x14ac:dyDescent="0.35">
      <c r="A950">
        <v>1049</v>
      </c>
      <c r="B950" t="s">
        <v>34</v>
      </c>
      <c r="C950" s="6">
        <v>45540</v>
      </c>
      <c r="D950">
        <f>YEAR(Table1[[#This Row],[Join Date]])</f>
        <v>2024</v>
      </c>
      <c r="E950" s="6" t="s">
        <v>48</v>
      </c>
      <c r="F950" t="str">
        <f>IFERROR(YEAR(Table1[[#This Row],[Exit Date]]), " ")</f>
        <v xml:space="preserve"> </v>
      </c>
      <c r="G950" t="str">
        <f>IFERROR((Table1[[#This Row],[Exit Year]]-Table1[[#This Row],[Join Year]])+1," ")</f>
        <v xml:space="preserve"> </v>
      </c>
      <c r="H950" t="s">
        <v>48</v>
      </c>
      <c r="I950" t="s">
        <v>11</v>
      </c>
      <c r="J950" t="s">
        <v>12</v>
      </c>
      <c r="K950">
        <v>62</v>
      </c>
      <c r="L950" t="str">
        <f>IF(Table1[[#This Row],[Age]]&lt;30,"20-29",
IF(Table1[[#This Row],[Age]]&lt;40,"30-39",
IF(Table1[[#This Row],[Age]]&lt;50,"40-49",
IF(Table1[[#This Row],[Age]]&lt;60,"50-59","60+"))))</f>
        <v>60+</v>
      </c>
      <c r="M950" t="s">
        <v>44</v>
      </c>
      <c r="N950" t="s">
        <v>19</v>
      </c>
    </row>
    <row r="951" spans="1:14" x14ac:dyDescent="0.35">
      <c r="A951">
        <v>1050</v>
      </c>
      <c r="B951" t="s">
        <v>10</v>
      </c>
      <c r="C951" s="6">
        <v>43297</v>
      </c>
      <c r="D951">
        <f>YEAR(Table1[[#This Row],[Join Date]])</f>
        <v>2018</v>
      </c>
      <c r="E951" s="6">
        <v>44682</v>
      </c>
      <c r="F951">
        <f>IFERROR(YEAR(Table1[[#This Row],[Exit Date]]), " ")</f>
        <v>2022</v>
      </c>
      <c r="G951">
        <f>IFERROR((Table1[[#This Row],[Exit Year]]-Table1[[#This Row],[Join Year]])+1," ")</f>
        <v>5</v>
      </c>
      <c r="H951" t="s">
        <v>40</v>
      </c>
      <c r="I951" t="s">
        <v>23</v>
      </c>
      <c r="J951" t="s">
        <v>12</v>
      </c>
      <c r="K951">
        <v>63</v>
      </c>
      <c r="L951" t="str">
        <f>IF(Table1[[#This Row],[Age]]&lt;30,"20-29",
IF(Table1[[#This Row],[Age]]&lt;40,"30-39",
IF(Table1[[#This Row],[Age]]&lt;50,"40-49",
IF(Table1[[#This Row],[Age]]&lt;60,"50-59","60+"))))</f>
        <v>60+</v>
      </c>
      <c r="M951" t="s">
        <v>13</v>
      </c>
      <c r="N951" t="s">
        <v>21</v>
      </c>
    </row>
    <row r="952" spans="1:14" x14ac:dyDescent="0.35">
      <c r="A952">
        <v>1051</v>
      </c>
      <c r="B952" t="s">
        <v>10</v>
      </c>
      <c r="C952" s="6">
        <v>43407</v>
      </c>
      <c r="D952">
        <f>YEAR(Table1[[#This Row],[Join Date]])</f>
        <v>2018</v>
      </c>
      <c r="E952" s="6" t="s">
        <v>48</v>
      </c>
      <c r="F952" t="str">
        <f>IFERROR(YEAR(Table1[[#This Row],[Exit Date]]), " ")</f>
        <v xml:space="preserve"> </v>
      </c>
      <c r="G952" t="str">
        <f>IFERROR((Table1[[#This Row],[Exit Year]]-Table1[[#This Row],[Join Year]])+1," ")</f>
        <v xml:space="preserve"> </v>
      </c>
      <c r="H952" t="s">
        <v>48</v>
      </c>
      <c r="I952" t="s">
        <v>11</v>
      </c>
      <c r="J952" t="s">
        <v>18</v>
      </c>
      <c r="K952">
        <v>64</v>
      </c>
      <c r="L952" t="str">
        <f>IF(Table1[[#This Row],[Age]]&lt;30,"20-29",
IF(Table1[[#This Row],[Age]]&lt;40,"30-39",
IF(Table1[[#This Row],[Age]]&lt;50,"40-49",
IF(Table1[[#This Row],[Age]]&lt;60,"50-59","60+"))))</f>
        <v>60+</v>
      </c>
      <c r="M952" t="s">
        <v>16</v>
      </c>
      <c r="N952" t="s">
        <v>25</v>
      </c>
    </row>
    <row r="953" spans="1:14" x14ac:dyDescent="0.35">
      <c r="A953">
        <v>1052</v>
      </c>
      <c r="B953" t="s">
        <v>15</v>
      </c>
      <c r="C953" s="6">
        <v>44121</v>
      </c>
      <c r="D953">
        <f>YEAR(Table1[[#This Row],[Join Date]])</f>
        <v>2020</v>
      </c>
      <c r="E953" s="6" t="s">
        <v>48</v>
      </c>
      <c r="F953" t="str">
        <f>IFERROR(YEAR(Table1[[#This Row],[Exit Date]]), " ")</f>
        <v xml:space="preserve"> </v>
      </c>
      <c r="G953" t="str">
        <f>IFERROR((Table1[[#This Row],[Exit Year]]-Table1[[#This Row],[Join Year]])+1," ")</f>
        <v xml:space="preserve"> </v>
      </c>
      <c r="H953" t="s">
        <v>48</v>
      </c>
      <c r="I953" t="s">
        <v>11</v>
      </c>
      <c r="J953" t="s">
        <v>12</v>
      </c>
      <c r="K953">
        <v>64</v>
      </c>
      <c r="L953" t="str">
        <f>IF(Table1[[#This Row],[Age]]&lt;30,"20-29",
IF(Table1[[#This Row],[Age]]&lt;40,"30-39",
IF(Table1[[#This Row],[Age]]&lt;50,"40-49",
IF(Table1[[#This Row],[Age]]&lt;60,"50-59","60+"))))</f>
        <v>60+</v>
      </c>
      <c r="M953" t="s">
        <v>16</v>
      </c>
      <c r="N953" t="s">
        <v>28</v>
      </c>
    </row>
    <row r="954" spans="1:14" x14ac:dyDescent="0.35">
      <c r="A954">
        <v>1053</v>
      </c>
      <c r="B954" t="s">
        <v>15</v>
      </c>
      <c r="C954" s="6">
        <v>44423</v>
      </c>
      <c r="D954">
        <f>YEAR(Table1[[#This Row],[Join Date]])</f>
        <v>2021</v>
      </c>
      <c r="E954" s="6" t="s">
        <v>48</v>
      </c>
      <c r="F954" t="str">
        <f>IFERROR(YEAR(Table1[[#This Row],[Exit Date]]), " ")</f>
        <v xml:space="preserve"> </v>
      </c>
      <c r="G954" t="str">
        <f>IFERROR((Table1[[#This Row],[Exit Year]]-Table1[[#This Row],[Join Year]])+1," ")</f>
        <v xml:space="preserve"> </v>
      </c>
      <c r="H954" t="s">
        <v>48</v>
      </c>
      <c r="I954" t="s">
        <v>11</v>
      </c>
      <c r="J954" t="s">
        <v>18</v>
      </c>
      <c r="K954">
        <v>50</v>
      </c>
      <c r="L954" t="str">
        <f>IF(Table1[[#This Row],[Age]]&lt;30,"20-29",
IF(Table1[[#This Row],[Age]]&lt;40,"30-39",
IF(Table1[[#This Row],[Age]]&lt;50,"40-49",
IF(Table1[[#This Row],[Age]]&lt;60,"50-59","60+"))))</f>
        <v>50-59</v>
      </c>
      <c r="M954" t="s">
        <v>20</v>
      </c>
      <c r="N954" t="s">
        <v>31</v>
      </c>
    </row>
    <row r="955" spans="1:14" x14ac:dyDescent="0.35">
      <c r="A955">
        <v>1054</v>
      </c>
      <c r="B955" t="s">
        <v>15</v>
      </c>
      <c r="C955" s="6">
        <v>45087</v>
      </c>
      <c r="D955">
        <f>YEAR(Table1[[#This Row],[Join Date]])</f>
        <v>2023</v>
      </c>
      <c r="E955" s="6" t="s">
        <v>48</v>
      </c>
      <c r="F955" t="str">
        <f>IFERROR(YEAR(Table1[[#This Row],[Exit Date]]), " ")</f>
        <v xml:space="preserve"> </v>
      </c>
      <c r="G955" t="str">
        <f>IFERROR((Table1[[#This Row],[Exit Year]]-Table1[[#This Row],[Join Year]])+1," ")</f>
        <v xml:space="preserve"> </v>
      </c>
      <c r="H955" t="s">
        <v>48</v>
      </c>
      <c r="I955" t="s">
        <v>11</v>
      </c>
      <c r="J955" t="s">
        <v>18</v>
      </c>
      <c r="K955">
        <v>24</v>
      </c>
      <c r="L955" t="str">
        <f>IF(Table1[[#This Row],[Age]]&lt;30,"20-29",
IF(Table1[[#This Row],[Age]]&lt;40,"30-39",
IF(Table1[[#This Row],[Age]]&lt;50,"40-49",
IF(Table1[[#This Row],[Age]]&lt;60,"50-59","60+"))))</f>
        <v>20-29</v>
      </c>
      <c r="M955" t="s">
        <v>24</v>
      </c>
      <c r="N955" t="s">
        <v>32</v>
      </c>
    </row>
    <row r="956" spans="1:14" x14ac:dyDescent="0.35">
      <c r="A956">
        <v>1055</v>
      </c>
      <c r="B956" t="s">
        <v>15</v>
      </c>
      <c r="C956" s="6">
        <v>43479</v>
      </c>
      <c r="D956">
        <f>YEAR(Table1[[#This Row],[Join Date]])</f>
        <v>2019</v>
      </c>
      <c r="E956" s="6">
        <v>44449</v>
      </c>
      <c r="F956">
        <f>IFERROR(YEAR(Table1[[#This Row],[Exit Date]]), " ")</f>
        <v>2021</v>
      </c>
      <c r="G956">
        <f>IFERROR((Table1[[#This Row],[Exit Year]]-Table1[[#This Row],[Join Year]])+1," ")</f>
        <v>3</v>
      </c>
      <c r="H956" t="s">
        <v>22</v>
      </c>
      <c r="I956" t="s">
        <v>23</v>
      </c>
      <c r="J956" t="s">
        <v>12</v>
      </c>
      <c r="K956">
        <v>50</v>
      </c>
      <c r="L956" t="str">
        <f>IF(Table1[[#This Row],[Age]]&lt;30,"20-29",
IF(Table1[[#This Row],[Age]]&lt;40,"30-39",
IF(Table1[[#This Row],[Age]]&lt;50,"40-49",
IF(Table1[[#This Row],[Age]]&lt;60,"50-59","60+"))))</f>
        <v>50-59</v>
      </c>
      <c r="M956" t="s">
        <v>13</v>
      </c>
      <c r="N956" t="s">
        <v>33</v>
      </c>
    </row>
    <row r="957" spans="1:14" x14ac:dyDescent="0.35">
      <c r="A957">
        <v>1056</v>
      </c>
      <c r="B957" t="s">
        <v>26</v>
      </c>
      <c r="C957" s="6">
        <v>44749</v>
      </c>
      <c r="D957">
        <f>YEAR(Table1[[#This Row],[Join Date]])</f>
        <v>2022</v>
      </c>
      <c r="E957" s="6">
        <v>44972</v>
      </c>
      <c r="F957">
        <f>IFERROR(YEAR(Table1[[#This Row],[Exit Date]]), " ")</f>
        <v>2023</v>
      </c>
      <c r="G957">
        <f>IFERROR((Table1[[#This Row],[Exit Year]]-Table1[[#This Row],[Join Year]])+1," ")</f>
        <v>2</v>
      </c>
      <c r="H957" t="s">
        <v>46</v>
      </c>
      <c r="I957" t="s">
        <v>23</v>
      </c>
      <c r="J957" t="s">
        <v>12</v>
      </c>
      <c r="K957">
        <v>28</v>
      </c>
      <c r="L957" t="str">
        <f>IF(Table1[[#This Row],[Age]]&lt;30,"20-29",
IF(Table1[[#This Row],[Age]]&lt;40,"30-39",
IF(Table1[[#This Row],[Age]]&lt;50,"40-49",
IF(Table1[[#This Row],[Age]]&lt;60,"50-59","60+"))))</f>
        <v>20-29</v>
      </c>
      <c r="M957" t="s">
        <v>42</v>
      </c>
      <c r="N957" t="s">
        <v>35</v>
      </c>
    </row>
    <row r="958" spans="1:14" x14ac:dyDescent="0.35">
      <c r="A958">
        <v>1057</v>
      </c>
      <c r="B958" t="s">
        <v>29</v>
      </c>
      <c r="C958" s="6">
        <v>45457</v>
      </c>
      <c r="D958">
        <f>YEAR(Table1[[#This Row],[Join Date]])</f>
        <v>2024</v>
      </c>
      <c r="E958" s="6" t="s">
        <v>48</v>
      </c>
      <c r="F958" t="str">
        <f>IFERROR(YEAR(Table1[[#This Row],[Exit Date]]), " ")</f>
        <v xml:space="preserve"> </v>
      </c>
      <c r="G958" t="str">
        <f>IFERROR((Table1[[#This Row],[Exit Year]]-Table1[[#This Row],[Join Year]])+1," ")</f>
        <v xml:space="preserve"> </v>
      </c>
      <c r="H958" t="s">
        <v>48</v>
      </c>
      <c r="I958" t="s">
        <v>11</v>
      </c>
      <c r="J958" t="s">
        <v>12</v>
      </c>
      <c r="K958">
        <v>40</v>
      </c>
      <c r="L958" t="str">
        <f>IF(Table1[[#This Row],[Age]]&lt;30,"20-29",
IF(Table1[[#This Row],[Age]]&lt;40,"30-39",
IF(Table1[[#This Row],[Age]]&lt;50,"40-49",
IF(Table1[[#This Row],[Age]]&lt;60,"50-59","60+"))))</f>
        <v>40-49</v>
      </c>
      <c r="M958" t="s">
        <v>13</v>
      </c>
      <c r="N958" t="s">
        <v>37</v>
      </c>
    </row>
    <row r="959" spans="1:14" x14ac:dyDescent="0.35">
      <c r="A959">
        <v>1058</v>
      </c>
      <c r="B959" t="s">
        <v>10</v>
      </c>
      <c r="C959" s="6">
        <v>43304</v>
      </c>
      <c r="D959">
        <f>YEAR(Table1[[#This Row],[Join Date]])</f>
        <v>2018</v>
      </c>
      <c r="E959" s="6" t="s">
        <v>48</v>
      </c>
      <c r="F959" t="str">
        <f>IFERROR(YEAR(Table1[[#This Row],[Exit Date]]), " ")</f>
        <v xml:space="preserve"> </v>
      </c>
      <c r="G959" t="str">
        <f>IFERROR((Table1[[#This Row],[Exit Year]]-Table1[[#This Row],[Join Year]])+1," ")</f>
        <v xml:space="preserve"> </v>
      </c>
      <c r="H959" t="s">
        <v>48</v>
      </c>
      <c r="I959" t="s">
        <v>11</v>
      </c>
      <c r="J959" t="s">
        <v>18</v>
      </c>
      <c r="K959">
        <v>32</v>
      </c>
      <c r="L959" t="str">
        <f>IF(Table1[[#This Row],[Age]]&lt;30,"20-29",
IF(Table1[[#This Row],[Age]]&lt;40,"30-39",
IF(Table1[[#This Row],[Age]]&lt;50,"40-49",
IF(Table1[[#This Row],[Age]]&lt;60,"50-59","60+"))))</f>
        <v>30-39</v>
      </c>
      <c r="M959" t="s">
        <v>13</v>
      </c>
      <c r="N959" t="s">
        <v>19</v>
      </c>
    </row>
    <row r="960" spans="1:14" x14ac:dyDescent="0.35">
      <c r="A960">
        <v>1059</v>
      </c>
      <c r="B960" t="s">
        <v>15</v>
      </c>
      <c r="C960" s="6">
        <v>44987</v>
      </c>
      <c r="D960">
        <f>YEAR(Table1[[#This Row],[Join Date]])</f>
        <v>2023</v>
      </c>
      <c r="E960" s="6" t="s">
        <v>48</v>
      </c>
      <c r="F960" t="str">
        <f>IFERROR(YEAR(Table1[[#This Row],[Exit Date]]), " ")</f>
        <v xml:space="preserve"> </v>
      </c>
      <c r="G960" t="str">
        <f>IFERROR((Table1[[#This Row],[Exit Year]]-Table1[[#This Row],[Join Year]])+1," ")</f>
        <v xml:space="preserve"> </v>
      </c>
      <c r="H960" t="s">
        <v>48</v>
      </c>
      <c r="I960" t="s">
        <v>11</v>
      </c>
      <c r="J960" t="s">
        <v>18</v>
      </c>
      <c r="K960">
        <v>50</v>
      </c>
      <c r="L960" t="str">
        <f>IF(Table1[[#This Row],[Age]]&lt;30,"20-29",
IF(Table1[[#This Row],[Age]]&lt;40,"30-39",
IF(Table1[[#This Row],[Age]]&lt;50,"40-49",
IF(Table1[[#This Row],[Age]]&lt;60,"50-59","60+"))))</f>
        <v>50-59</v>
      </c>
      <c r="M960" t="s">
        <v>16</v>
      </c>
      <c r="N960" t="s">
        <v>25</v>
      </c>
    </row>
    <row r="961" spans="1:14" x14ac:dyDescent="0.35">
      <c r="A961">
        <v>1060</v>
      </c>
      <c r="B961" t="s">
        <v>34</v>
      </c>
      <c r="C961" s="6">
        <v>45326</v>
      </c>
      <c r="D961">
        <f>YEAR(Table1[[#This Row],[Join Date]])</f>
        <v>2024</v>
      </c>
      <c r="E961" s="6" t="s">
        <v>48</v>
      </c>
      <c r="F961" t="str">
        <f>IFERROR(YEAR(Table1[[#This Row],[Exit Date]]), " ")</f>
        <v xml:space="preserve"> </v>
      </c>
      <c r="G961" t="str">
        <f>IFERROR((Table1[[#This Row],[Exit Year]]-Table1[[#This Row],[Join Year]])+1," ")</f>
        <v xml:space="preserve"> </v>
      </c>
      <c r="H961" t="s">
        <v>48</v>
      </c>
      <c r="I961" t="s">
        <v>11</v>
      </c>
      <c r="J961" t="s">
        <v>12</v>
      </c>
      <c r="K961">
        <v>24</v>
      </c>
      <c r="L961" t="str">
        <f>IF(Table1[[#This Row],[Age]]&lt;30,"20-29",
IF(Table1[[#This Row],[Age]]&lt;40,"30-39",
IF(Table1[[#This Row],[Age]]&lt;50,"40-49",
IF(Table1[[#This Row],[Age]]&lt;60,"50-59","60+"))))</f>
        <v>20-29</v>
      </c>
      <c r="M961" t="s">
        <v>13</v>
      </c>
      <c r="N961" t="s">
        <v>35</v>
      </c>
    </row>
    <row r="962" spans="1:14" x14ac:dyDescent="0.35">
      <c r="A962">
        <v>1061</v>
      </c>
      <c r="B962" t="s">
        <v>36</v>
      </c>
      <c r="C962" s="6">
        <v>45474</v>
      </c>
      <c r="D962">
        <f>YEAR(Table1[[#This Row],[Join Date]])</f>
        <v>2024</v>
      </c>
      <c r="E962" s="6" t="s">
        <v>48</v>
      </c>
      <c r="F962" t="str">
        <f>IFERROR(YEAR(Table1[[#This Row],[Exit Date]]), " ")</f>
        <v xml:space="preserve"> </v>
      </c>
      <c r="G962" t="str">
        <f>IFERROR((Table1[[#This Row],[Exit Year]]-Table1[[#This Row],[Join Year]])+1," ")</f>
        <v xml:space="preserve"> </v>
      </c>
      <c r="H962" t="s">
        <v>48</v>
      </c>
      <c r="I962" t="s">
        <v>11</v>
      </c>
      <c r="J962" t="s">
        <v>18</v>
      </c>
      <c r="K962">
        <v>36</v>
      </c>
      <c r="L962" t="str">
        <f>IF(Table1[[#This Row],[Age]]&lt;30,"20-29",
IF(Table1[[#This Row],[Age]]&lt;40,"30-39",
IF(Table1[[#This Row],[Age]]&lt;50,"40-49",
IF(Table1[[#This Row],[Age]]&lt;60,"50-59","60+"))))</f>
        <v>30-39</v>
      </c>
      <c r="M962" t="s">
        <v>20</v>
      </c>
      <c r="N962" t="s">
        <v>17</v>
      </c>
    </row>
    <row r="963" spans="1:14" x14ac:dyDescent="0.35">
      <c r="A963">
        <v>1062</v>
      </c>
      <c r="B963" t="s">
        <v>29</v>
      </c>
      <c r="C963" s="6">
        <v>44227</v>
      </c>
      <c r="D963">
        <f>YEAR(Table1[[#This Row],[Join Date]])</f>
        <v>2021</v>
      </c>
      <c r="E963" s="6">
        <v>45322</v>
      </c>
      <c r="F963">
        <f>IFERROR(YEAR(Table1[[#This Row],[Exit Date]]), " ")</f>
        <v>2024</v>
      </c>
      <c r="G963">
        <f>IFERROR((Table1[[#This Row],[Exit Year]]-Table1[[#This Row],[Join Year]])+1," ")</f>
        <v>4</v>
      </c>
      <c r="H963" t="s">
        <v>46</v>
      </c>
      <c r="I963" t="s">
        <v>23</v>
      </c>
      <c r="J963" t="s">
        <v>18</v>
      </c>
      <c r="K963">
        <v>49</v>
      </c>
      <c r="L963" t="str">
        <f>IF(Table1[[#This Row],[Age]]&lt;30,"20-29",
IF(Table1[[#This Row],[Age]]&lt;40,"30-39",
IF(Table1[[#This Row],[Age]]&lt;50,"40-49",
IF(Table1[[#This Row],[Age]]&lt;60,"50-59","60+"))))</f>
        <v>40-49</v>
      </c>
      <c r="M963" t="s">
        <v>39</v>
      </c>
      <c r="N963" t="s">
        <v>19</v>
      </c>
    </row>
    <row r="964" spans="1:14" x14ac:dyDescent="0.35">
      <c r="A964">
        <v>1063</v>
      </c>
      <c r="B964" t="s">
        <v>10</v>
      </c>
      <c r="C964" s="6">
        <v>43446</v>
      </c>
      <c r="D964">
        <f>YEAR(Table1[[#This Row],[Join Date]])</f>
        <v>2018</v>
      </c>
      <c r="E964" s="6">
        <v>43936</v>
      </c>
      <c r="F964">
        <f>IFERROR(YEAR(Table1[[#This Row],[Exit Date]]), " ")</f>
        <v>2020</v>
      </c>
      <c r="G964">
        <f>IFERROR((Table1[[#This Row],[Exit Year]]-Table1[[#This Row],[Join Year]])+1," ")</f>
        <v>3</v>
      </c>
      <c r="H964" t="s">
        <v>38</v>
      </c>
      <c r="I964" t="s">
        <v>23</v>
      </c>
      <c r="J964" t="s">
        <v>12</v>
      </c>
      <c r="K964">
        <v>43</v>
      </c>
      <c r="L964" t="str">
        <f>IF(Table1[[#This Row],[Age]]&lt;30,"20-29",
IF(Table1[[#This Row],[Age]]&lt;40,"30-39",
IF(Table1[[#This Row],[Age]]&lt;50,"40-49",
IF(Table1[[#This Row],[Age]]&lt;60,"50-59","60+"))))</f>
        <v>40-49</v>
      </c>
      <c r="M964" t="s">
        <v>13</v>
      </c>
      <c r="N964" t="s">
        <v>21</v>
      </c>
    </row>
    <row r="965" spans="1:14" x14ac:dyDescent="0.35">
      <c r="A965">
        <v>1064</v>
      </c>
      <c r="B965" t="s">
        <v>15</v>
      </c>
      <c r="C965" s="6">
        <v>45314</v>
      </c>
      <c r="D965">
        <f>YEAR(Table1[[#This Row],[Join Date]])</f>
        <v>2024</v>
      </c>
      <c r="E965" s="6" t="s">
        <v>48</v>
      </c>
      <c r="F965" t="str">
        <f>IFERROR(YEAR(Table1[[#This Row],[Exit Date]]), " ")</f>
        <v xml:space="preserve"> </v>
      </c>
      <c r="G965" t="str">
        <f>IFERROR((Table1[[#This Row],[Exit Year]]-Table1[[#This Row],[Join Year]])+1," ")</f>
        <v xml:space="preserve"> </v>
      </c>
      <c r="H965" t="s">
        <v>48</v>
      </c>
      <c r="I965" t="s">
        <v>11</v>
      </c>
      <c r="J965" t="s">
        <v>12</v>
      </c>
      <c r="K965">
        <v>40</v>
      </c>
      <c r="L965" t="str">
        <f>IF(Table1[[#This Row],[Age]]&lt;30,"20-29",
IF(Table1[[#This Row],[Age]]&lt;40,"30-39",
IF(Table1[[#This Row],[Age]]&lt;50,"40-49",
IF(Table1[[#This Row],[Age]]&lt;60,"50-59","60+"))))</f>
        <v>40-49</v>
      </c>
      <c r="M965" t="s">
        <v>16</v>
      </c>
      <c r="N965" t="s">
        <v>25</v>
      </c>
    </row>
    <row r="966" spans="1:14" x14ac:dyDescent="0.35">
      <c r="A966">
        <v>1065</v>
      </c>
      <c r="B966" t="s">
        <v>15</v>
      </c>
      <c r="C966" s="6">
        <v>43123</v>
      </c>
      <c r="D966">
        <f>YEAR(Table1[[#This Row],[Join Date]])</f>
        <v>2018</v>
      </c>
      <c r="E966" s="6" t="s">
        <v>48</v>
      </c>
      <c r="F966" t="str">
        <f>IFERROR(YEAR(Table1[[#This Row],[Exit Date]]), " ")</f>
        <v xml:space="preserve"> </v>
      </c>
      <c r="G966" t="str">
        <f>IFERROR((Table1[[#This Row],[Exit Year]]-Table1[[#This Row],[Join Year]])+1," ")</f>
        <v xml:space="preserve"> </v>
      </c>
      <c r="H966" t="s">
        <v>48</v>
      </c>
      <c r="I966" t="s">
        <v>11</v>
      </c>
      <c r="J966" t="s">
        <v>12</v>
      </c>
      <c r="K966">
        <v>42</v>
      </c>
      <c r="L966" t="str">
        <f>IF(Table1[[#This Row],[Age]]&lt;30,"20-29",
IF(Table1[[#This Row],[Age]]&lt;40,"30-39",
IF(Table1[[#This Row],[Age]]&lt;50,"40-49",
IF(Table1[[#This Row],[Age]]&lt;60,"50-59","60+"))))</f>
        <v>40-49</v>
      </c>
      <c r="M966" t="s">
        <v>16</v>
      </c>
      <c r="N966" t="s">
        <v>35</v>
      </c>
    </row>
    <row r="967" spans="1:14" x14ac:dyDescent="0.35">
      <c r="A967">
        <v>1066</v>
      </c>
      <c r="B967" t="s">
        <v>10</v>
      </c>
      <c r="C967" s="6">
        <v>43717</v>
      </c>
      <c r="D967">
        <f>YEAR(Table1[[#This Row],[Join Date]])</f>
        <v>2019</v>
      </c>
      <c r="E967" s="6">
        <v>44677</v>
      </c>
      <c r="F967">
        <f>IFERROR(YEAR(Table1[[#This Row],[Exit Date]]), " ")</f>
        <v>2022</v>
      </c>
      <c r="G967">
        <f>IFERROR((Table1[[#This Row],[Exit Year]]-Table1[[#This Row],[Join Year]])+1," ")</f>
        <v>4</v>
      </c>
      <c r="H967" t="s">
        <v>40</v>
      </c>
      <c r="I967" t="s">
        <v>23</v>
      </c>
      <c r="J967" t="s">
        <v>12</v>
      </c>
      <c r="K967">
        <v>35</v>
      </c>
      <c r="L967" t="str">
        <f>IF(Table1[[#This Row],[Age]]&lt;30,"20-29",
IF(Table1[[#This Row],[Age]]&lt;40,"30-39",
IF(Table1[[#This Row],[Age]]&lt;50,"40-49",
IF(Table1[[#This Row],[Age]]&lt;60,"50-59","60+"))))</f>
        <v>30-39</v>
      </c>
      <c r="M967" t="s">
        <v>20</v>
      </c>
      <c r="N967" t="s">
        <v>14</v>
      </c>
    </row>
    <row r="968" spans="1:14" x14ac:dyDescent="0.35">
      <c r="A968">
        <v>1067</v>
      </c>
      <c r="B968" t="s">
        <v>29</v>
      </c>
      <c r="C968" s="6">
        <v>43534</v>
      </c>
      <c r="D968">
        <f>YEAR(Table1[[#This Row],[Join Date]])</f>
        <v>2019</v>
      </c>
      <c r="E968" s="6">
        <v>44117</v>
      </c>
      <c r="F968">
        <f>IFERROR(YEAR(Table1[[#This Row],[Exit Date]]), " ")</f>
        <v>2020</v>
      </c>
      <c r="G968">
        <f>IFERROR((Table1[[#This Row],[Exit Year]]-Table1[[#This Row],[Join Year]])+1," ")</f>
        <v>2</v>
      </c>
      <c r="H968" t="s">
        <v>38</v>
      </c>
      <c r="I968" t="s">
        <v>23</v>
      </c>
      <c r="J968" t="s">
        <v>18</v>
      </c>
      <c r="K968">
        <v>31</v>
      </c>
      <c r="L968" t="str">
        <f>IF(Table1[[#This Row],[Age]]&lt;30,"20-29",
IF(Table1[[#This Row],[Age]]&lt;40,"30-39",
IF(Table1[[#This Row],[Age]]&lt;50,"40-49",
IF(Table1[[#This Row],[Age]]&lt;60,"50-59","60+"))))</f>
        <v>30-39</v>
      </c>
      <c r="M968" t="s">
        <v>24</v>
      </c>
      <c r="N968" t="s">
        <v>19</v>
      </c>
    </row>
    <row r="969" spans="1:14" x14ac:dyDescent="0.35">
      <c r="A969">
        <v>1068</v>
      </c>
      <c r="B969" t="s">
        <v>36</v>
      </c>
      <c r="C969" s="6">
        <v>44619</v>
      </c>
      <c r="D969">
        <f>YEAR(Table1[[#This Row],[Join Date]])</f>
        <v>2022</v>
      </c>
      <c r="E969" s="6" t="s">
        <v>48</v>
      </c>
      <c r="F969" t="str">
        <f>IFERROR(YEAR(Table1[[#This Row],[Exit Date]]), " ")</f>
        <v xml:space="preserve"> </v>
      </c>
      <c r="G969" t="str">
        <f>IFERROR((Table1[[#This Row],[Exit Year]]-Table1[[#This Row],[Join Year]])+1," ")</f>
        <v xml:space="preserve"> </v>
      </c>
      <c r="H969" t="s">
        <v>48</v>
      </c>
      <c r="I969" t="s">
        <v>11</v>
      </c>
      <c r="J969" t="s">
        <v>18</v>
      </c>
      <c r="K969">
        <v>51</v>
      </c>
      <c r="L969" t="str">
        <f>IF(Table1[[#This Row],[Age]]&lt;30,"20-29",
IF(Table1[[#This Row],[Age]]&lt;40,"30-39",
IF(Table1[[#This Row],[Age]]&lt;50,"40-49",
IF(Table1[[#This Row],[Age]]&lt;60,"50-59","60+"))))</f>
        <v>50-59</v>
      </c>
      <c r="M969" t="s">
        <v>13</v>
      </c>
      <c r="N969" t="s">
        <v>21</v>
      </c>
    </row>
    <row r="970" spans="1:14" x14ac:dyDescent="0.35">
      <c r="A970">
        <v>1069</v>
      </c>
      <c r="B970" t="s">
        <v>10</v>
      </c>
      <c r="C970" s="6">
        <v>45485</v>
      </c>
      <c r="D970">
        <f>YEAR(Table1[[#This Row],[Join Date]])</f>
        <v>2024</v>
      </c>
      <c r="E970" s="6" t="s">
        <v>48</v>
      </c>
      <c r="F970" t="str">
        <f>IFERROR(YEAR(Table1[[#This Row],[Exit Date]]), " ")</f>
        <v xml:space="preserve"> </v>
      </c>
      <c r="G970" t="str">
        <f>IFERROR((Table1[[#This Row],[Exit Year]]-Table1[[#This Row],[Join Year]])+1," ")</f>
        <v xml:space="preserve"> </v>
      </c>
      <c r="H970" t="s">
        <v>48</v>
      </c>
      <c r="I970" t="s">
        <v>11</v>
      </c>
      <c r="J970" t="s">
        <v>18</v>
      </c>
      <c r="K970">
        <v>48</v>
      </c>
      <c r="L970" t="str">
        <f>IF(Table1[[#This Row],[Age]]&lt;30,"20-29",
IF(Table1[[#This Row],[Age]]&lt;40,"30-39",
IF(Table1[[#This Row],[Age]]&lt;50,"40-49",
IF(Table1[[#This Row],[Age]]&lt;60,"50-59","60+"))))</f>
        <v>40-49</v>
      </c>
      <c r="M970" t="s">
        <v>42</v>
      </c>
      <c r="N970" t="s">
        <v>37</v>
      </c>
    </row>
    <row r="971" spans="1:14" x14ac:dyDescent="0.35">
      <c r="A971">
        <v>1070</v>
      </c>
      <c r="B971" t="s">
        <v>29</v>
      </c>
      <c r="C971" s="6">
        <v>43588</v>
      </c>
      <c r="D971">
        <f>YEAR(Table1[[#This Row],[Join Date]])</f>
        <v>2019</v>
      </c>
      <c r="E971" s="6">
        <v>44896</v>
      </c>
      <c r="F971">
        <f>IFERROR(YEAR(Table1[[#This Row],[Exit Date]]), " ")</f>
        <v>2022</v>
      </c>
      <c r="G971">
        <f>IFERROR((Table1[[#This Row],[Exit Year]]-Table1[[#This Row],[Join Year]])+1," ")</f>
        <v>4</v>
      </c>
      <c r="H971" t="s">
        <v>41</v>
      </c>
      <c r="I971" t="s">
        <v>23</v>
      </c>
      <c r="J971" t="s">
        <v>12</v>
      </c>
      <c r="K971">
        <v>41</v>
      </c>
      <c r="L971" t="str">
        <f>IF(Table1[[#This Row],[Age]]&lt;30,"20-29",
IF(Table1[[#This Row],[Age]]&lt;40,"30-39",
IF(Table1[[#This Row],[Age]]&lt;50,"40-49",
IF(Table1[[#This Row],[Age]]&lt;60,"50-59","60+"))))</f>
        <v>40-49</v>
      </c>
      <c r="M971" t="s">
        <v>13</v>
      </c>
      <c r="N971" t="s">
        <v>25</v>
      </c>
    </row>
    <row r="972" spans="1:14" x14ac:dyDescent="0.35">
      <c r="A972">
        <v>1071</v>
      </c>
      <c r="B972" t="s">
        <v>36</v>
      </c>
      <c r="C972" s="6">
        <v>44250</v>
      </c>
      <c r="D972">
        <f>YEAR(Table1[[#This Row],[Join Date]])</f>
        <v>2021</v>
      </c>
      <c r="E972" s="6">
        <v>45392</v>
      </c>
      <c r="F972">
        <f>IFERROR(YEAR(Table1[[#This Row],[Exit Date]]), " ")</f>
        <v>2024</v>
      </c>
      <c r="G972">
        <f>IFERROR((Table1[[#This Row],[Exit Year]]-Table1[[#This Row],[Join Year]])+1," ")</f>
        <v>4</v>
      </c>
      <c r="H972" t="s">
        <v>46</v>
      </c>
      <c r="I972" t="s">
        <v>23</v>
      </c>
      <c r="J972" t="s">
        <v>18</v>
      </c>
      <c r="K972">
        <v>35</v>
      </c>
      <c r="L972" t="str">
        <f>IF(Table1[[#This Row],[Age]]&lt;30,"20-29",
IF(Table1[[#This Row],[Age]]&lt;40,"30-39",
IF(Table1[[#This Row],[Age]]&lt;50,"40-49",
IF(Table1[[#This Row],[Age]]&lt;60,"50-59","60+"))))</f>
        <v>30-39</v>
      </c>
      <c r="M972" t="s">
        <v>13</v>
      </c>
      <c r="N972" t="s">
        <v>35</v>
      </c>
    </row>
    <row r="973" spans="1:14" x14ac:dyDescent="0.35">
      <c r="A973">
        <v>1072</v>
      </c>
      <c r="B973" t="s">
        <v>26</v>
      </c>
      <c r="C973" s="6">
        <v>45244</v>
      </c>
      <c r="D973">
        <f>YEAR(Table1[[#This Row],[Join Date]])</f>
        <v>2023</v>
      </c>
      <c r="E973" s="6">
        <v>45446</v>
      </c>
      <c r="F973">
        <f>IFERROR(YEAR(Table1[[#This Row],[Exit Date]]), " ")</f>
        <v>2024</v>
      </c>
      <c r="G973">
        <f>IFERROR((Table1[[#This Row],[Exit Year]]-Table1[[#This Row],[Join Year]])+1," ")</f>
        <v>2</v>
      </c>
      <c r="H973" t="s">
        <v>40</v>
      </c>
      <c r="I973" t="s">
        <v>23</v>
      </c>
      <c r="J973" t="s">
        <v>18</v>
      </c>
      <c r="K973">
        <v>24</v>
      </c>
      <c r="L973" t="str">
        <f>IF(Table1[[#This Row],[Age]]&lt;30,"20-29",
IF(Table1[[#This Row],[Age]]&lt;40,"30-39",
IF(Table1[[#This Row],[Age]]&lt;50,"40-49",
IF(Table1[[#This Row],[Age]]&lt;60,"50-59","60+"))))</f>
        <v>20-29</v>
      </c>
      <c r="M973" t="s">
        <v>16</v>
      </c>
      <c r="N973" t="s">
        <v>14</v>
      </c>
    </row>
    <row r="974" spans="1:14" x14ac:dyDescent="0.35">
      <c r="A974">
        <v>1073</v>
      </c>
      <c r="B974" t="s">
        <v>15</v>
      </c>
      <c r="C974" s="6">
        <v>45256</v>
      </c>
      <c r="D974">
        <f>YEAR(Table1[[#This Row],[Join Date]])</f>
        <v>2023</v>
      </c>
      <c r="E974" s="6" t="s">
        <v>48</v>
      </c>
      <c r="F974" t="str">
        <f>IFERROR(YEAR(Table1[[#This Row],[Exit Date]]), " ")</f>
        <v xml:space="preserve"> </v>
      </c>
      <c r="G974" t="str">
        <f>IFERROR((Table1[[#This Row],[Exit Year]]-Table1[[#This Row],[Join Year]])+1," ")</f>
        <v xml:space="preserve"> </v>
      </c>
      <c r="H974" t="s">
        <v>48</v>
      </c>
      <c r="I974" t="s">
        <v>11</v>
      </c>
      <c r="J974" t="s">
        <v>12</v>
      </c>
      <c r="K974">
        <v>41</v>
      </c>
      <c r="L974" t="str">
        <f>IF(Table1[[#This Row],[Age]]&lt;30,"20-29",
IF(Table1[[#This Row],[Age]]&lt;40,"30-39",
IF(Table1[[#This Row],[Age]]&lt;50,"40-49",
IF(Table1[[#This Row],[Age]]&lt;60,"50-59","60+"))))</f>
        <v>40-49</v>
      </c>
      <c r="M974" t="s">
        <v>13</v>
      </c>
      <c r="N974" t="s">
        <v>17</v>
      </c>
    </row>
    <row r="975" spans="1:14" x14ac:dyDescent="0.35">
      <c r="A975">
        <v>1074</v>
      </c>
      <c r="B975" t="s">
        <v>26</v>
      </c>
      <c r="C975" s="6">
        <v>45465</v>
      </c>
      <c r="D975">
        <f>YEAR(Table1[[#This Row],[Join Date]])</f>
        <v>2024</v>
      </c>
      <c r="E975" s="6" t="s">
        <v>48</v>
      </c>
      <c r="F975" t="str">
        <f>IFERROR(YEAR(Table1[[#This Row],[Exit Date]]), " ")</f>
        <v xml:space="preserve"> </v>
      </c>
      <c r="G975" t="str">
        <f>IFERROR((Table1[[#This Row],[Exit Year]]-Table1[[#This Row],[Join Year]])+1," ")</f>
        <v xml:space="preserve"> </v>
      </c>
      <c r="H975" t="s">
        <v>48</v>
      </c>
      <c r="I975" t="s">
        <v>11</v>
      </c>
      <c r="J975" t="s">
        <v>18</v>
      </c>
      <c r="K975">
        <v>40</v>
      </c>
      <c r="L975" t="str">
        <f>IF(Table1[[#This Row],[Age]]&lt;30,"20-29",
IF(Table1[[#This Row],[Age]]&lt;40,"30-39",
IF(Table1[[#This Row],[Age]]&lt;50,"40-49",
IF(Table1[[#This Row],[Age]]&lt;60,"50-59","60+"))))</f>
        <v>40-49</v>
      </c>
      <c r="M975" t="s">
        <v>20</v>
      </c>
      <c r="N975" t="s">
        <v>19</v>
      </c>
    </row>
    <row r="976" spans="1:14" x14ac:dyDescent="0.35">
      <c r="A976">
        <v>1075</v>
      </c>
      <c r="B976" t="s">
        <v>10</v>
      </c>
      <c r="C976" s="6">
        <v>43597</v>
      </c>
      <c r="D976">
        <f>YEAR(Table1[[#This Row],[Join Date]])</f>
        <v>2019</v>
      </c>
      <c r="E976" s="6" t="s">
        <v>48</v>
      </c>
      <c r="F976" t="str">
        <f>IFERROR(YEAR(Table1[[#This Row],[Exit Date]]), " ")</f>
        <v xml:space="preserve"> </v>
      </c>
      <c r="G976" t="str">
        <f>IFERROR((Table1[[#This Row],[Exit Year]]-Table1[[#This Row],[Join Year]])+1," ")</f>
        <v xml:space="preserve"> </v>
      </c>
      <c r="H976" t="s">
        <v>48</v>
      </c>
      <c r="I976" t="s">
        <v>11</v>
      </c>
      <c r="J976" t="s">
        <v>18</v>
      </c>
      <c r="K976">
        <v>48</v>
      </c>
      <c r="L976" t="str">
        <f>IF(Table1[[#This Row],[Age]]&lt;30,"20-29",
IF(Table1[[#This Row],[Age]]&lt;40,"30-39",
IF(Table1[[#This Row],[Age]]&lt;50,"40-49",
IF(Table1[[#This Row],[Age]]&lt;60,"50-59","60+"))))</f>
        <v>40-49</v>
      </c>
      <c r="M976" t="s">
        <v>39</v>
      </c>
      <c r="N976" t="s">
        <v>21</v>
      </c>
    </row>
    <row r="977" spans="1:14" x14ac:dyDescent="0.35">
      <c r="A977">
        <v>1076</v>
      </c>
      <c r="B977" t="s">
        <v>15</v>
      </c>
      <c r="C977" s="6">
        <v>44866</v>
      </c>
      <c r="D977">
        <f>YEAR(Table1[[#This Row],[Join Date]])</f>
        <v>2022</v>
      </c>
      <c r="E977" s="6" t="s">
        <v>48</v>
      </c>
      <c r="F977" t="str">
        <f>IFERROR(YEAR(Table1[[#This Row],[Exit Date]]), " ")</f>
        <v xml:space="preserve"> </v>
      </c>
      <c r="G977" t="str">
        <f>IFERROR((Table1[[#This Row],[Exit Year]]-Table1[[#This Row],[Join Year]])+1," ")</f>
        <v xml:space="preserve"> </v>
      </c>
      <c r="H977" t="s">
        <v>48</v>
      </c>
      <c r="I977" t="s">
        <v>11</v>
      </c>
      <c r="J977" t="s">
        <v>18</v>
      </c>
      <c r="K977">
        <v>52</v>
      </c>
      <c r="L977" t="str">
        <f>IF(Table1[[#This Row],[Age]]&lt;30,"20-29",
IF(Table1[[#This Row],[Age]]&lt;40,"30-39",
IF(Table1[[#This Row],[Age]]&lt;50,"40-49",
IF(Table1[[#This Row],[Age]]&lt;60,"50-59","60+"))))</f>
        <v>50-59</v>
      </c>
      <c r="M977" t="s">
        <v>13</v>
      </c>
      <c r="N977" t="s">
        <v>25</v>
      </c>
    </row>
    <row r="978" spans="1:14" x14ac:dyDescent="0.35">
      <c r="A978">
        <v>1077</v>
      </c>
      <c r="B978" t="s">
        <v>34</v>
      </c>
      <c r="C978" s="6">
        <v>44006</v>
      </c>
      <c r="D978">
        <f>YEAR(Table1[[#This Row],[Join Date]])</f>
        <v>2020</v>
      </c>
      <c r="E978" s="6">
        <v>44463</v>
      </c>
      <c r="F978">
        <f>IFERROR(YEAR(Table1[[#This Row],[Exit Date]]), " ")</f>
        <v>2021</v>
      </c>
      <c r="G978">
        <f>IFERROR((Table1[[#This Row],[Exit Year]]-Table1[[#This Row],[Join Year]])+1," ")</f>
        <v>2</v>
      </c>
      <c r="H978" t="s">
        <v>43</v>
      </c>
      <c r="I978" t="s">
        <v>23</v>
      </c>
      <c r="J978" t="s">
        <v>12</v>
      </c>
      <c r="K978">
        <v>33</v>
      </c>
      <c r="L978" t="str">
        <f>IF(Table1[[#This Row],[Age]]&lt;30,"20-29",
IF(Table1[[#This Row],[Age]]&lt;40,"30-39",
IF(Table1[[#This Row],[Age]]&lt;50,"40-49",
IF(Table1[[#This Row],[Age]]&lt;60,"50-59","60+"))))</f>
        <v>30-39</v>
      </c>
      <c r="M978" t="s">
        <v>16</v>
      </c>
      <c r="N978" t="s">
        <v>28</v>
      </c>
    </row>
    <row r="979" spans="1:14" x14ac:dyDescent="0.35">
      <c r="A979">
        <v>1078</v>
      </c>
      <c r="B979" t="s">
        <v>26</v>
      </c>
      <c r="C979" s="6">
        <v>45095</v>
      </c>
      <c r="D979">
        <f>YEAR(Table1[[#This Row],[Join Date]])</f>
        <v>2023</v>
      </c>
      <c r="E979" s="6" t="s">
        <v>48</v>
      </c>
      <c r="F979" t="str">
        <f>IFERROR(YEAR(Table1[[#This Row],[Exit Date]]), " ")</f>
        <v xml:space="preserve"> </v>
      </c>
      <c r="G979" t="str">
        <f>IFERROR((Table1[[#This Row],[Exit Year]]-Table1[[#This Row],[Join Year]])+1," ")</f>
        <v xml:space="preserve"> </v>
      </c>
      <c r="H979" t="s">
        <v>48</v>
      </c>
      <c r="I979" t="s">
        <v>11</v>
      </c>
      <c r="J979" t="s">
        <v>12</v>
      </c>
      <c r="K979">
        <v>51</v>
      </c>
      <c r="L979" t="str">
        <f>IF(Table1[[#This Row],[Age]]&lt;30,"20-29",
IF(Table1[[#This Row],[Age]]&lt;40,"30-39",
IF(Table1[[#This Row],[Age]]&lt;50,"40-49",
IF(Table1[[#This Row],[Age]]&lt;60,"50-59","60+"))))</f>
        <v>50-59</v>
      </c>
      <c r="M979" t="s">
        <v>16</v>
      </c>
      <c r="N979" t="s">
        <v>31</v>
      </c>
    </row>
    <row r="980" spans="1:14" x14ac:dyDescent="0.35">
      <c r="A980">
        <v>1079</v>
      </c>
      <c r="B980" t="s">
        <v>10</v>
      </c>
      <c r="C980" s="6">
        <v>44360</v>
      </c>
      <c r="D980">
        <f>YEAR(Table1[[#This Row],[Join Date]])</f>
        <v>2021</v>
      </c>
      <c r="E980" s="6">
        <v>44755</v>
      </c>
      <c r="F980">
        <f>IFERROR(YEAR(Table1[[#This Row],[Exit Date]]), " ")</f>
        <v>2022</v>
      </c>
      <c r="G980">
        <f>IFERROR((Table1[[#This Row],[Exit Year]]-Table1[[#This Row],[Join Year]])+1," ")</f>
        <v>2</v>
      </c>
      <c r="H980" t="s">
        <v>38</v>
      </c>
      <c r="I980" t="s">
        <v>23</v>
      </c>
      <c r="J980" t="s">
        <v>18</v>
      </c>
      <c r="K980">
        <v>46</v>
      </c>
      <c r="L980" t="str">
        <f>IF(Table1[[#This Row],[Age]]&lt;30,"20-29",
IF(Table1[[#This Row],[Age]]&lt;40,"30-39",
IF(Table1[[#This Row],[Age]]&lt;50,"40-49",
IF(Table1[[#This Row],[Age]]&lt;60,"50-59","60+"))))</f>
        <v>40-49</v>
      </c>
      <c r="M980" t="s">
        <v>20</v>
      </c>
      <c r="N980" t="s">
        <v>32</v>
      </c>
    </row>
    <row r="981" spans="1:14" x14ac:dyDescent="0.35">
      <c r="A981">
        <v>1080</v>
      </c>
      <c r="B981" t="s">
        <v>26</v>
      </c>
      <c r="C981" s="6">
        <v>43419</v>
      </c>
      <c r="D981">
        <f>YEAR(Table1[[#This Row],[Join Date]])</f>
        <v>2018</v>
      </c>
      <c r="E981" s="6">
        <v>44303</v>
      </c>
      <c r="F981">
        <f>IFERROR(YEAR(Table1[[#This Row],[Exit Date]]), " ")</f>
        <v>2021</v>
      </c>
      <c r="G981">
        <f>IFERROR((Table1[[#This Row],[Exit Year]]-Table1[[#This Row],[Join Year]])+1," ")</f>
        <v>4</v>
      </c>
      <c r="H981" t="s">
        <v>22</v>
      </c>
      <c r="I981" t="s">
        <v>23</v>
      </c>
      <c r="J981" t="s">
        <v>18</v>
      </c>
      <c r="K981">
        <v>53</v>
      </c>
      <c r="L981" t="str">
        <f>IF(Table1[[#This Row],[Age]]&lt;30,"20-29",
IF(Table1[[#This Row],[Age]]&lt;40,"30-39",
IF(Table1[[#This Row],[Age]]&lt;50,"40-49",
IF(Table1[[#This Row],[Age]]&lt;60,"50-59","60+"))))</f>
        <v>50-59</v>
      </c>
      <c r="M981" t="s">
        <v>24</v>
      </c>
      <c r="N981" t="s">
        <v>33</v>
      </c>
    </row>
    <row r="982" spans="1:14" x14ac:dyDescent="0.35">
      <c r="A982">
        <v>1081</v>
      </c>
      <c r="B982" t="s">
        <v>36</v>
      </c>
      <c r="C982" s="6">
        <v>44249</v>
      </c>
      <c r="D982">
        <f>YEAR(Table1[[#This Row],[Join Date]])</f>
        <v>2021</v>
      </c>
      <c r="E982" s="6" t="s">
        <v>48</v>
      </c>
      <c r="F982" t="str">
        <f>IFERROR(YEAR(Table1[[#This Row],[Exit Date]]), " ")</f>
        <v xml:space="preserve"> </v>
      </c>
      <c r="G982" t="str">
        <f>IFERROR((Table1[[#This Row],[Exit Year]]-Table1[[#This Row],[Join Year]])+1," ")</f>
        <v xml:space="preserve"> </v>
      </c>
      <c r="H982" t="s">
        <v>48</v>
      </c>
      <c r="I982" t="s">
        <v>11</v>
      </c>
      <c r="J982" t="s">
        <v>12</v>
      </c>
      <c r="K982">
        <v>35</v>
      </c>
      <c r="L982" t="str">
        <f>IF(Table1[[#This Row],[Age]]&lt;30,"20-29",
IF(Table1[[#This Row],[Age]]&lt;40,"30-39",
IF(Table1[[#This Row],[Age]]&lt;50,"40-49",
IF(Table1[[#This Row],[Age]]&lt;60,"50-59","60+"))))</f>
        <v>30-39</v>
      </c>
      <c r="M982" t="s">
        <v>13</v>
      </c>
      <c r="N982" t="s">
        <v>35</v>
      </c>
    </row>
    <row r="983" spans="1:14" x14ac:dyDescent="0.35">
      <c r="A983">
        <v>1082</v>
      </c>
      <c r="B983" t="s">
        <v>10</v>
      </c>
      <c r="C983" s="6">
        <v>45533</v>
      </c>
      <c r="D983">
        <f>YEAR(Table1[[#This Row],[Join Date]])</f>
        <v>2024</v>
      </c>
      <c r="E983" s="6" t="s">
        <v>48</v>
      </c>
      <c r="F983" t="str">
        <f>IFERROR(YEAR(Table1[[#This Row],[Exit Date]]), " ")</f>
        <v xml:space="preserve"> </v>
      </c>
      <c r="G983" t="str">
        <f>IFERROR((Table1[[#This Row],[Exit Year]]-Table1[[#This Row],[Join Year]])+1," ")</f>
        <v xml:space="preserve"> </v>
      </c>
      <c r="H983" t="s">
        <v>48</v>
      </c>
      <c r="I983" t="s">
        <v>11</v>
      </c>
      <c r="J983" t="s">
        <v>18</v>
      </c>
      <c r="K983">
        <v>32</v>
      </c>
      <c r="L983" t="str">
        <f>IF(Table1[[#This Row],[Age]]&lt;30,"20-29",
IF(Table1[[#This Row],[Age]]&lt;40,"30-39",
IF(Table1[[#This Row],[Age]]&lt;50,"40-49",
IF(Table1[[#This Row],[Age]]&lt;60,"50-59","60+"))))</f>
        <v>30-39</v>
      </c>
      <c r="M983" t="s">
        <v>30</v>
      </c>
      <c r="N983" t="s">
        <v>37</v>
      </c>
    </row>
    <row r="984" spans="1:14" x14ac:dyDescent="0.35">
      <c r="A984">
        <v>1083</v>
      </c>
      <c r="B984" t="s">
        <v>36</v>
      </c>
      <c r="C984" s="6">
        <v>44377</v>
      </c>
      <c r="D984">
        <f>YEAR(Table1[[#This Row],[Join Date]])</f>
        <v>2021</v>
      </c>
      <c r="E984" s="6" t="s">
        <v>48</v>
      </c>
      <c r="F984" t="str">
        <f>IFERROR(YEAR(Table1[[#This Row],[Exit Date]]), " ")</f>
        <v xml:space="preserve"> </v>
      </c>
      <c r="G984" t="str">
        <f>IFERROR((Table1[[#This Row],[Exit Year]]-Table1[[#This Row],[Join Year]])+1," ")</f>
        <v xml:space="preserve"> </v>
      </c>
      <c r="H984" t="s">
        <v>48</v>
      </c>
      <c r="I984" t="s">
        <v>11</v>
      </c>
      <c r="J984" t="s">
        <v>18</v>
      </c>
      <c r="K984">
        <v>46</v>
      </c>
      <c r="L984" t="str">
        <f>IF(Table1[[#This Row],[Age]]&lt;30,"20-29",
IF(Table1[[#This Row],[Age]]&lt;40,"30-39",
IF(Table1[[#This Row],[Age]]&lt;50,"40-49",
IF(Table1[[#This Row],[Age]]&lt;60,"50-59","60+"))))</f>
        <v>40-49</v>
      </c>
      <c r="M984" t="s">
        <v>13</v>
      </c>
      <c r="N984" t="s">
        <v>19</v>
      </c>
    </row>
    <row r="985" spans="1:14" x14ac:dyDescent="0.35">
      <c r="A985">
        <v>1084</v>
      </c>
      <c r="B985" t="s">
        <v>10</v>
      </c>
      <c r="C985" s="6">
        <v>44088</v>
      </c>
      <c r="D985">
        <f>YEAR(Table1[[#This Row],[Join Date]])</f>
        <v>2020</v>
      </c>
      <c r="E985" s="6" t="s">
        <v>48</v>
      </c>
      <c r="F985" t="str">
        <f>IFERROR(YEAR(Table1[[#This Row],[Exit Date]]), " ")</f>
        <v xml:space="preserve"> </v>
      </c>
      <c r="G985" t="str">
        <f>IFERROR((Table1[[#This Row],[Exit Year]]-Table1[[#This Row],[Join Year]])+1," ")</f>
        <v xml:space="preserve"> </v>
      </c>
      <c r="H985" t="s">
        <v>48</v>
      </c>
      <c r="I985" t="s">
        <v>11</v>
      </c>
      <c r="J985" t="s">
        <v>18</v>
      </c>
      <c r="K985">
        <v>50</v>
      </c>
      <c r="L985" t="str">
        <f>IF(Table1[[#This Row],[Age]]&lt;30,"20-29",
IF(Table1[[#This Row],[Age]]&lt;40,"30-39",
IF(Table1[[#This Row],[Age]]&lt;50,"40-49",
IF(Table1[[#This Row],[Age]]&lt;60,"50-59","60+"))))</f>
        <v>50-59</v>
      </c>
      <c r="M985" t="s">
        <v>13</v>
      </c>
      <c r="N985" t="s">
        <v>25</v>
      </c>
    </row>
    <row r="986" spans="1:14" x14ac:dyDescent="0.35">
      <c r="A986">
        <v>1085</v>
      </c>
      <c r="B986" t="s">
        <v>26</v>
      </c>
      <c r="C986" s="6">
        <v>43373</v>
      </c>
      <c r="D986">
        <f>YEAR(Table1[[#This Row],[Join Date]])</f>
        <v>2018</v>
      </c>
      <c r="E986" s="6">
        <v>44825</v>
      </c>
      <c r="F986">
        <f>IFERROR(YEAR(Table1[[#This Row],[Exit Date]]), " ")</f>
        <v>2022</v>
      </c>
      <c r="G986">
        <f>IFERROR((Table1[[#This Row],[Exit Year]]-Table1[[#This Row],[Join Year]])+1," ")</f>
        <v>5</v>
      </c>
      <c r="H986" t="s">
        <v>27</v>
      </c>
      <c r="I986" t="s">
        <v>23</v>
      </c>
      <c r="J986" t="s">
        <v>12</v>
      </c>
      <c r="K986">
        <v>63</v>
      </c>
      <c r="L986" t="str">
        <f>IF(Table1[[#This Row],[Age]]&lt;30,"20-29",
IF(Table1[[#This Row],[Age]]&lt;40,"30-39",
IF(Table1[[#This Row],[Age]]&lt;50,"40-49",
IF(Table1[[#This Row],[Age]]&lt;60,"50-59","60+"))))</f>
        <v>60+</v>
      </c>
      <c r="M986" t="s">
        <v>16</v>
      </c>
      <c r="N986" t="s">
        <v>35</v>
      </c>
    </row>
    <row r="987" spans="1:14" x14ac:dyDescent="0.35">
      <c r="A987">
        <v>1086</v>
      </c>
      <c r="B987" t="s">
        <v>26</v>
      </c>
      <c r="C987" s="6">
        <v>43314</v>
      </c>
      <c r="D987">
        <f>YEAR(Table1[[#This Row],[Join Date]])</f>
        <v>2018</v>
      </c>
      <c r="E987" s="6" t="s">
        <v>48</v>
      </c>
      <c r="F987" t="str">
        <f>IFERROR(YEAR(Table1[[#This Row],[Exit Date]]), " ")</f>
        <v xml:space="preserve"> </v>
      </c>
      <c r="G987" t="str">
        <f>IFERROR((Table1[[#This Row],[Exit Year]]-Table1[[#This Row],[Join Year]])+1," ")</f>
        <v xml:space="preserve"> </v>
      </c>
      <c r="H987" t="s">
        <v>48</v>
      </c>
      <c r="I987" t="s">
        <v>11</v>
      </c>
      <c r="J987" t="s">
        <v>12</v>
      </c>
      <c r="K987">
        <v>29</v>
      </c>
      <c r="L987" t="str">
        <f>IF(Table1[[#This Row],[Age]]&lt;30,"20-29",
IF(Table1[[#This Row],[Age]]&lt;40,"30-39",
IF(Table1[[#This Row],[Age]]&lt;50,"40-49",
IF(Table1[[#This Row],[Age]]&lt;60,"50-59","60+"))))</f>
        <v>20-29</v>
      </c>
      <c r="M987" t="s">
        <v>13</v>
      </c>
      <c r="N987" t="s">
        <v>17</v>
      </c>
    </row>
    <row r="988" spans="1:14" x14ac:dyDescent="0.35">
      <c r="A988">
        <v>1087</v>
      </c>
      <c r="B988" t="s">
        <v>26</v>
      </c>
      <c r="C988" s="6">
        <v>44418</v>
      </c>
      <c r="D988">
        <f>YEAR(Table1[[#This Row],[Join Date]])</f>
        <v>2021</v>
      </c>
      <c r="E988" s="6">
        <v>45628</v>
      </c>
      <c r="F988">
        <f>IFERROR(YEAR(Table1[[#This Row],[Exit Date]]), " ")</f>
        <v>2024</v>
      </c>
      <c r="G988">
        <f>IFERROR((Table1[[#This Row],[Exit Year]]-Table1[[#This Row],[Join Year]])+1," ")</f>
        <v>4</v>
      </c>
      <c r="H988" t="s">
        <v>22</v>
      </c>
      <c r="I988" t="s">
        <v>23</v>
      </c>
      <c r="J988" t="s">
        <v>18</v>
      </c>
      <c r="K988">
        <v>27</v>
      </c>
      <c r="L988" t="str">
        <f>IF(Table1[[#This Row],[Age]]&lt;30,"20-29",
IF(Table1[[#This Row],[Age]]&lt;40,"30-39",
IF(Table1[[#This Row],[Age]]&lt;50,"40-49",
IF(Table1[[#This Row],[Age]]&lt;60,"50-59","60+"))))</f>
        <v>20-29</v>
      </c>
      <c r="M988" t="s">
        <v>20</v>
      </c>
      <c r="N988" t="s">
        <v>19</v>
      </c>
    </row>
    <row r="989" spans="1:14" x14ac:dyDescent="0.35">
      <c r="A989">
        <v>1088</v>
      </c>
      <c r="B989" t="s">
        <v>34</v>
      </c>
      <c r="C989" s="6">
        <v>44324</v>
      </c>
      <c r="D989">
        <f>YEAR(Table1[[#This Row],[Join Date]])</f>
        <v>2021</v>
      </c>
      <c r="E989" s="6">
        <v>45076</v>
      </c>
      <c r="F989">
        <f>IFERROR(YEAR(Table1[[#This Row],[Exit Date]]), " ")</f>
        <v>2023</v>
      </c>
      <c r="G989">
        <f>IFERROR((Table1[[#This Row],[Exit Year]]-Table1[[#This Row],[Join Year]])+1," ")</f>
        <v>3</v>
      </c>
      <c r="H989" t="s">
        <v>40</v>
      </c>
      <c r="I989" t="s">
        <v>23</v>
      </c>
      <c r="J989" t="s">
        <v>18</v>
      </c>
      <c r="K989">
        <v>31</v>
      </c>
      <c r="L989" t="str">
        <f>IF(Table1[[#This Row],[Age]]&lt;30,"20-29",
IF(Table1[[#This Row],[Age]]&lt;40,"30-39",
IF(Table1[[#This Row],[Age]]&lt;50,"40-49",
IF(Table1[[#This Row],[Age]]&lt;60,"50-59","60+"))))</f>
        <v>30-39</v>
      </c>
      <c r="M989" t="s">
        <v>44</v>
      </c>
      <c r="N989" t="s">
        <v>21</v>
      </c>
    </row>
    <row r="990" spans="1:14" x14ac:dyDescent="0.35">
      <c r="A990">
        <v>1089</v>
      </c>
      <c r="B990" t="s">
        <v>10</v>
      </c>
      <c r="C990" s="6">
        <v>43513</v>
      </c>
      <c r="D990">
        <f>YEAR(Table1[[#This Row],[Join Date]])</f>
        <v>2019</v>
      </c>
      <c r="E990" s="6">
        <v>44923</v>
      </c>
      <c r="F990">
        <f>IFERROR(YEAR(Table1[[#This Row],[Exit Date]]), " ")</f>
        <v>2022</v>
      </c>
      <c r="G990">
        <f>IFERROR((Table1[[#This Row],[Exit Year]]-Table1[[#This Row],[Join Year]])+1," ")</f>
        <v>4</v>
      </c>
      <c r="H990" t="s">
        <v>38</v>
      </c>
      <c r="I990" t="s">
        <v>23</v>
      </c>
      <c r="J990" t="s">
        <v>18</v>
      </c>
      <c r="K990">
        <v>24</v>
      </c>
      <c r="L990" t="str">
        <f>IF(Table1[[#This Row],[Age]]&lt;30,"20-29",
IF(Table1[[#This Row],[Age]]&lt;40,"30-39",
IF(Table1[[#This Row],[Age]]&lt;50,"40-49",
IF(Table1[[#This Row],[Age]]&lt;60,"50-59","60+"))))</f>
        <v>20-29</v>
      </c>
      <c r="M990" t="s">
        <v>13</v>
      </c>
      <c r="N990" t="s">
        <v>25</v>
      </c>
    </row>
    <row r="991" spans="1:14" x14ac:dyDescent="0.35">
      <c r="A991">
        <v>1090</v>
      </c>
      <c r="B991" t="s">
        <v>36</v>
      </c>
      <c r="C991" s="6">
        <v>44180</v>
      </c>
      <c r="D991">
        <f>YEAR(Table1[[#This Row],[Join Date]])</f>
        <v>2020</v>
      </c>
      <c r="E991" s="6" t="s">
        <v>48</v>
      </c>
      <c r="F991" t="str">
        <f>IFERROR(YEAR(Table1[[#This Row],[Exit Date]]), " ")</f>
        <v xml:space="preserve"> </v>
      </c>
      <c r="G991" t="str">
        <f>IFERROR((Table1[[#This Row],[Exit Year]]-Table1[[#This Row],[Join Year]])+1," ")</f>
        <v xml:space="preserve"> </v>
      </c>
      <c r="H991" t="s">
        <v>48</v>
      </c>
      <c r="I991" t="s">
        <v>11</v>
      </c>
      <c r="J991" t="s">
        <v>12</v>
      </c>
      <c r="K991">
        <v>37</v>
      </c>
      <c r="L991" t="str">
        <f>IF(Table1[[#This Row],[Age]]&lt;30,"20-29",
IF(Table1[[#This Row],[Age]]&lt;40,"30-39",
IF(Table1[[#This Row],[Age]]&lt;50,"40-49",
IF(Table1[[#This Row],[Age]]&lt;60,"50-59","60+"))))</f>
        <v>30-39</v>
      </c>
      <c r="M991" t="s">
        <v>16</v>
      </c>
      <c r="N991" t="s">
        <v>35</v>
      </c>
    </row>
    <row r="992" spans="1:14" x14ac:dyDescent="0.35">
      <c r="A992">
        <v>1091</v>
      </c>
      <c r="B992" t="s">
        <v>34</v>
      </c>
      <c r="C992" s="6">
        <v>44099</v>
      </c>
      <c r="D992">
        <f>YEAR(Table1[[#This Row],[Join Date]])</f>
        <v>2020</v>
      </c>
      <c r="E992" s="6" t="s">
        <v>48</v>
      </c>
      <c r="F992" t="str">
        <f>IFERROR(YEAR(Table1[[#This Row],[Exit Date]]), " ")</f>
        <v xml:space="preserve"> </v>
      </c>
      <c r="G992" t="str">
        <f>IFERROR((Table1[[#This Row],[Exit Year]]-Table1[[#This Row],[Join Year]])+1," ")</f>
        <v xml:space="preserve"> </v>
      </c>
      <c r="H992" t="s">
        <v>48</v>
      </c>
      <c r="I992" t="s">
        <v>11</v>
      </c>
      <c r="J992" t="s">
        <v>12</v>
      </c>
      <c r="K992">
        <v>23</v>
      </c>
      <c r="L992" t="str">
        <f>IF(Table1[[#This Row],[Age]]&lt;30,"20-29",
IF(Table1[[#This Row],[Age]]&lt;40,"30-39",
IF(Table1[[#This Row],[Age]]&lt;50,"40-49",
IF(Table1[[#This Row],[Age]]&lt;60,"50-59","60+"))))</f>
        <v>20-29</v>
      </c>
      <c r="M992" t="s">
        <v>16</v>
      </c>
      <c r="N992" t="s">
        <v>14</v>
      </c>
    </row>
    <row r="993" spans="1:14" x14ac:dyDescent="0.35">
      <c r="A993">
        <v>1092</v>
      </c>
      <c r="B993" t="s">
        <v>34</v>
      </c>
      <c r="C993" s="6">
        <v>45632</v>
      </c>
      <c r="D993">
        <f>YEAR(Table1[[#This Row],[Join Date]])</f>
        <v>2024</v>
      </c>
      <c r="E993" s="6" t="s">
        <v>48</v>
      </c>
      <c r="F993" t="str">
        <f>IFERROR(YEAR(Table1[[#This Row],[Exit Date]]), " ")</f>
        <v xml:space="preserve"> </v>
      </c>
      <c r="G993" t="str">
        <f>IFERROR((Table1[[#This Row],[Exit Year]]-Table1[[#This Row],[Join Year]])+1," ")</f>
        <v xml:space="preserve"> </v>
      </c>
      <c r="H993" t="s">
        <v>48</v>
      </c>
      <c r="I993" t="s">
        <v>11</v>
      </c>
      <c r="J993" t="s">
        <v>12</v>
      </c>
      <c r="K993">
        <v>31</v>
      </c>
      <c r="L993" t="str">
        <f>IF(Table1[[#This Row],[Age]]&lt;30,"20-29",
IF(Table1[[#This Row],[Age]]&lt;40,"30-39",
IF(Table1[[#This Row],[Age]]&lt;50,"40-49",
IF(Table1[[#This Row],[Age]]&lt;60,"50-59","60+"))))</f>
        <v>30-39</v>
      </c>
      <c r="M993" t="s">
        <v>20</v>
      </c>
      <c r="N993" t="s">
        <v>19</v>
      </c>
    </row>
    <row r="994" spans="1:14" x14ac:dyDescent="0.35">
      <c r="A994">
        <v>1093</v>
      </c>
      <c r="B994" t="s">
        <v>36</v>
      </c>
      <c r="C994" s="6">
        <v>45294</v>
      </c>
      <c r="D994">
        <f>YEAR(Table1[[#This Row],[Join Date]])</f>
        <v>2024</v>
      </c>
      <c r="E994" s="6" t="s">
        <v>48</v>
      </c>
      <c r="F994" t="str">
        <f>IFERROR(YEAR(Table1[[#This Row],[Exit Date]]), " ")</f>
        <v xml:space="preserve"> </v>
      </c>
      <c r="G994" t="str">
        <f>IFERROR((Table1[[#This Row],[Exit Year]]-Table1[[#This Row],[Join Year]])+1," ")</f>
        <v xml:space="preserve"> </v>
      </c>
      <c r="H994" t="s">
        <v>48</v>
      </c>
      <c r="I994" t="s">
        <v>11</v>
      </c>
      <c r="J994" t="s">
        <v>18</v>
      </c>
      <c r="K994">
        <v>52</v>
      </c>
      <c r="L994" t="str">
        <f>IF(Table1[[#This Row],[Age]]&lt;30,"20-29",
IF(Table1[[#This Row],[Age]]&lt;40,"30-39",
IF(Table1[[#This Row],[Age]]&lt;50,"40-49",
IF(Table1[[#This Row],[Age]]&lt;60,"50-59","60+"))))</f>
        <v>50-59</v>
      </c>
      <c r="M994" t="s">
        <v>24</v>
      </c>
      <c r="N994" t="s">
        <v>21</v>
      </c>
    </row>
    <row r="995" spans="1:14" x14ac:dyDescent="0.35">
      <c r="A995">
        <v>1094</v>
      </c>
      <c r="B995" t="s">
        <v>26</v>
      </c>
      <c r="C995" s="6">
        <v>44590</v>
      </c>
      <c r="D995">
        <f>YEAR(Table1[[#This Row],[Join Date]])</f>
        <v>2022</v>
      </c>
      <c r="E995" s="6" t="s">
        <v>48</v>
      </c>
      <c r="F995" t="str">
        <f>IFERROR(YEAR(Table1[[#This Row],[Exit Date]]), " ")</f>
        <v xml:space="preserve"> </v>
      </c>
      <c r="G995" t="str">
        <f>IFERROR((Table1[[#This Row],[Exit Year]]-Table1[[#This Row],[Join Year]])+1," ")</f>
        <v xml:space="preserve"> </v>
      </c>
      <c r="H995" t="s">
        <v>48</v>
      </c>
      <c r="I995" t="s">
        <v>11</v>
      </c>
      <c r="J995" t="s">
        <v>18</v>
      </c>
      <c r="K995">
        <v>25</v>
      </c>
      <c r="L995" t="str">
        <f>IF(Table1[[#This Row],[Age]]&lt;30,"20-29",
IF(Table1[[#This Row],[Age]]&lt;40,"30-39",
IF(Table1[[#This Row],[Age]]&lt;50,"40-49",
IF(Table1[[#This Row],[Age]]&lt;60,"50-59","60+"))))</f>
        <v>20-29</v>
      </c>
      <c r="M995" t="s">
        <v>13</v>
      </c>
      <c r="N995" t="s">
        <v>37</v>
      </c>
    </row>
    <row r="996" spans="1:14" x14ac:dyDescent="0.35">
      <c r="A996">
        <v>1095</v>
      </c>
      <c r="B996" t="s">
        <v>15</v>
      </c>
      <c r="C996" s="6">
        <v>45215</v>
      </c>
      <c r="D996">
        <f>YEAR(Table1[[#This Row],[Join Date]])</f>
        <v>2023</v>
      </c>
      <c r="E996" s="6" t="s">
        <v>48</v>
      </c>
      <c r="F996" t="str">
        <f>IFERROR(YEAR(Table1[[#This Row],[Exit Date]]), " ")</f>
        <v xml:space="preserve"> </v>
      </c>
      <c r="G996" t="str">
        <f>IFERROR((Table1[[#This Row],[Exit Year]]-Table1[[#This Row],[Join Year]])+1," ")</f>
        <v xml:space="preserve"> </v>
      </c>
      <c r="H996" t="s">
        <v>48</v>
      </c>
      <c r="I996" t="s">
        <v>11</v>
      </c>
      <c r="J996" t="s">
        <v>12</v>
      </c>
      <c r="K996">
        <v>46</v>
      </c>
      <c r="L996" t="str">
        <f>IF(Table1[[#This Row],[Age]]&lt;30,"20-29",
IF(Table1[[#This Row],[Age]]&lt;40,"30-39",
IF(Table1[[#This Row],[Age]]&lt;50,"40-49",
IF(Table1[[#This Row],[Age]]&lt;60,"50-59","60+"))))</f>
        <v>40-49</v>
      </c>
      <c r="M996" t="s">
        <v>42</v>
      </c>
      <c r="N996" t="s">
        <v>25</v>
      </c>
    </row>
    <row r="997" spans="1:14" x14ac:dyDescent="0.35">
      <c r="A997">
        <v>1096</v>
      </c>
      <c r="B997" t="s">
        <v>15</v>
      </c>
      <c r="C997" s="6">
        <v>43624</v>
      </c>
      <c r="D997">
        <f>YEAR(Table1[[#This Row],[Join Date]])</f>
        <v>2019</v>
      </c>
      <c r="E997" s="6">
        <v>44228</v>
      </c>
      <c r="F997">
        <f>IFERROR(YEAR(Table1[[#This Row],[Exit Date]]), " ")</f>
        <v>2021</v>
      </c>
      <c r="G997">
        <f>IFERROR((Table1[[#This Row],[Exit Year]]-Table1[[#This Row],[Join Year]])+1," ")</f>
        <v>3</v>
      </c>
      <c r="H997" t="s">
        <v>41</v>
      </c>
      <c r="I997" t="s">
        <v>23</v>
      </c>
      <c r="J997" t="s">
        <v>12</v>
      </c>
      <c r="K997">
        <v>24</v>
      </c>
      <c r="L997" t="str">
        <f>IF(Table1[[#This Row],[Age]]&lt;30,"20-29",
IF(Table1[[#This Row],[Age]]&lt;40,"30-39",
IF(Table1[[#This Row],[Age]]&lt;50,"40-49",
IF(Table1[[#This Row],[Age]]&lt;60,"50-59","60+"))))</f>
        <v>20-29</v>
      </c>
      <c r="M997" t="s">
        <v>13</v>
      </c>
      <c r="N997" t="s">
        <v>35</v>
      </c>
    </row>
    <row r="998" spans="1:14" x14ac:dyDescent="0.35">
      <c r="A998">
        <v>1097</v>
      </c>
      <c r="B998" t="s">
        <v>15</v>
      </c>
      <c r="C998" s="6">
        <v>44514</v>
      </c>
      <c r="D998">
        <f>YEAR(Table1[[#This Row],[Join Date]])</f>
        <v>2021</v>
      </c>
      <c r="E998" s="6">
        <v>45529</v>
      </c>
      <c r="F998">
        <f>IFERROR(YEAR(Table1[[#This Row],[Exit Date]]), " ")</f>
        <v>2024</v>
      </c>
      <c r="G998">
        <f>IFERROR((Table1[[#This Row],[Exit Year]]-Table1[[#This Row],[Join Year]])+1," ")</f>
        <v>4</v>
      </c>
      <c r="H998" t="s">
        <v>41</v>
      </c>
      <c r="I998" t="s">
        <v>23</v>
      </c>
      <c r="J998" t="s">
        <v>12</v>
      </c>
      <c r="K998">
        <v>38</v>
      </c>
      <c r="L998" t="str">
        <f>IF(Table1[[#This Row],[Age]]&lt;30,"20-29",
IF(Table1[[#This Row],[Age]]&lt;40,"30-39",
IF(Table1[[#This Row],[Age]]&lt;50,"40-49",
IF(Table1[[#This Row],[Age]]&lt;60,"50-59","60+"))))</f>
        <v>30-39</v>
      </c>
      <c r="M998" t="s">
        <v>13</v>
      </c>
      <c r="N998" t="s">
        <v>35</v>
      </c>
    </row>
    <row r="999" spans="1:14" x14ac:dyDescent="0.35">
      <c r="A999">
        <v>1098</v>
      </c>
      <c r="B999" t="s">
        <v>29</v>
      </c>
      <c r="C999" s="6">
        <v>43700</v>
      </c>
      <c r="D999">
        <f>YEAR(Table1[[#This Row],[Join Date]])</f>
        <v>2019</v>
      </c>
      <c r="E999" s="6" t="s">
        <v>48</v>
      </c>
      <c r="F999" t="str">
        <f>IFERROR(YEAR(Table1[[#This Row],[Exit Date]]), " ")</f>
        <v xml:space="preserve"> </v>
      </c>
      <c r="G999" t="str">
        <f>IFERROR((Table1[[#This Row],[Exit Year]]-Table1[[#This Row],[Join Year]])+1," ")</f>
        <v xml:space="preserve"> </v>
      </c>
      <c r="H999" t="s">
        <v>48</v>
      </c>
      <c r="I999" t="s">
        <v>11</v>
      </c>
      <c r="J999" t="s">
        <v>12</v>
      </c>
      <c r="K999">
        <v>49</v>
      </c>
      <c r="L999" t="str">
        <f>IF(Table1[[#This Row],[Age]]&lt;30,"20-29",
IF(Table1[[#This Row],[Age]]&lt;40,"30-39",
IF(Table1[[#This Row],[Age]]&lt;50,"40-49",
IF(Table1[[#This Row],[Age]]&lt;60,"50-59","60+"))))</f>
        <v>40-49</v>
      </c>
      <c r="M999" t="s">
        <v>16</v>
      </c>
      <c r="N999" t="s">
        <v>14</v>
      </c>
    </row>
    <row r="1000" spans="1:14" x14ac:dyDescent="0.35">
      <c r="A1000">
        <v>1099</v>
      </c>
      <c r="B1000" t="s">
        <v>34</v>
      </c>
      <c r="C1000" s="6">
        <v>45540</v>
      </c>
      <c r="D1000">
        <f>YEAR(Table1[[#This Row],[Join Date]])</f>
        <v>2024</v>
      </c>
      <c r="E1000" s="6" t="s">
        <v>48</v>
      </c>
      <c r="F1000" t="str">
        <f>IFERROR(YEAR(Table1[[#This Row],[Exit Date]]), " ")</f>
        <v xml:space="preserve"> </v>
      </c>
      <c r="G1000" t="str">
        <f>IFERROR((Table1[[#This Row],[Exit Year]]-Table1[[#This Row],[Join Year]])+1," ")</f>
        <v xml:space="preserve"> </v>
      </c>
      <c r="H1000" t="s">
        <v>48</v>
      </c>
      <c r="I1000" t="s">
        <v>11</v>
      </c>
      <c r="J1000" t="s">
        <v>12</v>
      </c>
      <c r="K1000">
        <v>31</v>
      </c>
      <c r="L1000" t="str">
        <f>IF(Table1[[#This Row],[Age]]&lt;30,"20-29",
IF(Table1[[#This Row],[Age]]&lt;40,"30-39",
IF(Table1[[#This Row],[Age]]&lt;50,"40-49",
IF(Table1[[#This Row],[Age]]&lt;60,"50-59","60+"))))</f>
        <v>30-39</v>
      </c>
      <c r="M1000" t="s">
        <v>13</v>
      </c>
      <c r="N1000" t="s">
        <v>17</v>
      </c>
    </row>
    <row r="1001" spans="1:14" x14ac:dyDescent="0.35">
      <c r="A1001">
        <v>1100</v>
      </c>
      <c r="B1001" t="s">
        <v>10</v>
      </c>
      <c r="C1001" s="6">
        <v>43297</v>
      </c>
      <c r="D1001">
        <f>YEAR(Table1[[#This Row],[Join Date]])</f>
        <v>2018</v>
      </c>
      <c r="E1001" s="6">
        <v>44682</v>
      </c>
      <c r="F1001">
        <f>IFERROR(YEAR(Table1[[#This Row],[Exit Date]]), " ")</f>
        <v>2022</v>
      </c>
      <c r="G1001">
        <f>IFERROR((Table1[[#This Row],[Exit Year]]-Table1[[#This Row],[Join Year]])+1," ")</f>
        <v>5</v>
      </c>
      <c r="H1001" t="s">
        <v>40</v>
      </c>
      <c r="I1001" t="s">
        <v>23</v>
      </c>
      <c r="J1001" t="s">
        <v>12</v>
      </c>
      <c r="K1001">
        <v>51</v>
      </c>
      <c r="L1001" t="str">
        <f>IF(Table1[[#This Row],[Age]]&lt;30,"20-29",
IF(Table1[[#This Row],[Age]]&lt;40,"30-39",
IF(Table1[[#This Row],[Age]]&lt;50,"40-49",
IF(Table1[[#This Row],[Age]]&lt;60,"50-59","60+"))))</f>
        <v>50-59</v>
      </c>
      <c r="M1001" t="s">
        <v>20</v>
      </c>
      <c r="N1001" t="s">
        <v>19</v>
      </c>
    </row>
    <row r="1002" spans="1:14" x14ac:dyDescent="0.35">
      <c r="A1002">
        <v>1101</v>
      </c>
      <c r="B1002" t="s">
        <v>10</v>
      </c>
      <c r="C1002" s="6">
        <v>43407</v>
      </c>
      <c r="D1002">
        <f>YEAR(Table1[[#This Row],[Join Date]])</f>
        <v>2018</v>
      </c>
      <c r="E1002" s="6" t="s">
        <v>48</v>
      </c>
      <c r="F1002" t="str">
        <f>IFERROR(YEAR(Table1[[#This Row],[Exit Date]]), " ")</f>
        <v xml:space="preserve"> </v>
      </c>
      <c r="G1002" t="str">
        <f>IFERROR((Table1[[#This Row],[Exit Year]]-Table1[[#This Row],[Join Year]])+1," ")</f>
        <v xml:space="preserve"> </v>
      </c>
      <c r="H1002" t="s">
        <v>48</v>
      </c>
      <c r="I1002" t="s">
        <v>11</v>
      </c>
      <c r="J1002" t="s">
        <v>18</v>
      </c>
      <c r="K1002">
        <v>27</v>
      </c>
      <c r="L1002" t="str">
        <f>IF(Table1[[#This Row],[Age]]&lt;30,"20-29",
IF(Table1[[#This Row],[Age]]&lt;40,"30-39",
IF(Table1[[#This Row],[Age]]&lt;50,"40-49",
IF(Table1[[#This Row],[Age]]&lt;60,"50-59","60+"))))</f>
        <v>20-29</v>
      </c>
      <c r="M1002" t="s">
        <v>44</v>
      </c>
      <c r="N1002" t="s">
        <v>21</v>
      </c>
    </row>
    <row r="1003" spans="1:14" x14ac:dyDescent="0.35">
      <c r="A1003">
        <v>1102</v>
      </c>
      <c r="B1003" t="s">
        <v>15</v>
      </c>
      <c r="C1003" s="6">
        <v>44121</v>
      </c>
      <c r="D1003">
        <f>YEAR(Table1[[#This Row],[Join Date]])</f>
        <v>2020</v>
      </c>
      <c r="E1003" s="6" t="s">
        <v>48</v>
      </c>
      <c r="F1003" t="str">
        <f>IFERROR(YEAR(Table1[[#This Row],[Exit Date]]), " ")</f>
        <v xml:space="preserve"> </v>
      </c>
      <c r="G1003" t="str">
        <f>IFERROR((Table1[[#This Row],[Exit Year]]-Table1[[#This Row],[Join Year]])+1," ")</f>
        <v xml:space="preserve"> </v>
      </c>
      <c r="H1003" t="s">
        <v>48</v>
      </c>
      <c r="I1003" t="s">
        <v>11</v>
      </c>
      <c r="J1003" t="s">
        <v>12</v>
      </c>
      <c r="K1003">
        <v>22</v>
      </c>
      <c r="L1003" t="str">
        <f>IF(Table1[[#This Row],[Age]]&lt;30,"20-29",
IF(Table1[[#This Row],[Age]]&lt;40,"30-39",
IF(Table1[[#This Row],[Age]]&lt;50,"40-49",
IF(Table1[[#This Row],[Age]]&lt;60,"50-59","60+"))))</f>
        <v>20-29</v>
      </c>
      <c r="M1003" t="s">
        <v>13</v>
      </c>
      <c r="N1003" t="s">
        <v>25</v>
      </c>
    </row>
    <row r="1004" spans="1:14" x14ac:dyDescent="0.35">
      <c r="A1004">
        <v>1103</v>
      </c>
      <c r="B1004" t="s">
        <v>15</v>
      </c>
      <c r="C1004" s="6">
        <v>44423</v>
      </c>
      <c r="D1004">
        <f>YEAR(Table1[[#This Row],[Join Date]])</f>
        <v>2021</v>
      </c>
      <c r="E1004" s="6" t="s">
        <v>48</v>
      </c>
      <c r="F1004" t="str">
        <f>IFERROR(YEAR(Table1[[#This Row],[Exit Date]]), " ")</f>
        <v xml:space="preserve"> </v>
      </c>
      <c r="G1004" t="str">
        <f>IFERROR((Table1[[#This Row],[Exit Year]]-Table1[[#This Row],[Join Year]])+1," ")</f>
        <v xml:space="preserve"> </v>
      </c>
      <c r="H1004" t="s">
        <v>48</v>
      </c>
      <c r="I1004" t="s">
        <v>11</v>
      </c>
      <c r="J1004" t="s">
        <v>18</v>
      </c>
      <c r="K1004">
        <v>50</v>
      </c>
      <c r="L1004" t="str">
        <f>IF(Table1[[#This Row],[Age]]&lt;30,"20-29",
IF(Table1[[#This Row],[Age]]&lt;40,"30-39",
IF(Table1[[#This Row],[Age]]&lt;50,"40-49",
IF(Table1[[#This Row],[Age]]&lt;60,"50-59","60+"))))</f>
        <v>50-59</v>
      </c>
      <c r="M1004" t="s">
        <v>16</v>
      </c>
      <c r="N1004" t="s">
        <v>28</v>
      </c>
    </row>
    <row r="1005" spans="1:14" x14ac:dyDescent="0.35">
      <c r="A1005">
        <v>1104</v>
      </c>
      <c r="B1005" t="s">
        <v>15</v>
      </c>
      <c r="C1005" s="6">
        <v>45087</v>
      </c>
      <c r="D1005">
        <f>YEAR(Table1[[#This Row],[Join Date]])</f>
        <v>2023</v>
      </c>
      <c r="E1005" s="6" t="s">
        <v>48</v>
      </c>
      <c r="F1005" t="str">
        <f>IFERROR(YEAR(Table1[[#This Row],[Exit Date]]), " ")</f>
        <v xml:space="preserve"> </v>
      </c>
      <c r="G1005" t="str">
        <f>IFERROR((Table1[[#This Row],[Exit Year]]-Table1[[#This Row],[Join Year]])+1," ")</f>
        <v xml:space="preserve"> </v>
      </c>
      <c r="H1005" t="s">
        <v>48</v>
      </c>
      <c r="I1005" t="s">
        <v>11</v>
      </c>
      <c r="J1005" t="s">
        <v>18</v>
      </c>
      <c r="K1005">
        <v>24</v>
      </c>
      <c r="L1005" t="str">
        <f>IF(Table1[[#This Row],[Age]]&lt;30,"20-29",
IF(Table1[[#This Row],[Age]]&lt;40,"30-39",
IF(Table1[[#This Row],[Age]]&lt;50,"40-49",
IF(Table1[[#This Row],[Age]]&lt;60,"50-59","60+"))))</f>
        <v>20-29</v>
      </c>
      <c r="M1005" t="s">
        <v>16</v>
      </c>
      <c r="N1005" t="s">
        <v>31</v>
      </c>
    </row>
    <row r="1006" spans="1:14" x14ac:dyDescent="0.35">
      <c r="A1006">
        <v>1105</v>
      </c>
      <c r="B1006" t="s">
        <v>15</v>
      </c>
      <c r="C1006" s="6">
        <v>43479</v>
      </c>
      <c r="D1006">
        <f>YEAR(Table1[[#This Row],[Join Date]])</f>
        <v>2019</v>
      </c>
      <c r="E1006" s="6">
        <v>44449</v>
      </c>
      <c r="F1006">
        <f>IFERROR(YEAR(Table1[[#This Row],[Exit Date]]), " ")</f>
        <v>2021</v>
      </c>
      <c r="G1006">
        <f>IFERROR((Table1[[#This Row],[Exit Year]]-Table1[[#This Row],[Join Year]])+1," ")</f>
        <v>3</v>
      </c>
      <c r="H1006" t="s">
        <v>22</v>
      </c>
      <c r="I1006" t="s">
        <v>23</v>
      </c>
      <c r="J1006" t="s">
        <v>12</v>
      </c>
      <c r="K1006">
        <v>50</v>
      </c>
      <c r="L1006" t="str">
        <f>IF(Table1[[#This Row],[Age]]&lt;30,"20-29",
IF(Table1[[#This Row],[Age]]&lt;40,"30-39",
IF(Table1[[#This Row],[Age]]&lt;50,"40-49",
IF(Table1[[#This Row],[Age]]&lt;60,"50-59","60+"))))</f>
        <v>50-59</v>
      </c>
      <c r="M1006" t="s">
        <v>20</v>
      </c>
      <c r="N1006" t="s">
        <v>32</v>
      </c>
    </row>
    <row r="1007" spans="1:14" x14ac:dyDescent="0.35">
      <c r="A1007">
        <v>1106</v>
      </c>
      <c r="B1007" t="s">
        <v>26</v>
      </c>
      <c r="C1007" s="6">
        <v>44749</v>
      </c>
      <c r="D1007">
        <f>YEAR(Table1[[#This Row],[Join Date]])</f>
        <v>2022</v>
      </c>
      <c r="E1007" s="6">
        <v>44972</v>
      </c>
      <c r="F1007">
        <f>IFERROR(YEAR(Table1[[#This Row],[Exit Date]]), " ")</f>
        <v>2023</v>
      </c>
      <c r="G1007">
        <f>IFERROR((Table1[[#This Row],[Exit Year]]-Table1[[#This Row],[Join Year]])+1," ")</f>
        <v>2</v>
      </c>
      <c r="H1007" t="s">
        <v>46</v>
      </c>
      <c r="I1007" t="s">
        <v>23</v>
      </c>
      <c r="J1007" t="s">
        <v>18</v>
      </c>
      <c r="K1007">
        <v>28</v>
      </c>
      <c r="L1007" t="str">
        <f>IF(Table1[[#This Row],[Age]]&lt;30,"20-29",
IF(Table1[[#This Row],[Age]]&lt;40,"30-39",
IF(Table1[[#This Row],[Age]]&lt;50,"40-49",
IF(Table1[[#This Row],[Age]]&lt;60,"50-59","60+"))))</f>
        <v>20-29</v>
      </c>
      <c r="M1007" t="s">
        <v>24</v>
      </c>
      <c r="N1007" t="s">
        <v>33</v>
      </c>
    </row>
    <row r="1008" spans="1:14" x14ac:dyDescent="0.35">
      <c r="A1008">
        <v>1107</v>
      </c>
      <c r="B1008" t="s">
        <v>29</v>
      </c>
      <c r="C1008" s="6">
        <v>45457</v>
      </c>
      <c r="D1008">
        <f>YEAR(Table1[[#This Row],[Join Date]])</f>
        <v>2024</v>
      </c>
      <c r="E1008" s="6" t="s">
        <v>48</v>
      </c>
      <c r="F1008" t="str">
        <f>IFERROR(YEAR(Table1[[#This Row],[Exit Date]]), " ")</f>
        <v xml:space="preserve"> </v>
      </c>
      <c r="G1008" t="str">
        <f>IFERROR((Table1[[#This Row],[Exit Year]]-Table1[[#This Row],[Join Year]])+1," ")</f>
        <v xml:space="preserve"> </v>
      </c>
      <c r="H1008" t="s">
        <v>48</v>
      </c>
      <c r="I1008" t="s">
        <v>11</v>
      </c>
      <c r="J1008" t="s">
        <v>12</v>
      </c>
      <c r="K1008">
        <v>40</v>
      </c>
      <c r="L1008" t="str">
        <f>IF(Table1[[#This Row],[Age]]&lt;30,"20-29",
IF(Table1[[#This Row],[Age]]&lt;40,"30-39",
IF(Table1[[#This Row],[Age]]&lt;50,"40-49",
IF(Table1[[#This Row],[Age]]&lt;60,"50-59","60+"))))</f>
        <v>40-49</v>
      </c>
      <c r="M1008" t="s">
        <v>13</v>
      </c>
      <c r="N1008" t="s">
        <v>35</v>
      </c>
    </row>
    <row r="1009" spans="1:14" x14ac:dyDescent="0.35">
      <c r="A1009">
        <v>1108</v>
      </c>
      <c r="B1009" t="s">
        <v>10</v>
      </c>
      <c r="C1009" s="6">
        <v>43304</v>
      </c>
      <c r="D1009">
        <f>YEAR(Table1[[#This Row],[Join Date]])</f>
        <v>2018</v>
      </c>
      <c r="E1009" s="6" t="s">
        <v>48</v>
      </c>
      <c r="F1009" t="str">
        <f>IFERROR(YEAR(Table1[[#This Row],[Exit Date]]), " ")</f>
        <v xml:space="preserve"> </v>
      </c>
      <c r="G1009" t="str">
        <f>IFERROR((Table1[[#This Row],[Exit Year]]-Table1[[#This Row],[Join Year]])+1," ")</f>
        <v xml:space="preserve"> </v>
      </c>
      <c r="H1009" t="s">
        <v>48</v>
      </c>
      <c r="I1009" t="s">
        <v>11</v>
      </c>
      <c r="J1009" t="s">
        <v>12</v>
      </c>
      <c r="K1009">
        <v>32</v>
      </c>
      <c r="L1009" t="str">
        <f>IF(Table1[[#This Row],[Age]]&lt;30,"20-29",
IF(Table1[[#This Row],[Age]]&lt;40,"30-39",
IF(Table1[[#This Row],[Age]]&lt;50,"40-49",
IF(Table1[[#This Row],[Age]]&lt;60,"50-59","60+"))))</f>
        <v>30-39</v>
      </c>
      <c r="M1009" t="s">
        <v>30</v>
      </c>
      <c r="N1009" t="s">
        <v>37</v>
      </c>
    </row>
    <row r="1010" spans="1:14" x14ac:dyDescent="0.35">
      <c r="A1010">
        <v>1109</v>
      </c>
      <c r="B1010" t="s">
        <v>15</v>
      </c>
      <c r="C1010" s="6">
        <v>44987</v>
      </c>
      <c r="D1010">
        <f>YEAR(Table1[[#This Row],[Join Date]])</f>
        <v>2023</v>
      </c>
      <c r="E1010" s="6" t="s">
        <v>48</v>
      </c>
      <c r="F1010" t="str">
        <f>IFERROR(YEAR(Table1[[#This Row],[Exit Date]]), " ")</f>
        <v xml:space="preserve"> </v>
      </c>
      <c r="G1010" t="str">
        <f>IFERROR((Table1[[#This Row],[Exit Year]]-Table1[[#This Row],[Join Year]])+1," ")</f>
        <v xml:space="preserve"> </v>
      </c>
      <c r="H1010" t="s">
        <v>48</v>
      </c>
      <c r="I1010" t="s">
        <v>11</v>
      </c>
      <c r="J1010" t="s">
        <v>18</v>
      </c>
      <c r="K1010">
        <v>50</v>
      </c>
      <c r="L1010" t="str">
        <f>IF(Table1[[#This Row],[Age]]&lt;30,"20-29",
IF(Table1[[#This Row],[Age]]&lt;40,"30-39",
IF(Table1[[#This Row],[Age]]&lt;50,"40-49",
IF(Table1[[#This Row],[Age]]&lt;60,"50-59","60+"))))</f>
        <v>50-59</v>
      </c>
      <c r="M1010" t="s">
        <v>13</v>
      </c>
      <c r="N1010" t="s">
        <v>19</v>
      </c>
    </row>
    <row r="1011" spans="1:14" x14ac:dyDescent="0.35">
      <c r="A1011">
        <v>1110</v>
      </c>
      <c r="B1011" t="s">
        <v>34</v>
      </c>
      <c r="C1011" s="6">
        <v>45326</v>
      </c>
      <c r="D1011">
        <f>YEAR(Table1[[#This Row],[Join Date]])</f>
        <v>2024</v>
      </c>
      <c r="E1011" s="6" t="s">
        <v>48</v>
      </c>
      <c r="F1011" t="str">
        <f>IFERROR(YEAR(Table1[[#This Row],[Exit Date]]), " ")</f>
        <v xml:space="preserve"> </v>
      </c>
      <c r="G1011" t="str">
        <f>IFERROR((Table1[[#This Row],[Exit Year]]-Table1[[#This Row],[Join Year]])+1," ")</f>
        <v xml:space="preserve"> </v>
      </c>
      <c r="H1011" t="s">
        <v>48</v>
      </c>
      <c r="I1011" t="s">
        <v>11</v>
      </c>
      <c r="J1011" t="s">
        <v>12</v>
      </c>
      <c r="K1011">
        <v>24</v>
      </c>
      <c r="L1011" t="str">
        <f>IF(Table1[[#This Row],[Age]]&lt;30,"20-29",
IF(Table1[[#This Row],[Age]]&lt;40,"30-39",
IF(Table1[[#This Row],[Age]]&lt;50,"40-49",
IF(Table1[[#This Row],[Age]]&lt;60,"50-59","60+"))))</f>
        <v>20-29</v>
      </c>
      <c r="M1011" t="s">
        <v>13</v>
      </c>
      <c r="N1011" t="s">
        <v>25</v>
      </c>
    </row>
    <row r="1012" spans="1:14" x14ac:dyDescent="0.35">
      <c r="A1012">
        <v>1111</v>
      </c>
      <c r="B1012" t="s">
        <v>36</v>
      </c>
      <c r="C1012" s="6">
        <v>45474</v>
      </c>
      <c r="D1012">
        <f>YEAR(Table1[[#This Row],[Join Date]])</f>
        <v>2024</v>
      </c>
      <c r="E1012" s="6" t="s">
        <v>48</v>
      </c>
      <c r="F1012" t="str">
        <f>IFERROR(YEAR(Table1[[#This Row],[Exit Date]]), " ")</f>
        <v xml:space="preserve"> </v>
      </c>
      <c r="G1012" t="str">
        <f>IFERROR((Table1[[#This Row],[Exit Year]]-Table1[[#This Row],[Join Year]])+1," ")</f>
        <v xml:space="preserve"> </v>
      </c>
      <c r="H1012" t="s">
        <v>48</v>
      </c>
      <c r="I1012" t="s">
        <v>11</v>
      </c>
      <c r="J1012" t="s">
        <v>18</v>
      </c>
      <c r="K1012">
        <v>36</v>
      </c>
      <c r="L1012" t="str">
        <f>IF(Table1[[#This Row],[Age]]&lt;30,"20-29",
IF(Table1[[#This Row],[Age]]&lt;40,"30-39",
IF(Table1[[#This Row],[Age]]&lt;50,"40-49",
IF(Table1[[#This Row],[Age]]&lt;60,"50-59","60+"))))</f>
        <v>30-39</v>
      </c>
      <c r="M1012" t="s">
        <v>16</v>
      </c>
      <c r="N1012" t="s">
        <v>35</v>
      </c>
    </row>
    <row r="1013" spans="1:14" x14ac:dyDescent="0.35">
      <c r="A1013">
        <v>1112</v>
      </c>
      <c r="B1013" t="s">
        <v>29</v>
      </c>
      <c r="C1013" s="6">
        <v>44227</v>
      </c>
      <c r="D1013">
        <f>YEAR(Table1[[#This Row],[Join Date]])</f>
        <v>2021</v>
      </c>
      <c r="E1013" s="6">
        <v>45322</v>
      </c>
      <c r="F1013">
        <f>IFERROR(YEAR(Table1[[#This Row],[Exit Date]]), " ")</f>
        <v>2024</v>
      </c>
      <c r="G1013">
        <f>IFERROR((Table1[[#This Row],[Exit Year]]-Table1[[#This Row],[Join Year]])+1," ")</f>
        <v>4</v>
      </c>
      <c r="H1013" t="s">
        <v>46</v>
      </c>
      <c r="I1013" t="s">
        <v>23</v>
      </c>
      <c r="J1013" t="s">
        <v>18</v>
      </c>
      <c r="K1013">
        <v>49</v>
      </c>
      <c r="L1013" t="str">
        <f>IF(Table1[[#This Row],[Age]]&lt;30,"20-29",
IF(Table1[[#This Row],[Age]]&lt;40,"30-39",
IF(Table1[[#This Row],[Age]]&lt;50,"40-49",
IF(Table1[[#This Row],[Age]]&lt;60,"50-59","60+"))))</f>
        <v>40-49</v>
      </c>
      <c r="M1013" t="s">
        <v>13</v>
      </c>
      <c r="N1013" t="s">
        <v>17</v>
      </c>
    </row>
    <row r="1014" spans="1:14" x14ac:dyDescent="0.35">
      <c r="A1014">
        <v>1113</v>
      </c>
      <c r="B1014" t="s">
        <v>10</v>
      </c>
      <c r="C1014" s="6">
        <v>43446</v>
      </c>
      <c r="D1014">
        <f>YEAR(Table1[[#This Row],[Join Date]])</f>
        <v>2018</v>
      </c>
      <c r="E1014" s="6">
        <v>43936</v>
      </c>
      <c r="F1014">
        <f>IFERROR(YEAR(Table1[[#This Row],[Exit Date]]), " ")</f>
        <v>2020</v>
      </c>
      <c r="G1014">
        <f>IFERROR((Table1[[#This Row],[Exit Year]]-Table1[[#This Row],[Join Year]])+1," ")</f>
        <v>3</v>
      </c>
      <c r="H1014" t="s">
        <v>38</v>
      </c>
      <c r="I1014" t="s">
        <v>23</v>
      </c>
      <c r="J1014" t="s">
        <v>12</v>
      </c>
      <c r="K1014">
        <v>43</v>
      </c>
      <c r="L1014" t="str">
        <f>IF(Table1[[#This Row],[Age]]&lt;30,"20-29",
IF(Table1[[#This Row],[Age]]&lt;40,"30-39",
IF(Table1[[#This Row],[Age]]&lt;50,"40-49",
IF(Table1[[#This Row],[Age]]&lt;60,"50-59","60+"))))</f>
        <v>40-49</v>
      </c>
      <c r="M1014" t="s">
        <v>20</v>
      </c>
      <c r="N1014" t="s">
        <v>19</v>
      </c>
    </row>
    <row r="1015" spans="1:14" x14ac:dyDescent="0.35">
      <c r="A1015">
        <v>1114</v>
      </c>
      <c r="B1015" t="s">
        <v>15</v>
      </c>
      <c r="C1015" s="6">
        <v>45314</v>
      </c>
      <c r="D1015">
        <f>YEAR(Table1[[#This Row],[Join Date]])</f>
        <v>2024</v>
      </c>
      <c r="E1015" s="6" t="s">
        <v>48</v>
      </c>
      <c r="F1015" t="str">
        <f>IFERROR(YEAR(Table1[[#This Row],[Exit Date]]), " ")</f>
        <v xml:space="preserve"> </v>
      </c>
      <c r="G1015" t="str">
        <f>IFERROR((Table1[[#This Row],[Exit Year]]-Table1[[#This Row],[Join Year]])+1," ")</f>
        <v xml:space="preserve"> </v>
      </c>
      <c r="H1015" t="s">
        <v>48</v>
      </c>
      <c r="I1015" t="s">
        <v>11</v>
      </c>
      <c r="J1015" t="s">
        <v>12</v>
      </c>
      <c r="K1015">
        <v>40</v>
      </c>
      <c r="L1015" t="str">
        <f>IF(Table1[[#This Row],[Age]]&lt;30,"20-29",
IF(Table1[[#This Row],[Age]]&lt;40,"30-39",
IF(Table1[[#This Row],[Age]]&lt;50,"40-49",
IF(Table1[[#This Row],[Age]]&lt;60,"50-59","60+"))))</f>
        <v>40-49</v>
      </c>
      <c r="M1015" t="s">
        <v>39</v>
      </c>
      <c r="N1015" t="s">
        <v>21</v>
      </c>
    </row>
    <row r="1016" spans="1:14" x14ac:dyDescent="0.35">
      <c r="A1016">
        <v>1115</v>
      </c>
      <c r="B1016" t="s">
        <v>15</v>
      </c>
      <c r="C1016" s="6">
        <v>43123</v>
      </c>
      <c r="D1016">
        <f>YEAR(Table1[[#This Row],[Join Date]])</f>
        <v>2018</v>
      </c>
      <c r="E1016" s="6" t="s">
        <v>48</v>
      </c>
      <c r="F1016" t="str">
        <f>IFERROR(YEAR(Table1[[#This Row],[Exit Date]]), " ")</f>
        <v xml:space="preserve"> </v>
      </c>
      <c r="G1016" t="str">
        <f>IFERROR((Table1[[#This Row],[Exit Year]]-Table1[[#This Row],[Join Year]])+1," ")</f>
        <v xml:space="preserve"> </v>
      </c>
      <c r="H1016" t="s">
        <v>48</v>
      </c>
      <c r="I1016" t="s">
        <v>11</v>
      </c>
      <c r="J1016" t="s">
        <v>12</v>
      </c>
      <c r="K1016">
        <v>42</v>
      </c>
      <c r="L1016" t="str">
        <f>IF(Table1[[#This Row],[Age]]&lt;30,"20-29",
IF(Table1[[#This Row],[Age]]&lt;40,"30-39",
IF(Table1[[#This Row],[Age]]&lt;50,"40-49",
IF(Table1[[#This Row],[Age]]&lt;60,"50-59","60+"))))</f>
        <v>40-49</v>
      </c>
      <c r="M1016" t="s">
        <v>13</v>
      </c>
      <c r="N1016" t="s">
        <v>25</v>
      </c>
    </row>
    <row r="1017" spans="1:14" x14ac:dyDescent="0.35">
      <c r="A1017">
        <v>1116</v>
      </c>
      <c r="B1017" t="s">
        <v>10</v>
      </c>
      <c r="C1017" s="6">
        <v>43717</v>
      </c>
      <c r="D1017">
        <f>YEAR(Table1[[#This Row],[Join Date]])</f>
        <v>2019</v>
      </c>
      <c r="E1017" s="6">
        <v>44677</v>
      </c>
      <c r="F1017">
        <f>IFERROR(YEAR(Table1[[#This Row],[Exit Date]]), " ")</f>
        <v>2022</v>
      </c>
      <c r="G1017">
        <f>IFERROR((Table1[[#This Row],[Exit Year]]-Table1[[#This Row],[Join Year]])+1," ")</f>
        <v>4</v>
      </c>
      <c r="H1017" t="s">
        <v>40</v>
      </c>
      <c r="I1017" t="s">
        <v>23</v>
      </c>
      <c r="J1017" t="s">
        <v>12</v>
      </c>
      <c r="K1017">
        <v>35</v>
      </c>
      <c r="L1017" t="str">
        <f>IF(Table1[[#This Row],[Age]]&lt;30,"20-29",
IF(Table1[[#This Row],[Age]]&lt;40,"30-39",
IF(Table1[[#This Row],[Age]]&lt;50,"40-49",
IF(Table1[[#This Row],[Age]]&lt;60,"50-59","60+"))))</f>
        <v>30-39</v>
      </c>
      <c r="M1017" t="s">
        <v>16</v>
      </c>
      <c r="N1017" t="s">
        <v>35</v>
      </c>
    </row>
    <row r="1018" spans="1:14" x14ac:dyDescent="0.35">
      <c r="A1018">
        <v>1117</v>
      </c>
      <c r="B1018" t="s">
        <v>29</v>
      </c>
      <c r="C1018" s="6">
        <v>43534</v>
      </c>
      <c r="D1018">
        <f>YEAR(Table1[[#This Row],[Join Date]])</f>
        <v>2019</v>
      </c>
      <c r="E1018" s="6">
        <v>44117</v>
      </c>
      <c r="F1018">
        <f>IFERROR(YEAR(Table1[[#This Row],[Exit Date]]), " ")</f>
        <v>2020</v>
      </c>
      <c r="G1018">
        <f>IFERROR((Table1[[#This Row],[Exit Year]]-Table1[[#This Row],[Join Year]])+1," ")</f>
        <v>2</v>
      </c>
      <c r="H1018" t="s">
        <v>46</v>
      </c>
      <c r="I1018" t="s">
        <v>23</v>
      </c>
      <c r="J1018" t="s">
        <v>12</v>
      </c>
      <c r="K1018">
        <v>31</v>
      </c>
      <c r="L1018" t="str">
        <f>IF(Table1[[#This Row],[Age]]&lt;30,"20-29",
IF(Table1[[#This Row],[Age]]&lt;40,"30-39",
IF(Table1[[#This Row],[Age]]&lt;50,"40-49",
IF(Table1[[#This Row],[Age]]&lt;60,"50-59","60+"))))</f>
        <v>30-39</v>
      </c>
      <c r="M1018" t="s">
        <v>16</v>
      </c>
      <c r="N1018" t="s">
        <v>14</v>
      </c>
    </row>
    <row r="1019" spans="1:14" x14ac:dyDescent="0.35">
      <c r="A1019">
        <v>1118</v>
      </c>
      <c r="B1019" t="s">
        <v>36</v>
      </c>
      <c r="C1019" s="6">
        <v>44619</v>
      </c>
      <c r="D1019">
        <f>YEAR(Table1[[#This Row],[Join Date]])</f>
        <v>2022</v>
      </c>
      <c r="E1019" s="6" t="s">
        <v>48</v>
      </c>
      <c r="F1019" t="str">
        <f>IFERROR(YEAR(Table1[[#This Row],[Exit Date]]), " ")</f>
        <v xml:space="preserve"> </v>
      </c>
      <c r="G1019" t="str">
        <f>IFERROR((Table1[[#This Row],[Exit Year]]-Table1[[#This Row],[Join Year]])+1," ")</f>
        <v xml:space="preserve"> </v>
      </c>
      <c r="H1019" t="s">
        <v>48</v>
      </c>
      <c r="I1019" t="s">
        <v>11</v>
      </c>
      <c r="J1019" t="s">
        <v>18</v>
      </c>
      <c r="K1019">
        <v>51</v>
      </c>
      <c r="L1019" t="str">
        <f>IF(Table1[[#This Row],[Age]]&lt;30,"20-29",
IF(Table1[[#This Row],[Age]]&lt;40,"30-39",
IF(Table1[[#This Row],[Age]]&lt;50,"40-49",
IF(Table1[[#This Row],[Age]]&lt;60,"50-59","60+"))))</f>
        <v>50-59</v>
      </c>
      <c r="M1019" t="s">
        <v>20</v>
      </c>
      <c r="N1019" t="s">
        <v>19</v>
      </c>
    </row>
    <row r="1020" spans="1:14" x14ac:dyDescent="0.35">
      <c r="A1020">
        <v>1119</v>
      </c>
      <c r="B1020" t="s">
        <v>10</v>
      </c>
      <c r="C1020" s="6">
        <v>45485</v>
      </c>
      <c r="D1020">
        <f>YEAR(Table1[[#This Row],[Join Date]])</f>
        <v>2024</v>
      </c>
      <c r="E1020" s="6" t="s">
        <v>48</v>
      </c>
      <c r="F1020" t="str">
        <f>IFERROR(YEAR(Table1[[#This Row],[Exit Date]]), " ")</f>
        <v xml:space="preserve"> </v>
      </c>
      <c r="G1020" t="str">
        <f>IFERROR((Table1[[#This Row],[Exit Year]]-Table1[[#This Row],[Join Year]])+1," ")</f>
        <v xml:space="preserve"> </v>
      </c>
      <c r="H1020" t="s">
        <v>48</v>
      </c>
      <c r="I1020" t="s">
        <v>11</v>
      </c>
      <c r="J1020" t="s">
        <v>18</v>
      </c>
      <c r="K1020">
        <v>48</v>
      </c>
      <c r="L1020" t="str">
        <f>IF(Table1[[#This Row],[Age]]&lt;30,"20-29",
IF(Table1[[#This Row],[Age]]&lt;40,"30-39",
IF(Table1[[#This Row],[Age]]&lt;50,"40-49",
IF(Table1[[#This Row],[Age]]&lt;60,"50-59","60+"))))</f>
        <v>40-49</v>
      </c>
      <c r="M1020" t="s">
        <v>24</v>
      </c>
      <c r="N1020" t="s">
        <v>21</v>
      </c>
    </row>
    <row r="1021" spans="1:14" x14ac:dyDescent="0.35">
      <c r="A1021">
        <v>1120</v>
      </c>
      <c r="B1021" t="s">
        <v>29</v>
      </c>
      <c r="C1021" s="6">
        <v>43588</v>
      </c>
      <c r="D1021">
        <f>YEAR(Table1[[#This Row],[Join Date]])</f>
        <v>2019</v>
      </c>
      <c r="E1021" s="6">
        <v>44896</v>
      </c>
      <c r="F1021">
        <f>IFERROR(YEAR(Table1[[#This Row],[Exit Date]]), " ")</f>
        <v>2022</v>
      </c>
      <c r="G1021">
        <f>IFERROR((Table1[[#This Row],[Exit Year]]-Table1[[#This Row],[Join Year]])+1," ")</f>
        <v>4</v>
      </c>
      <c r="H1021" t="s">
        <v>41</v>
      </c>
      <c r="I1021" t="s">
        <v>23</v>
      </c>
      <c r="J1021" t="s">
        <v>18</v>
      </c>
      <c r="K1021">
        <v>41</v>
      </c>
      <c r="L1021" t="str">
        <f>IF(Table1[[#This Row],[Age]]&lt;30,"20-29",
IF(Table1[[#This Row],[Age]]&lt;40,"30-39",
IF(Table1[[#This Row],[Age]]&lt;50,"40-49",
IF(Table1[[#This Row],[Age]]&lt;60,"50-59","60+"))))</f>
        <v>40-49</v>
      </c>
      <c r="M1021" t="s">
        <v>13</v>
      </c>
      <c r="N1021" t="s">
        <v>37</v>
      </c>
    </row>
    <row r="1022" spans="1:14" x14ac:dyDescent="0.35">
      <c r="A1022">
        <v>1121</v>
      </c>
      <c r="B1022" t="s">
        <v>36</v>
      </c>
      <c r="C1022" s="6">
        <v>44250</v>
      </c>
      <c r="D1022">
        <f>YEAR(Table1[[#This Row],[Join Date]])</f>
        <v>2021</v>
      </c>
      <c r="E1022" s="6">
        <v>45392</v>
      </c>
      <c r="F1022">
        <f>IFERROR(YEAR(Table1[[#This Row],[Exit Date]]), " ")</f>
        <v>2024</v>
      </c>
      <c r="G1022">
        <f>IFERROR((Table1[[#This Row],[Exit Year]]-Table1[[#This Row],[Join Year]])+1," ")</f>
        <v>4</v>
      </c>
      <c r="H1022" t="s">
        <v>46</v>
      </c>
      <c r="I1022" t="s">
        <v>23</v>
      </c>
      <c r="J1022" t="s">
        <v>18</v>
      </c>
      <c r="K1022">
        <v>35</v>
      </c>
      <c r="L1022" t="str">
        <f>IF(Table1[[#This Row],[Age]]&lt;30,"20-29",
IF(Table1[[#This Row],[Age]]&lt;40,"30-39",
IF(Table1[[#This Row],[Age]]&lt;50,"40-49",
IF(Table1[[#This Row],[Age]]&lt;60,"50-59","60+"))))</f>
        <v>30-39</v>
      </c>
      <c r="M1022" t="s">
        <v>42</v>
      </c>
      <c r="N1022" t="s">
        <v>25</v>
      </c>
    </row>
    <row r="1023" spans="1:14" x14ac:dyDescent="0.35">
      <c r="A1023">
        <v>1122</v>
      </c>
      <c r="B1023" t="s">
        <v>26</v>
      </c>
      <c r="C1023" s="6">
        <v>45244</v>
      </c>
      <c r="D1023">
        <f>YEAR(Table1[[#This Row],[Join Date]])</f>
        <v>2023</v>
      </c>
      <c r="E1023" s="6">
        <v>45446</v>
      </c>
      <c r="F1023">
        <f>IFERROR(YEAR(Table1[[#This Row],[Exit Date]]), " ")</f>
        <v>2024</v>
      </c>
      <c r="G1023">
        <f>IFERROR((Table1[[#This Row],[Exit Year]]-Table1[[#This Row],[Join Year]])+1," ")</f>
        <v>2</v>
      </c>
      <c r="H1023" t="s">
        <v>40</v>
      </c>
      <c r="I1023" t="s">
        <v>23</v>
      </c>
      <c r="J1023" t="s">
        <v>18</v>
      </c>
      <c r="K1023">
        <v>24</v>
      </c>
      <c r="L1023" t="str">
        <f>IF(Table1[[#This Row],[Age]]&lt;30,"20-29",
IF(Table1[[#This Row],[Age]]&lt;40,"30-39",
IF(Table1[[#This Row],[Age]]&lt;50,"40-49",
IF(Table1[[#This Row],[Age]]&lt;60,"50-59","60+"))))</f>
        <v>20-29</v>
      </c>
      <c r="M1023" t="s">
        <v>13</v>
      </c>
      <c r="N1023" t="s">
        <v>35</v>
      </c>
    </row>
    <row r="1024" spans="1:14" x14ac:dyDescent="0.35">
      <c r="A1024">
        <v>1123</v>
      </c>
      <c r="B1024" t="s">
        <v>15</v>
      </c>
      <c r="C1024" s="6">
        <v>45256</v>
      </c>
      <c r="D1024">
        <f>YEAR(Table1[[#This Row],[Join Date]])</f>
        <v>2023</v>
      </c>
      <c r="E1024" s="6" t="s">
        <v>48</v>
      </c>
      <c r="F1024" t="str">
        <f>IFERROR(YEAR(Table1[[#This Row],[Exit Date]]), " ")</f>
        <v xml:space="preserve"> </v>
      </c>
      <c r="G1024" t="str">
        <f>IFERROR((Table1[[#This Row],[Exit Year]]-Table1[[#This Row],[Join Year]])+1," ")</f>
        <v xml:space="preserve"> </v>
      </c>
      <c r="H1024" t="s">
        <v>48</v>
      </c>
      <c r="I1024" t="s">
        <v>11</v>
      </c>
      <c r="J1024" t="s">
        <v>12</v>
      </c>
      <c r="K1024">
        <v>41</v>
      </c>
      <c r="L1024" t="str">
        <f>IF(Table1[[#This Row],[Age]]&lt;30,"20-29",
IF(Table1[[#This Row],[Age]]&lt;40,"30-39",
IF(Table1[[#This Row],[Age]]&lt;50,"40-49",
IF(Table1[[#This Row],[Age]]&lt;60,"50-59","60+"))))</f>
        <v>40-49</v>
      </c>
      <c r="M1024" t="s">
        <v>13</v>
      </c>
      <c r="N1024" t="s">
        <v>14</v>
      </c>
    </row>
    <row r="1025" spans="1:14" x14ac:dyDescent="0.35">
      <c r="A1025">
        <v>1124</v>
      </c>
      <c r="B1025" t="s">
        <v>26</v>
      </c>
      <c r="C1025" s="6">
        <v>45465</v>
      </c>
      <c r="D1025">
        <f>YEAR(Table1[[#This Row],[Join Date]])</f>
        <v>2024</v>
      </c>
      <c r="E1025" s="6" t="s">
        <v>48</v>
      </c>
      <c r="F1025" t="str">
        <f>IFERROR(YEAR(Table1[[#This Row],[Exit Date]]), " ")</f>
        <v xml:space="preserve"> </v>
      </c>
      <c r="G1025" t="str">
        <f>IFERROR((Table1[[#This Row],[Exit Year]]-Table1[[#This Row],[Join Year]])+1," ")</f>
        <v xml:space="preserve"> </v>
      </c>
      <c r="H1025" t="s">
        <v>48</v>
      </c>
      <c r="I1025" t="s">
        <v>11</v>
      </c>
      <c r="J1025" t="s">
        <v>18</v>
      </c>
      <c r="K1025">
        <v>40</v>
      </c>
      <c r="L1025" t="str">
        <f>IF(Table1[[#This Row],[Age]]&lt;30,"20-29",
IF(Table1[[#This Row],[Age]]&lt;40,"30-39",
IF(Table1[[#This Row],[Age]]&lt;50,"40-49",
IF(Table1[[#This Row],[Age]]&lt;60,"50-59","60+"))))</f>
        <v>40-49</v>
      </c>
      <c r="M1025" t="s">
        <v>16</v>
      </c>
      <c r="N1025" t="s">
        <v>17</v>
      </c>
    </row>
    <row r="1026" spans="1:14" x14ac:dyDescent="0.35">
      <c r="A1026">
        <v>1125</v>
      </c>
      <c r="B1026" t="s">
        <v>10</v>
      </c>
      <c r="C1026" s="6">
        <v>43597</v>
      </c>
      <c r="D1026">
        <f>YEAR(Table1[[#This Row],[Join Date]])</f>
        <v>2019</v>
      </c>
      <c r="E1026" s="6" t="s">
        <v>48</v>
      </c>
      <c r="F1026" t="str">
        <f>IFERROR(YEAR(Table1[[#This Row],[Exit Date]]), " ")</f>
        <v xml:space="preserve"> </v>
      </c>
      <c r="G1026" t="str">
        <f>IFERROR((Table1[[#This Row],[Exit Year]]-Table1[[#This Row],[Join Year]])+1," ")</f>
        <v xml:space="preserve"> </v>
      </c>
      <c r="H1026" t="s">
        <v>48</v>
      </c>
      <c r="I1026" t="s">
        <v>11</v>
      </c>
      <c r="J1026" t="s">
        <v>18</v>
      </c>
      <c r="K1026">
        <v>48</v>
      </c>
      <c r="L1026" t="str">
        <f>IF(Table1[[#This Row],[Age]]&lt;30,"20-29",
IF(Table1[[#This Row],[Age]]&lt;40,"30-39",
IF(Table1[[#This Row],[Age]]&lt;50,"40-49",
IF(Table1[[#This Row],[Age]]&lt;60,"50-59","60+"))))</f>
        <v>40-49</v>
      </c>
      <c r="M1026" t="s">
        <v>13</v>
      </c>
      <c r="N1026" t="s">
        <v>19</v>
      </c>
    </row>
    <row r="1027" spans="1:14" x14ac:dyDescent="0.35">
      <c r="A1027">
        <v>1126</v>
      </c>
      <c r="B1027" t="s">
        <v>15</v>
      </c>
      <c r="C1027" s="6">
        <v>44866</v>
      </c>
      <c r="D1027">
        <f>YEAR(Table1[[#This Row],[Join Date]])</f>
        <v>2022</v>
      </c>
      <c r="E1027" s="6" t="s">
        <v>48</v>
      </c>
      <c r="F1027" t="str">
        <f>IFERROR(YEAR(Table1[[#This Row],[Exit Date]]), " ")</f>
        <v xml:space="preserve"> </v>
      </c>
      <c r="G1027" t="str">
        <f>IFERROR((Table1[[#This Row],[Exit Year]]-Table1[[#This Row],[Join Year]])+1," ")</f>
        <v xml:space="preserve"> </v>
      </c>
      <c r="H1027" t="s">
        <v>48</v>
      </c>
      <c r="I1027" t="s">
        <v>11</v>
      </c>
      <c r="J1027" t="s">
        <v>18</v>
      </c>
      <c r="K1027">
        <v>52</v>
      </c>
      <c r="L1027" t="str">
        <f>IF(Table1[[#This Row],[Age]]&lt;30,"20-29",
IF(Table1[[#This Row],[Age]]&lt;40,"30-39",
IF(Table1[[#This Row],[Age]]&lt;50,"40-49",
IF(Table1[[#This Row],[Age]]&lt;60,"50-59","60+"))))</f>
        <v>50-59</v>
      </c>
      <c r="M1027" t="s">
        <v>20</v>
      </c>
      <c r="N1027" t="s">
        <v>21</v>
      </c>
    </row>
    <row r="1028" spans="1:14" x14ac:dyDescent="0.35">
      <c r="A1028">
        <v>1127</v>
      </c>
      <c r="B1028" t="s">
        <v>34</v>
      </c>
      <c r="C1028" s="6">
        <v>44006</v>
      </c>
      <c r="D1028">
        <f>YEAR(Table1[[#This Row],[Join Date]])</f>
        <v>2020</v>
      </c>
      <c r="E1028" s="6">
        <v>44463</v>
      </c>
      <c r="F1028">
        <f>IFERROR(YEAR(Table1[[#This Row],[Exit Date]]), " ")</f>
        <v>2021</v>
      </c>
      <c r="G1028">
        <f>IFERROR((Table1[[#This Row],[Exit Year]]-Table1[[#This Row],[Join Year]])+1," ")</f>
        <v>2</v>
      </c>
      <c r="H1028" t="s">
        <v>43</v>
      </c>
      <c r="I1028" t="s">
        <v>23</v>
      </c>
      <c r="J1028" t="s">
        <v>12</v>
      </c>
      <c r="K1028">
        <v>33</v>
      </c>
      <c r="L1028" t="str">
        <f>IF(Table1[[#This Row],[Age]]&lt;30,"20-29",
IF(Table1[[#This Row],[Age]]&lt;40,"30-39",
IF(Table1[[#This Row],[Age]]&lt;50,"40-49",
IF(Table1[[#This Row],[Age]]&lt;60,"50-59","60+"))))</f>
        <v>30-39</v>
      </c>
      <c r="M1028" t="s">
        <v>44</v>
      </c>
      <c r="N1028" t="s">
        <v>25</v>
      </c>
    </row>
    <row r="1029" spans="1:14" x14ac:dyDescent="0.35">
      <c r="A1029">
        <v>1128</v>
      </c>
      <c r="B1029" t="s">
        <v>26</v>
      </c>
      <c r="C1029" s="6">
        <v>45095</v>
      </c>
      <c r="D1029">
        <f>YEAR(Table1[[#This Row],[Join Date]])</f>
        <v>2023</v>
      </c>
      <c r="E1029" s="6" t="s">
        <v>48</v>
      </c>
      <c r="F1029" t="str">
        <f>IFERROR(YEAR(Table1[[#This Row],[Exit Date]]), " ")</f>
        <v xml:space="preserve"> </v>
      </c>
      <c r="G1029" t="str">
        <f>IFERROR((Table1[[#This Row],[Exit Year]]-Table1[[#This Row],[Join Year]])+1," ")</f>
        <v xml:space="preserve"> </v>
      </c>
      <c r="H1029" t="s">
        <v>48</v>
      </c>
      <c r="I1029" t="s">
        <v>11</v>
      </c>
      <c r="J1029" t="s">
        <v>12</v>
      </c>
      <c r="K1029">
        <v>51</v>
      </c>
      <c r="L1029" t="str">
        <f>IF(Table1[[#This Row],[Age]]&lt;30,"20-29",
IF(Table1[[#This Row],[Age]]&lt;40,"30-39",
IF(Table1[[#This Row],[Age]]&lt;50,"40-49",
IF(Table1[[#This Row],[Age]]&lt;60,"50-59","60+"))))</f>
        <v>50-59</v>
      </c>
      <c r="M1029" t="s">
        <v>13</v>
      </c>
      <c r="N1029" t="s">
        <v>28</v>
      </c>
    </row>
    <row r="1030" spans="1:14" x14ac:dyDescent="0.35">
      <c r="A1030">
        <v>1129</v>
      </c>
      <c r="B1030" t="s">
        <v>10</v>
      </c>
      <c r="C1030" s="6">
        <v>44360</v>
      </c>
      <c r="D1030">
        <f>YEAR(Table1[[#This Row],[Join Date]])</f>
        <v>2021</v>
      </c>
      <c r="E1030" s="6">
        <v>44755</v>
      </c>
      <c r="F1030">
        <f>IFERROR(YEAR(Table1[[#This Row],[Exit Date]]), " ")</f>
        <v>2022</v>
      </c>
      <c r="G1030">
        <f>IFERROR((Table1[[#This Row],[Exit Year]]-Table1[[#This Row],[Join Year]])+1," ")</f>
        <v>2</v>
      </c>
      <c r="H1030" t="s">
        <v>38</v>
      </c>
      <c r="I1030" t="s">
        <v>23</v>
      </c>
      <c r="J1030" t="s">
        <v>18</v>
      </c>
      <c r="K1030">
        <v>46</v>
      </c>
      <c r="L1030" t="str">
        <f>IF(Table1[[#This Row],[Age]]&lt;30,"20-29",
IF(Table1[[#This Row],[Age]]&lt;40,"30-39",
IF(Table1[[#This Row],[Age]]&lt;50,"40-49",
IF(Table1[[#This Row],[Age]]&lt;60,"50-59","60+"))))</f>
        <v>40-49</v>
      </c>
      <c r="M1030" t="s">
        <v>16</v>
      </c>
      <c r="N1030" t="s">
        <v>31</v>
      </c>
    </row>
    <row r="1031" spans="1:14" x14ac:dyDescent="0.35">
      <c r="A1031">
        <v>1130</v>
      </c>
      <c r="B1031" t="s">
        <v>26</v>
      </c>
      <c r="C1031" s="6">
        <v>43419</v>
      </c>
      <c r="D1031">
        <f>YEAR(Table1[[#This Row],[Join Date]])</f>
        <v>2018</v>
      </c>
      <c r="E1031" s="6">
        <v>44303</v>
      </c>
      <c r="F1031">
        <f>IFERROR(YEAR(Table1[[#This Row],[Exit Date]]), " ")</f>
        <v>2021</v>
      </c>
      <c r="G1031">
        <f>IFERROR((Table1[[#This Row],[Exit Year]]-Table1[[#This Row],[Join Year]])+1," ")</f>
        <v>4</v>
      </c>
      <c r="H1031" t="s">
        <v>22</v>
      </c>
      <c r="I1031" t="s">
        <v>23</v>
      </c>
      <c r="J1031" t="s">
        <v>12</v>
      </c>
      <c r="K1031">
        <v>53</v>
      </c>
      <c r="L1031" t="str">
        <f>IF(Table1[[#This Row],[Age]]&lt;30,"20-29",
IF(Table1[[#This Row],[Age]]&lt;40,"30-39",
IF(Table1[[#This Row],[Age]]&lt;50,"40-49",
IF(Table1[[#This Row],[Age]]&lt;60,"50-59","60+"))))</f>
        <v>50-59</v>
      </c>
      <c r="M1031" t="s">
        <v>16</v>
      </c>
      <c r="N1031" t="s">
        <v>32</v>
      </c>
    </row>
    <row r="1032" spans="1:14" x14ac:dyDescent="0.35">
      <c r="A1032">
        <v>1131</v>
      </c>
      <c r="B1032" t="s">
        <v>36</v>
      </c>
      <c r="C1032" s="6">
        <v>44249</v>
      </c>
      <c r="D1032">
        <f>YEAR(Table1[[#This Row],[Join Date]])</f>
        <v>2021</v>
      </c>
      <c r="E1032" s="6" t="s">
        <v>48</v>
      </c>
      <c r="F1032" t="str">
        <f>IFERROR(YEAR(Table1[[#This Row],[Exit Date]]), " ")</f>
        <v xml:space="preserve"> </v>
      </c>
      <c r="G1032" t="str">
        <f>IFERROR((Table1[[#This Row],[Exit Year]]-Table1[[#This Row],[Join Year]])+1," ")</f>
        <v xml:space="preserve"> </v>
      </c>
      <c r="H1032" t="s">
        <v>48</v>
      </c>
      <c r="I1032" t="s">
        <v>11</v>
      </c>
      <c r="J1032" t="s">
        <v>12</v>
      </c>
      <c r="K1032">
        <v>35</v>
      </c>
      <c r="L1032" t="str">
        <f>IF(Table1[[#This Row],[Age]]&lt;30,"20-29",
IF(Table1[[#This Row],[Age]]&lt;40,"30-39",
IF(Table1[[#This Row],[Age]]&lt;50,"40-49",
IF(Table1[[#This Row],[Age]]&lt;60,"50-59","60+"))))</f>
        <v>30-39</v>
      </c>
      <c r="M1032" t="s">
        <v>20</v>
      </c>
      <c r="N1032" t="s">
        <v>33</v>
      </c>
    </row>
    <row r="1033" spans="1:14" x14ac:dyDescent="0.35">
      <c r="A1033">
        <v>1132</v>
      </c>
      <c r="B1033" t="s">
        <v>10</v>
      </c>
      <c r="C1033" s="6">
        <v>45533</v>
      </c>
      <c r="D1033">
        <f>YEAR(Table1[[#This Row],[Join Date]])</f>
        <v>2024</v>
      </c>
      <c r="E1033" s="6" t="s">
        <v>48</v>
      </c>
      <c r="F1033" t="str">
        <f>IFERROR(YEAR(Table1[[#This Row],[Exit Date]]), " ")</f>
        <v xml:space="preserve"> </v>
      </c>
      <c r="G1033" t="str">
        <f>IFERROR((Table1[[#This Row],[Exit Year]]-Table1[[#This Row],[Join Year]])+1," ")</f>
        <v xml:space="preserve"> </v>
      </c>
      <c r="H1033" t="s">
        <v>48</v>
      </c>
      <c r="I1033" t="s">
        <v>11</v>
      </c>
      <c r="J1033" t="s">
        <v>18</v>
      </c>
      <c r="K1033">
        <v>32</v>
      </c>
      <c r="L1033" t="str">
        <f>IF(Table1[[#This Row],[Age]]&lt;30,"20-29",
IF(Table1[[#This Row],[Age]]&lt;40,"30-39",
IF(Table1[[#This Row],[Age]]&lt;50,"40-49",
IF(Table1[[#This Row],[Age]]&lt;60,"50-59","60+"))))</f>
        <v>30-39</v>
      </c>
      <c r="M1033" t="s">
        <v>24</v>
      </c>
      <c r="N1033" t="s">
        <v>35</v>
      </c>
    </row>
    <row r="1034" spans="1:14" x14ac:dyDescent="0.35">
      <c r="A1034">
        <v>1133</v>
      </c>
      <c r="B1034" t="s">
        <v>36</v>
      </c>
      <c r="C1034" s="6">
        <v>44377</v>
      </c>
      <c r="D1034">
        <f>YEAR(Table1[[#This Row],[Join Date]])</f>
        <v>2021</v>
      </c>
      <c r="E1034" s="6" t="s">
        <v>48</v>
      </c>
      <c r="F1034" t="str">
        <f>IFERROR(YEAR(Table1[[#This Row],[Exit Date]]), " ")</f>
        <v xml:space="preserve"> </v>
      </c>
      <c r="G1034" t="str">
        <f>IFERROR((Table1[[#This Row],[Exit Year]]-Table1[[#This Row],[Join Year]])+1," ")</f>
        <v xml:space="preserve"> </v>
      </c>
      <c r="H1034" t="s">
        <v>48</v>
      </c>
      <c r="I1034" t="s">
        <v>11</v>
      </c>
      <c r="J1034" t="s">
        <v>12</v>
      </c>
      <c r="K1034">
        <v>46</v>
      </c>
      <c r="L1034" t="str">
        <f>IF(Table1[[#This Row],[Age]]&lt;30,"20-29",
IF(Table1[[#This Row],[Age]]&lt;40,"30-39",
IF(Table1[[#This Row],[Age]]&lt;50,"40-49",
IF(Table1[[#This Row],[Age]]&lt;60,"50-59","60+"))))</f>
        <v>40-49</v>
      </c>
      <c r="M1034" t="s">
        <v>13</v>
      </c>
      <c r="N1034" t="s">
        <v>37</v>
      </c>
    </row>
    <row r="1035" spans="1:14" x14ac:dyDescent="0.35">
      <c r="A1035">
        <v>1134</v>
      </c>
      <c r="B1035" t="s">
        <v>10</v>
      </c>
      <c r="C1035" s="6">
        <v>44088</v>
      </c>
      <c r="D1035">
        <f>YEAR(Table1[[#This Row],[Join Date]])</f>
        <v>2020</v>
      </c>
      <c r="E1035" s="6" t="s">
        <v>48</v>
      </c>
      <c r="F1035" t="str">
        <f>IFERROR(YEAR(Table1[[#This Row],[Exit Date]]), " ")</f>
        <v xml:space="preserve"> </v>
      </c>
      <c r="G1035" t="str">
        <f>IFERROR((Table1[[#This Row],[Exit Year]]-Table1[[#This Row],[Join Year]])+1," ")</f>
        <v xml:space="preserve"> </v>
      </c>
      <c r="H1035" t="s">
        <v>48</v>
      </c>
      <c r="I1035" t="s">
        <v>11</v>
      </c>
      <c r="J1035" t="s">
        <v>12</v>
      </c>
      <c r="K1035">
        <v>50</v>
      </c>
      <c r="L1035" t="str">
        <f>IF(Table1[[#This Row],[Age]]&lt;30,"20-29",
IF(Table1[[#This Row],[Age]]&lt;40,"30-39",
IF(Table1[[#This Row],[Age]]&lt;50,"40-49",
IF(Table1[[#This Row],[Age]]&lt;60,"50-59","60+"))))</f>
        <v>50-59</v>
      </c>
      <c r="M1035" t="s">
        <v>42</v>
      </c>
      <c r="N1035" t="s">
        <v>19</v>
      </c>
    </row>
    <row r="1036" spans="1:14" x14ac:dyDescent="0.35">
      <c r="A1036">
        <v>1135</v>
      </c>
      <c r="B1036" t="s">
        <v>26</v>
      </c>
      <c r="C1036" s="6">
        <v>43373</v>
      </c>
      <c r="D1036">
        <f>YEAR(Table1[[#This Row],[Join Date]])</f>
        <v>2018</v>
      </c>
      <c r="E1036" s="6">
        <v>44825</v>
      </c>
      <c r="F1036">
        <f>IFERROR(YEAR(Table1[[#This Row],[Exit Date]]), " ")</f>
        <v>2022</v>
      </c>
      <c r="G1036">
        <f>IFERROR((Table1[[#This Row],[Exit Year]]-Table1[[#This Row],[Join Year]])+1," ")</f>
        <v>5</v>
      </c>
      <c r="H1036" t="s">
        <v>27</v>
      </c>
      <c r="I1036" t="s">
        <v>23</v>
      </c>
      <c r="J1036" t="s">
        <v>12</v>
      </c>
      <c r="K1036">
        <v>62</v>
      </c>
      <c r="L1036" t="str">
        <f>IF(Table1[[#This Row],[Age]]&lt;30,"20-29",
IF(Table1[[#This Row],[Age]]&lt;40,"30-39",
IF(Table1[[#This Row],[Age]]&lt;50,"40-49",
IF(Table1[[#This Row],[Age]]&lt;60,"50-59","60+"))))</f>
        <v>60+</v>
      </c>
      <c r="M1036" t="s">
        <v>13</v>
      </c>
      <c r="N1036" t="s">
        <v>25</v>
      </c>
    </row>
    <row r="1037" spans="1:14" x14ac:dyDescent="0.35">
      <c r="A1037">
        <v>1136</v>
      </c>
      <c r="B1037" t="s">
        <v>26</v>
      </c>
      <c r="C1037" s="6">
        <v>43314</v>
      </c>
      <c r="D1037">
        <f>YEAR(Table1[[#This Row],[Join Date]])</f>
        <v>2018</v>
      </c>
      <c r="E1037" s="6" t="s">
        <v>48</v>
      </c>
      <c r="F1037" t="str">
        <f>IFERROR(YEAR(Table1[[#This Row],[Exit Date]]), " ")</f>
        <v xml:space="preserve"> </v>
      </c>
      <c r="G1037" t="str">
        <f>IFERROR((Table1[[#This Row],[Exit Year]]-Table1[[#This Row],[Join Year]])+1," ")</f>
        <v xml:space="preserve"> </v>
      </c>
      <c r="H1037" t="s">
        <v>48</v>
      </c>
      <c r="I1037" t="s">
        <v>11</v>
      </c>
      <c r="J1037" t="s">
        <v>18</v>
      </c>
      <c r="K1037">
        <v>29</v>
      </c>
      <c r="L1037" t="str">
        <f>IF(Table1[[#This Row],[Age]]&lt;30,"20-29",
IF(Table1[[#This Row],[Age]]&lt;40,"30-39",
IF(Table1[[#This Row],[Age]]&lt;50,"40-49",
IF(Table1[[#This Row],[Age]]&lt;60,"50-59","60+"))))</f>
        <v>20-29</v>
      </c>
      <c r="M1037" t="s">
        <v>13</v>
      </c>
      <c r="N1037" t="s">
        <v>35</v>
      </c>
    </row>
    <row r="1038" spans="1:14" x14ac:dyDescent="0.35">
      <c r="A1038">
        <v>1137</v>
      </c>
      <c r="B1038" t="s">
        <v>26</v>
      </c>
      <c r="C1038" s="6">
        <v>44418</v>
      </c>
      <c r="D1038">
        <f>YEAR(Table1[[#This Row],[Join Date]])</f>
        <v>2021</v>
      </c>
      <c r="E1038" s="6">
        <v>45628</v>
      </c>
      <c r="F1038">
        <f>IFERROR(YEAR(Table1[[#This Row],[Exit Date]]), " ")</f>
        <v>2024</v>
      </c>
      <c r="G1038">
        <f>IFERROR((Table1[[#This Row],[Exit Year]]-Table1[[#This Row],[Join Year]])+1," ")</f>
        <v>4</v>
      </c>
      <c r="H1038" t="s">
        <v>22</v>
      </c>
      <c r="I1038" t="s">
        <v>23</v>
      </c>
      <c r="J1038" t="s">
        <v>12</v>
      </c>
      <c r="K1038">
        <v>27</v>
      </c>
      <c r="L1038" t="str">
        <f>IF(Table1[[#This Row],[Age]]&lt;30,"20-29",
IF(Table1[[#This Row],[Age]]&lt;40,"30-39",
IF(Table1[[#This Row],[Age]]&lt;50,"40-49",
IF(Table1[[#This Row],[Age]]&lt;60,"50-59","60+"))))</f>
        <v>20-29</v>
      </c>
      <c r="M1038" t="s">
        <v>16</v>
      </c>
      <c r="N1038" t="s">
        <v>17</v>
      </c>
    </row>
    <row r="1039" spans="1:14" x14ac:dyDescent="0.35">
      <c r="A1039">
        <v>1138</v>
      </c>
      <c r="B1039" t="s">
        <v>34</v>
      </c>
      <c r="C1039" s="6">
        <v>44324</v>
      </c>
      <c r="D1039">
        <f>YEAR(Table1[[#This Row],[Join Date]])</f>
        <v>2021</v>
      </c>
      <c r="E1039" s="6">
        <v>45076</v>
      </c>
      <c r="F1039">
        <f>IFERROR(YEAR(Table1[[#This Row],[Exit Date]]), " ")</f>
        <v>2023</v>
      </c>
      <c r="G1039">
        <f>IFERROR((Table1[[#This Row],[Exit Year]]-Table1[[#This Row],[Join Year]])+1," ")</f>
        <v>3</v>
      </c>
      <c r="H1039" t="s">
        <v>40</v>
      </c>
      <c r="I1039" t="s">
        <v>23</v>
      </c>
      <c r="J1039" t="s">
        <v>18</v>
      </c>
      <c r="K1039">
        <v>31</v>
      </c>
      <c r="L1039" t="str">
        <f>IF(Table1[[#This Row],[Age]]&lt;30,"20-29",
IF(Table1[[#This Row],[Age]]&lt;40,"30-39",
IF(Table1[[#This Row],[Age]]&lt;50,"40-49",
IF(Table1[[#This Row],[Age]]&lt;60,"50-59","60+"))))</f>
        <v>30-39</v>
      </c>
      <c r="M1039" t="s">
        <v>13</v>
      </c>
      <c r="N1039" t="s">
        <v>19</v>
      </c>
    </row>
    <row r="1040" spans="1:14" x14ac:dyDescent="0.35">
      <c r="A1040">
        <v>1139</v>
      </c>
      <c r="B1040" t="s">
        <v>10</v>
      </c>
      <c r="C1040" s="6">
        <v>43513</v>
      </c>
      <c r="D1040">
        <f>YEAR(Table1[[#This Row],[Join Date]])</f>
        <v>2019</v>
      </c>
      <c r="E1040" s="6">
        <v>44923</v>
      </c>
      <c r="F1040">
        <f>IFERROR(YEAR(Table1[[#This Row],[Exit Date]]), " ")</f>
        <v>2022</v>
      </c>
      <c r="G1040">
        <f>IFERROR((Table1[[#This Row],[Exit Year]]-Table1[[#This Row],[Join Year]])+1," ")</f>
        <v>4</v>
      </c>
      <c r="H1040" t="s">
        <v>46</v>
      </c>
      <c r="I1040" t="s">
        <v>23</v>
      </c>
      <c r="J1040" t="s">
        <v>18</v>
      </c>
      <c r="K1040">
        <v>24</v>
      </c>
      <c r="L1040" t="str">
        <f>IF(Table1[[#This Row],[Age]]&lt;30,"20-29",
IF(Table1[[#This Row],[Age]]&lt;40,"30-39",
IF(Table1[[#This Row],[Age]]&lt;50,"40-49",
IF(Table1[[#This Row],[Age]]&lt;60,"50-59","60+"))))</f>
        <v>20-29</v>
      </c>
      <c r="M1040" t="s">
        <v>20</v>
      </c>
      <c r="N1040" t="s">
        <v>21</v>
      </c>
    </row>
    <row r="1041" spans="1:14" x14ac:dyDescent="0.35">
      <c r="A1041">
        <v>1140</v>
      </c>
      <c r="B1041" t="s">
        <v>36</v>
      </c>
      <c r="C1041" s="6">
        <v>44180</v>
      </c>
      <c r="D1041">
        <f>YEAR(Table1[[#This Row],[Join Date]])</f>
        <v>2020</v>
      </c>
      <c r="E1041" s="6" t="s">
        <v>48</v>
      </c>
      <c r="F1041" t="str">
        <f>IFERROR(YEAR(Table1[[#This Row],[Exit Date]]), " ")</f>
        <v xml:space="preserve"> </v>
      </c>
      <c r="G1041" t="str">
        <f>IFERROR((Table1[[#This Row],[Exit Year]]-Table1[[#This Row],[Join Year]])+1," ")</f>
        <v xml:space="preserve"> </v>
      </c>
      <c r="H1041" t="s">
        <v>48</v>
      </c>
      <c r="I1041" t="s">
        <v>11</v>
      </c>
      <c r="J1041" t="s">
        <v>18</v>
      </c>
      <c r="K1041">
        <v>37</v>
      </c>
      <c r="L1041" t="str">
        <f>IF(Table1[[#This Row],[Age]]&lt;30,"20-29",
IF(Table1[[#This Row],[Age]]&lt;40,"30-39",
IF(Table1[[#This Row],[Age]]&lt;50,"40-49",
IF(Table1[[#This Row],[Age]]&lt;60,"50-59","60+"))))</f>
        <v>30-39</v>
      </c>
      <c r="M1041" t="s">
        <v>39</v>
      </c>
      <c r="N1041" t="s">
        <v>25</v>
      </c>
    </row>
    <row r="1042" spans="1:14" x14ac:dyDescent="0.35">
      <c r="A1042">
        <v>1141</v>
      </c>
      <c r="B1042" t="s">
        <v>34</v>
      </c>
      <c r="C1042" s="6">
        <v>44099</v>
      </c>
      <c r="D1042">
        <f>YEAR(Table1[[#This Row],[Join Date]])</f>
        <v>2020</v>
      </c>
      <c r="E1042" s="6" t="s">
        <v>48</v>
      </c>
      <c r="F1042" t="str">
        <f>IFERROR(YEAR(Table1[[#This Row],[Exit Date]]), " ")</f>
        <v xml:space="preserve"> </v>
      </c>
      <c r="G1042" t="str">
        <f>IFERROR((Table1[[#This Row],[Exit Year]]-Table1[[#This Row],[Join Year]])+1," ")</f>
        <v xml:space="preserve"> </v>
      </c>
      <c r="H1042" t="s">
        <v>48</v>
      </c>
      <c r="I1042" t="s">
        <v>11</v>
      </c>
      <c r="J1042" t="s">
        <v>12</v>
      </c>
      <c r="K1042">
        <v>23</v>
      </c>
      <c r="L1042" t="str">
        <f>IF(Table1[[#This Row],[Age]]&lt;30,"20-29",
IF(Table1[[#This Row],[Age]]&lt;40,"30-39",
IF(Table1[[#This Row],[Age]]&lt;50,"40-49",
IF(Table1[[#This Row],[Age]]&lt;60,"50-59","60+"))))</f>
        <v>20-29</v>
      </c>
      <c r="M1042" t="s">
        <v>13</v>
      </c>
      <c r="N1042" t="s">
        <v>35</v>
      </c>
    </row>
    <row r="1043" spans="1:14" x14ac:dyDescent="0.35">
      <c r="A1043">
        <v>1142</v>
      </c>
      <c r="B1043" t="s">
        <v>34</v>
      </c>
      <c r="C1043" s="6">
        <v>45632</v>
      </c>
      <c r="D1043">
        <f>YEAR(Table1[[#This Row],[Join Date]])</f>
        <v>2024</v>
      </c>
      <c r="E1043" s="6" t="s">
        <v>48</v>
      </c>
      <c r="F1043" t="str">
        <f>IFERROR(YEAR(Table1[[#This Row],[Exit Date]]), " ")</f>
        <v xml:space="preserve"> </v>
      </c>
      <c r="G1043" t="str">
        <f>IFERROR((Table1[[#This Row],[Exit Year]]-Table1[[#This Row],[Join Year]])+1," ")</f>
        <v xml:space="preserve"> </v>
      </c>
      <c r="H1043" t="s">
        <v>48</v>
      </c>
      <c r="I1043" t="s">
        <v>11</v>
      </c>
      <c r="J1043" t="s">
        <v>12</v>
      </c>
      <c r="K1043">
        <v>31</v>
      </c>
      <c r="L1043" t="str">
        <f>IF(Table1[[#This Row],[Age]]&lt;30,"20-29",
IF(Table1[[#This Row],[Age]]&lt;40,"30-39",
IF(Table1[[#This Row],[Age]]&lt;50,"40-49",
IF(Table1[[#This Row],[Age]]&lt;60,"50-59","60+"))))</f>
        <v>30-39</v>
      </c>
      <c r="M1043" t="s">
        <v>16</v>
      </c>
      <c r="N1043" t="s">
        <v>14</v>
      </c>
    </row>
    <row r="1044" spans="1:14" x14ac:dyDescent="0.35">
      <c r="A1044">
        <v>1143</v>
      </c>
      <c r="B1044" t="s">
        <v>36</v>
      </c>
      <c r="C1044" s="6">
        <v>45294</v>
      </c>
      <c r="D1044">
        <f>YEAR(Table1[[#This Row],[Join Date]])</f>
        <v>2024</v>
      </c>
      <c r="E1044" s="6" t="s">
        <v>48</v>
      </c>
      <c r="F1044" t="str">
        <f>IFERROR(YEAR(Table1[[#This Row],[Exit Date]]), " ")</f>
        <v xml:space="preserve"> </v>
      </c>
      <c r="G1044" t="str">
        <f>IFERROR((Table1[[#This Row],[Exit Year]]-Table1[[#This Row],[Join Year]])+1," ")</f>
        <v xml:space="preserve"> </v>
      </c>
      <c r="H1044" t="s">
        <v>48</v>
      </c>
      <c r="I1044" t="s">
        <v>11</v>
      </c>
      <c r="J1044" t="s">
        <v>18</v>
      </c>
      <c r="K1044">
        <v>52</v>
      </c>
      <c r="L1044" t="str">
        <f>IF(Table1[[#This Row],[Age]]&lt;30,"20-29",
IF(Table1[[#This Row],[Age]]&lt;40,"30-39",
IF(Table1[[#This Row],[Age]]&lt;50,"40-49",
IF(Table1[[#This Row],[Age]]&lt;60,"50-59","60+"))))</f>
        <v>50-59</v>
      </c>
      <c r="M1044" t="s">
        <v>16</v>
      </c>
      <c r="N1044" t="s">
        <v>19</v>
      </c>
    </row>
    <row r="1045" spans="1:14" x14ac:dyDescent="0.35">
      <c r="A1045">
        <v>1144</v>
      </c>
      <c r="B1045" t="s">
        <v>26</v>
      </c>
      <c r="C1045" s="6">
        <v>44590</v>
      </c>
      <c r="D1045">
        <f>YEAR(Table1[[#This Row],[Join Date]])</f>
        <v>2022</v>
      </c>
      <c r="E1045" s="6" t="s">
        <v>48</v>
      </c>
      <c r="F1045" t="str">
        <f>IFERROR(YEAR(Table1[[#This Row],[Exit Date]]), " ")</f>
        <v xml:space="preserve"> </v>
      </c>
      <c r="G1045" t="str">
        <f>IFERROR((Table1[[#This Row],[Exit Year]]-Table1[[#This Row],[Join Year]])+1," ")</f>
        <v xml:space="preserve"> </v>
      </c>
      <c r="H1045" t="s">
        <v>48</v>
      </c>
      <c r="I1045" t="s">
        <v>11</v>
      </c>
      <c r="J1045" t="s">
        <v>18</v>
      </c>
      <c r="K1045">
        <v>25</v>
      </c>
      <c r="L1045" t="str">
        <f>IF(Table1[[#This Row],[Age]]&lt;30,"20-29",
IF(Table1[[#This Row],[Age]]&lt;40,"30-39",
IF(Table1[[#This Row],[Age]]&lt;50,"40-49",
IF(Table1[[#This Row],[Age]]&lt;60,"50-59","60+"))))</f>
        <v>20-29</v>
      </c>
      <c r="M1045" t="s">
        <v>20</v>
      </c>
      <c r="N1045" t="s">
        <v>21</v>
      </c>
    </row>
    <row r="1046" spans="1:14" x14ac:dyDescent="0.35">
      <c r="A1046">
        <v>1145</v>
      </c>
      <c r="B1046" t="s">
        <v>15</v>
      </c>
      <c r="C1046" s="6">
        <v>45215</v>
      </c>
      <c r="D1046">
        <f>YEAR(Table1[[#This Row],[Join Date]])</f>
        <v>2023</v>
      </c>
      <c r="E1046" s="6" t="s">
        <v>48</v>
      </c>
      <c r="F1046" t="str">
        <f>IFERROR(YEAR(Table1[[#This Row],[Exit Date]]), " ")</f>
        <v xml:space="preserve"> </v>
      </c>
      <c r="G1046" t="str">
        <f>IFERROR((Table1[[#This Row],[Exit Year]]-Table1[[#This Row],[Join Year]])+1," ")</f>
        <v xml:space="preserve"> </v>
      </c>
      <c r="H1046" t="s">
        <v>48</v>
      </c>
      <c r="I1046" t="s">
        <v>11</v>
      </c>
      <c r="J1046" t="s">
        <v>12</v>
      </c>
      <c r="K1046">
        <v>46</v>
      </c>
      <c r="L1046" t="str">
        <f>IF(Table1[[#This Row],[Age]]&lt;30,"20-29",
IF(Table1[[#This Row],[Age]]&lt;40,"30-39",
IF(Table1[[#This Row],[Age]]&lt;50,"40-49",
IF(Table1[[#This Row],[Age]]&lt;60,"50-59","60+"))))</f>
        <v>40-49</v>
      </c>
      <c r="M1046" t="s">
        <v>24</v>
      </c>
      <c r="N1046" t="s">
        <v>37</v>
      </c>
    </row>
    <row r="1047" spans="1:14" x14ac:dyDescent="0.35">
      <c r="A1047">
        <v>1146</v>
      </c>
      <c r="B1047" t="s">
        <v>15</v>
      </c>
      <c r="C1047" s="6">
        <v>43624</v>
      </c>
      <c r="D1047">
        <f>YEAR(Table1[[#This Row],[Join Date]])</f>
        <v>2019</v>
      </c>
      <c r="E1047" s="6">
        <v>44228</v>
      </c>
      <c r="F1047">
        <f>IFERROR(YEAR(Table1[[#This Row],[Exit Date]]), " ")</f>
        <v>2021</v>
      </c>
      <c r="G1047">
        <f>IFERROR((Table1[[#This Row],[Exit Year]]-Table1[[#This Row],[Join Year]])+1," ")</f>
        <v>3</v>
      </c>
      <c r="H1047" t="s">
        <v>41</v>
      </c>
      <c r="I1047" t="s">
        <v>23</v>
      </c>
      <c r="J1047" t="s">
        <v>12</v>
      </c>
      <c r="K1047">
        <v>24</v>
      </c>
      <c r="L1047" t="str">
        <f>IF(Table1[[#This Row],[Age]]&lt;30,"20-29",
IF(Table1[[#This Row],[Age]]&lt;40,"30-39",
IF(Table1[[#This Row],[Age]]&lt;50,"40-49",
IF(Table1[[#This Row],[Age]]&lt;60,"50-59","60+"))))</f>
        <v>20-29</v>
      </c>
      <c r="M1047" t="s">
        <v>13</v>
      </c>
      <c r="N1047" t="s">
        <v>25</v>
      </c>
    </row>
    <row r="1048" spans="1:14" x14ac:dyDescent="0.35">
      <c r="A1048">
        <v>1147</v>
      </c>
      <c r="B1048" t="s">
        <v>15</v>
      </c>
      <c r="C1048" s="6">
        <v>44514</v>
      </c>
      <c r="D1048">
        <f>YEAR(Table1[[#This Row],[Join Date]])</f>
        <v>2021</v>
      </c>
      <c r="E1048" s="6">
        <v>45529</v>
      </c>
      <c r="F1048">
        <f>IFERROR(YEAR(Table1[[#This Row],[Exit Date]]), " ")</f>
        <v>2024</v>
      </c>
      <c r="G1048">
        <f>IFERROR((Table1[[#This Row],[Exit Year]]-Table1[[#This Row],[Join Year]])+1," ")</f>
        <v>4</v>
      </c>
      <c r="H1048" t="s">
        <v>41</v>
      </c>
      <c r="I1048" t="s">
        <v>23</v>
      </c>
      <c r="J1048" t="s">
        <v>12</v>
      </c>
      <c r="K1048">
        <v>38</v>
      </c>
      <c r="L1048" t="str">
        <f>IF(Table1[[#This Row],[Age]]&lt;30,"20-29",
IF(Table1[[#This Row],[Age]]&lt;40,"30-39",
IF(Table1[[#This Row],[Age]]&lt;50,"40-49",
IF(Table1[[#This Row],[Age]]&lt;60,"50-59","60+"))))</f>
        <v>30-39</v>
      </c>
      <c r="M1048" t="s">
        <v>42</v>
      </c>
      <c r="N1048" t="s">
        <v>35</v>
      </c>
    </row>
    <row r="1049" spans="1:14" x14ac:dyDescent="0.35">
      <c r="A1049">
        <v>1148</v>
      </c>
      <c r="B1049" t="s">
        <v>29</v>
      </c>
      <c r="C1049" s="6">
        <v>43700</v>
      </c>
      <c r="D1049">
        <f>YEAR(Table1[[#This Row],[Join Date]])</f>
        <v>2019</v>
      </c>
      <c r="E1049" s="6" t="s">
        <v>48</v>
      </c>
      <c r="F1049" t="str">
        <f>IFERROR(YEAR(Table1[[#This Row],[Exit Date]]), " ")</f>
        <v xml:space="preserve"> </v>
      </c>
      <c r="G1049" t="str">
        <f>IFERROR((Table1[[#This Row],[Exit Year]]-Table1[[#This Row],[Join Year]])+1," ")</f>
        <v xml:space="preserve"> </v>
      </c>
      <c r="H1049" t="s">
        <v>48</v>
      </c>
      <c r="I1049" t="s">
        <v>11</v>
      </c>
      <c r="J1049" t="s">
        <v>12</v>
      </c>
      <c r="K1049">
        <v>49</v>
      </c>
      <c r="L1049" t="str">
        <f>IF(Table1[[#This Row],[Age]]&lt;30,"20-29",
IF(Table1[[#This Row],[Age]]&lt;40,"30-39",
IF(Table1[[#This Row],[Age]]&lt;50,"40-49",
IF(Table1[[#This Row],[Age]]&lt;60,"50-59","60+"))))</f>
        <v>40-49</v>
      </c>
      <c r="M1049" t="s">
        <v>13</v>
      </c>
      <c r="N1049" t="s">
        <v>14</v>
      </c>
    </row>
    <row r="1050" spans="1:14" x14ac:dyDescent="0.35">
      <c r="A1050">
        <v>1149</v>
      </c>
      <c r="B1050" t="s">
        <v>34</v>
      </c>
      <c r="C1050" s="6">
        <v>45540</v>
      </c>
      <c r="D1050">
        <f>YEAR(Table1[[#This Row],[Join Date]])</f>
        <v>2024</v>
      </c>
      <c r="E1050" s="6" t="s">
        <v>48</v>
      </c>
      <c r="F1050" t="str">
        <f>IFERROR(YEAR(Table1[[#This Row],[Exit Date]]), " ")</f>
        <v xml:space="preserve"> </v>
      </c>
      <c r="G1050" t="str">
        <f>IFERROR((Table1[[#This Row],[Exit Year]]-Table1[[#This Row],[Join Year]])+1," ")</f>
        <v xml:space="preserve"> </v>
      </c>
      <c r="H1050" t="s">
        <v>48</v>
      </c>
      <c r="I1050" t="s">
        <v>11</v>
      </c>
      <c r="J1050" t="s">
        <v>18</v>
      </c>
      <c r="K1050">
        <v>31</v>
      </c>
      <c r="L1050" t="str">
        <f>IF(Table1[[#This Row],[Age]]&lt;30,"20-29",
IF(Table1[[#This Row],[Age]]&lt;40,"30-39",
IF(Table1[[#This Row],[Age]]&lt;50,"40-49",
IF(Table1[[#This Row],[Age]]&lt;60,"50-59","60+"))))</f>
        <v>30-39</v>
      </c>
      <c r="M1050" t="s">
        <v>13</v>
      </c>
      <c r="N1050" t="s">
        <v>17</v>
      </c>
    </row>
    <row r="1051" spans="1:14" x14ac:dyDescent="0.35">
      <c r="A1051">
        <v>1150</v>
      </c>
      <c r="B1051" t="s">
        <v>10</v>
      </c>
      <c r="C1051" s="6">
        <v>43297</v>
      </c>
      <c r="D1051">
        <f>YEAR(Table1[[#This Row],[Join Date]])</f>
        <v>2018</v>
      </c>
      <c r="E1051" s="6">
        <v>44682</v>
      </c>
      <c r="F1051">
        <f>IFERROR(YEAR(Table1[[#This Row],[Exit Date]]), " ")</f>
        <v>2022</v>
      </c>
      <c r="G1051">
        <f>IFERROR((Table1[[#This Row],[Exit Year]]-Table1[[#This Row],[Join Year]])+1," ")</f>
        <v>5</v>
      </c>
      <c r="H1051" t="s">
        <v>40</v>
      </c>
      <c r="I1051" t="s">
        <v>23</v>
      </c>
      <c r="J1051" t="s">
        <v>12</v>
      </c>
      <c r="K1051">
        <v>51</v>
      </c>
      <c r="L1051" t="str">
        <f>IF(Table1[[#This Row],[Age]]&lt;30,"20-29",
IF(Table1[[#This Row],[Age]]&lt;40,"30-39",
IF(Table1[[#This Row],[Age]]&lt;50,"40-49",
IF(Table1[[#This Row],[Age]]&lt;60,"50-59","60+"))))</f>
        <v>50-59</v>
      </c>
      <c r="M1051" t="s">
        <v>16</v>
      </c>
      <c r="N1051" t="s">
        <v>19</v>
      </c>
    </row>
    <row r="1052" spans="1:14" x14ac:dyDescent="0.35">
      <c r="A1052">
        <v>1151</v>
      </c>
      <c r="B1052" t="s">
        <v>10</v>
      </c>
      <c r="C1052" s="6">
        <v>43407</v>
      </c>
      <c r="D1052">
        <f>YEAR(Table1[[#This Row],[Join Date]])</f>
        <v>2018</v>
      </c>
      <c r="E1052" s="6" t="s">
        <v>48</v>
      </c>
      <c r="F1052" t="str">
        <f>IFERROR(YEAR(Table1[[#This Row],[Exit Date]]), " ")</f>
        <v xml:space="preserve"> </v>
      </c>
      <c r="G1052" t="str">
        <f>IFERROR((Table1[[#This Row],[Exit Year]]-Table1[[#This Row],[Join Year]])+1," ")</f>
        <v xml:space="preserve"> </v>
      </c>
      <c r="H1052" t="s">
        <v>48</v>
      </c>
      <c r="I1052" t="s">
        <v>11</v>
      </c>
      <c r="J1052" t="s">
        <v>18</v>
      </c>
      <c r="K1052">
        <v>27</v>
      </c>
      <c r="L1052" t="str">
        <f>IF(Table1[[#This Row],[Age]]&lt;30,"20-29",
IF(Table1[[#This Row],[Age]]&lt;40,"30-39",
IF(Table1[[#This Row],[Age]]&lt;50,"40-49",
IF(Table1[[#This Row],[Age]]&lt;60,"50-59","60+"))))</f>
        <v>20-29</v>
      </c>
      <c r="M1052" t="s">
        <v>13</v>
      </c>
      <c r="N1052" t="s">
        <v>21</v>
      </c>
    </row>
    <row r="1053" spans="1:14" x14ac:dyDescent="0.35">
      <c r="A1053">
        <v>1152</v>
      </c>
      <c r="B1053" t="s">
        <v>15</v>
      </c>
      <c r="C1053" s="6">
        <v>44121</v>
      </c>
      <c r="D1053">
        <f>YEAR(Table1[[#This Row],[Join Date]])</f>
        <v>2020</v>
      </c>
      <c r="E1053" s="6" t="s">
        <v>48</v>
      </c>
      <c r="F1053" t="str">
        <f>IFERROR(YEAR(Table1[[#This Row],[Exit Date]]), " ")</f>
        <v xml:space="preserve"> </v>
      </c>
      <c r="G1053" t="str">
        <f>IFERROR((Table1[[#This Row],[Exit Year]]-Table1[[#This Row],[Join Year]])+1," ")</f>
        <v xml:space="preserve"> </v>
      </c>
      <c r="H1053" t="s">
        <v>48</v>
      </c>
      <c r="I1053" t="s">
        <v>11</v>
      </c>
      <c r="J1053" t="s">
        <v>18</v>
      </c>
      <c r="K1053">
        <v>22</v>
      </c>
      <c r="L1053" t="str">
        <f>IF(Table1[[#This Row],[Age]]&lt;30,"20-29",
IF(Table1[[#This Row],[Age]]&lt;40,"30-39",
IF(Table1[[#This Row],[Age]]&lt;50,"40-49",
IF(Table1[[#This Row],[Age]]&lt;60,"50-59","60+"))))</f>
        <v>20-29</v>
      </c>
      <c r="M1053" t="s">
        <v>20</v>
      </c>
      <c r="N1053" t="s">
        <v>25</v>
      </c>
    </row>
    <row r="1054" spans="1:14" x14ac:dyDescent="0.35">
      <c r="A1054">
        <v>1153</v>
      </c>
      <c r="B1054" t="s">
        <v>15</v>
      </c>
      <c r="C1054" s="6">
        <v>44423</v>
      </c>
      <c r="D1054">
        <f>YEAR(Table1[[#This Row],[Join Date]])</f>
        <v>2021</v>
      </c>
      <c r="E1054" s="6" t="s">
        <v>48</v>
      </c>
      <c r="F1054" t="str">
        <f>IFERROR(YEAR(Table1[[#This Row],[Exit Date]]), " ")</f>
        <v xml:space="preserve"> </v>
      </c>
      <c r="G1054" t="str">
        <f>IFERROR((Table1[[#This Row],[Exit Year]]-Table1[[#This Row],[Join Year]])+1," ")</f>
        <v xml:space="preserve"> </v>
      </c>
      <c r="H1054" t="s">
        <v>48</v>
      </c>
      <c r="I1054" t="s">
        <v>11</v>
      </c>
      <c r="J1054" t="s">
        <v>12</v>
      </c>
      <c r="K1054">
        <v>50</v>
      </c>
      <c r="L1054" t="str">
        <f>IF(Table1[[#This Row],[Age]]&lt;30,"20-29",
IF(Table1[[#This Row],[Age]]&lt;40,"30-39",
IF(Table1[[#This Row],[Age]]&lt;50,"40-49",
IF(Table1[[#This Row],[Age]]&lt;60,"50-59","60+"))))</f>
        <v>50-59</v>
      </c>
      <c r="M1054" t="s">
        <v>39</v>
      </c>
      <c r="N1054" t="s">
        <v>28</v>
      </c>
    </row>
    <row r="1055" spans="1:14" x14ac:dyDescent="0.35">
      <c r="A1055">
        <v>1154</v>
      </c>
      <c r="B1055" t="s">
        <v>15</v>
      </c>
      <c r="C1055" s="6">
        <v>45087</v>
      </c>
      <c r="D1055">
        <f>YEAR(Table1[[#This Row],[Join Date]])</f>
        <v>2023</v>
      </c>
      <c r="E1055" s="6" t="s">
        <v>48</v>
      </c>
      <c r="F1055" t="str">
        <f>IFERROR(YEAR(Table1[[#This Row],[Exit Date]]), " ")</f>
        <v xml:space="preserve"> </v>
      </c>
      <c r="G1055" t="str">
        <f>IFERROR((Table1[[#This Row],[Exit Year]]-Table1[[#This Row],[Join Year]])+1," ")</f>
        <v xml:space="preserve"> </v>
      </c>
      <c r="H1055" t="s">
        <v>48</v>
      </c>
      <c r="I1055" t="s">
        <v>11</v>
      </c>
      <c r="J1055" t="s">
        <v>12</v>
      </c>
      <c r="K1055">
        <v>24</v>
      </c>
      <c r="L1055" t="str">
        <f>IF(Table1[[#This Row],[Age]]&lt;30,"20-29",
IF(Table1[[#This Row],[Age]]&lt;40,"30-39",
IF(Table1[[#This Row],[Age]]&lt;50,"40-49",
IF(Table1[[#This Row],[Age]]&lt;60,"50-59","60+"))))</f>
        <v>20-29</v>
      </c>
      <c r="M1055" t="s">
        <v>13</v>
      </c>
      <c r="N1055" t="s">
        <v>31</v>
      </c>
    </row>
    <row r="1056" spans="1:14" x14ac:dyDescent="0.35">
      <c r="A1056">
        <v>1155</v>
      </c>
      <c r="B1056" t="s">
        <v>15</v>
      </c>
      <c r="C1056" s="6">
        <v>43479</v>
      </c>
      <c r="D1056">
        <f>YEAR(Table1[[#This Row],[Join Date]])</f>
        <v>2019</v>
      </c>
      <c r="E1056" s="6">
        <v>44449</v>
      </c>
      <c r="F1056">
        <f>IFERROR(YEAR(Table1[[#This Row],[Exit Date]]), " ")</f>
        <v>2021</v>
      </c>
      <c r="G1056">
        <f>IFERROR((Table1[[#This Row],[Exit Year]]-Table1[[#This Row],[Join Year]])+1," ")</f>
        <v>3</v>
      </c>
      <c r="H1056" t="s">
        <v>46</v>
      </c>
      <c r="I1056" t="s">
        <v>23</v>
      </c>
      <c r="J1056" t="s">
        <v>12</v>
      </c>
      <c r="K1056">
        <v>50</v>
      </c>
      <c r="L1056" t="str">
        <f>IF(Table1[[#This Row],[Age]]&lt;30,"20-29",
IF(Table1[[#This Row],[Age]]&lt;40,"30-39",
IF(Table1[[#This Row],[Age]]&lt;50,"40-49",
IF(Table1[[#This Row],[Age]]&lt;60,"50-59","60+"))))</f>
        <v>50-59</v>
      </c>
      <c r="M1056" t="s">
        <v>16</v>
      </c>
      <c r="N1056" t="s">
        <v>32</v>
      </c>
    </row>
    <row r="1057" spans="1:14" x14ac:dyDescent="0.35">
      <c r="A1057">
        <v>1156</v>
      </c>
      <c r="B1057" t="s">
        <v>26</v>
      </c>
      <c r="C1057" s="6">
        <v>44749</v>
      </c>
      <c r="D1057">
        <f>YEAR(Table1[[#This Row],[Join Date]])</f>
        <v>2022</v>
      </c>
      <c r="E1057" s="6">
        <v>44972</v>
      </c>
      <c r="F1057">
        <f>IFERROR(YEAR(Table1[[#This Row],[Exit Date]]), " ")</f>
        <v>2023</v>
      </c>
      <c r="G1057">
        <f>IFERROR((Table1[[#This Row],[Exit Year]]-Table1[[#This Row],[Join Year]])+1," ")</f>
        <v>2</v>
      </c>
      <c r="H1057" t="s">
        <v>46</v>
      </c>
      <c r="I1057" t="s">
        <v>23</v>
      </c>
      <c r="J1057" t="s">
        <v>18</v>
      </c>
      <c r="K1057">
        <v>28</v>
      </c>
      <c r="L1057" t="str">
        <f>IF(Table1[[#This Row],[Age]]&lt;30,"20-29",
IF(Table1[[#This Row],[Age]]&lt;40,"30-39",
IF(Table1[[#This Row],[Age]]&lt;50,"40-49",
IF(Table1[[#This Row],[Age]]&lt;60,"50-59","60+"))))</f>
        <v>20-29</v>
      </c>
      <c r="M1057" t="s">
        <v>16</v>
      </c>
      <c r="N1057" t="s">
        <v>33</v>
      </c>
    </row>
    <row r="1058" spans="1:14" x14ac:dyDescent="0.35">
      <c r="A1058">
        <v>1157</v>
      </c>
      <c r="B1058" t="s">
        <v>29</v>
      </c>
      <c r="C1058" s="6">
        <v>45457</v>
      </c>
      <c r="D1058">
        <f>YEAR(Table1[[#This Row],[Join Date]])</f>
        <v>2024</v>
      </c>
      <c r="E1058" s="6" t="s">
        <v>48</v>
      </c>
      <c r="F1058" t="str">
        <f>IFERROR(YEAR(Table1[[#This Row],[Exit Date]]), " ")</f>
        <v xml:space="preserve"> </v>
      </c>
      <c r="G1058" t="str">
        <f>IFERROR((Table1[[#This Row],[Exit Year]]-Table1[[#This Row],[Join Year]])+1," ")</f>
        <v xml:space="preserve"> </v>
      </c>
      <c r="H1058" t="s">
        <v>48</v>
      </c>
      <c r="I1058" t="s">
        <v>11</v>
      </c>
      <c r="J1058" t="s">
        <v>12</v>
      </c>
      <c r="K1058">
        <v>40</v>
      </c>
      <c r="L1058" t="str">
        <f>IF(Table1[[#This Row],[Age]]&lt;30,"20-29",
IF(Table1[[#This Row],[Age]]&lt;40,"30-39",
IF(Table1[[#This Row],[Age]]&lt;50,"40-49",
IF(Table1[[#This Row],[Age]]&lt;60,"50-59","60+"))))</f>
        <v>40-49</v>
      </c>
      <c r="M1058" t="s">
        <v>20</v>
      </c>
      <c r="N1058" t="s">
        <v>35</v>
      </c>
    </row>
    <row r="1059" spans="1:14" x14ac:dyDescent="0.35">
      <c r="A1059">
        <v>1158</v>
      </c>
      <c r="B1059" t="s">
        <v>10</v>
      </c>
      <c r="C1059" s="6">
        <v>43304</v>
      </c>
      <c r="D1059">
        <f>YEAR(Table1[[#This Row],[Join Date]])</f>
        <v>2018</v>
      </c>
      <c r="E1059" s="6" t="s">
        <v>48</v>
      </c>
      <c r="F1059" t="str">
        <f>IFERROR(YEAR(Table1[[#This Row],[Exit Date]]), " ")</f>
        <v xml:space="preserve"> </v>
      </c>
      <c r="G1059" t="str">
        <f>IFERROR((Table1[[#This Row],[Exit Year]]-Table1[[#This Row],[Join Year]])+1," ")</f>
        <v xml:space="preserve"> </v>
      </c>
      <c r="H1059" t="s">
        <v>48</v>
      </c>
      <c r="I1059" t="s">
        <v>11</v>
      </c>
      <c r="J1059" t="s">
        <v>18</v>
      </c>
      <c r="K1059">
        <v>32</v>
      </c>
      <c r="L1059" t="str">
        <f>IF(Table1[[#This Row],[Age]]&lt;30,"20-29",
IF(Table1[[#This Row],[Age]]&lt;40,"30-39",
IF(Table1[[#This Row],[Age]]&lt;50,"40-49",
IF(Table1[[#This Row],[Age]]&lt;60,"50-59","60+"))))</f>
        <v>30-39</v>
      </c>
      <c r="M1059" t="s">
        <v>24</v>
      </c>
      <c r="N1059" t="s">
        <v>37</v>
      </c>
    </row>
    <row r="1060" spans="1:14" x14ac:dyDescent="0.35">
      <c r="A1060">
        <v>1159</v>
      </c>
      <c r="B1060" t="s">
        <v>15</v>
      </c>
      <c r="C1060" s="6">
        <v>44987</v>
      </c>
      <c r="D1060">
        <f>YEAR(Table1[[#This Row],[Join Date]])</f>
        <v>2023</v>
      </c>
      <c r="E1060" s="6" t="s">
        <v>48</v>
      </c>
      <c r="F1060" t="str">
        <f>IFERROR(YEAR(Table1[[#This Row],[Exit Date]]), " ")</f>
        <v xml:space="preserve"> </v>
      </c>
      <c r="G1060" t="str">
        <f>IFERROR((Table1[[#This Row],[Exit Year]]-Table1[[#This Row],[Join Year]])+1," ")</f>
        <v xml:space="preserve"> </v>
      </c>
      <c r="H1060" t="s">
        <v>48</v>
      </c>
      <c r="I1060" t="s">
        <v>11</v>
      </c>
      <c r="J1060" t="s">
        <v>12</v>
      </c>
      <c r="K1060">
        <v>50</v>
      </c>
      <c r="L1060" t="str">
        <f>IF(Table1[[#This Row],[Age]]&lt;30,"20-29",
IF(Table1[[#This Row],[Age]]&lt;40,"30-39",
IF(Table1[[#This Row],[Age]]&lt;50,"40-49",
IF(Table1[[#This Row],[Age]]&lt;60,"50-59","60+"))))</f>
        <v>50-59</v>
      </c>
      <c r="M1060" t="s">
        <v>13</v>
      </c>
      <c r="N1060" t="s">
        <v>19</v>
      </c>
    </row>
    <row r="1061" spans="1:14" x14ac:dyDescent="0.35">
      <c r="A1061">
        <v>1160</v>
      </c>
      <c r="B1061" t="s">
        <v>34</v>
      </c>
      <c r="C1061" s="6">
        <v>45326</v>
      </c>
      <c r="D1061">
        <f>YEAR(Table1[[#This Row],[Join Date]])</f>
        <v>2024</v>
      </c>
      <c r="E1061" s="6" t="s">
        <v>48</v>
      </c>
      <c r="F1061" t="str">
        <f>IFERROR(YEAR(Table1[[#This Row],[Exit Date]]), " ")</f>
        <v xml:space="preserve"> </v>
      </c>
      <c r="G1061" t="str">
        <f>IFERROR((Table1[[#This Row],[Exit Year]]-Table1[[#This Row],[Join Year]])+1," ")</f>
        <v xml:space="preserve"> </v>
      </c>
      <c r="H1061" t="s">
        <v>48</v>
      </c>
      <c r="I1061" t="s">
        <v>11</v>
      </c>
      <c r="J1061" t="s">
        <v>12</v>
      </c>
      <c r="K1061">
        <v>24</v>
      </c>
      <c r="L1061" t="str">
        <f>IF(Table1[[#This Row],[Age]]&lt;30,"20-29",
IF(Table1[[#This Row],[Age]]&lt;40,"30-39",
IF(Table1[[#This Row],[Age]]&lt;50,"40-49",
IF(Table1[[#This Row],[Age]]&lt;60,"50-59","60+"))))</f>
        <v>20-29</v>
      </c>
      <c r="M1061" t="s">
        <v>30</v>
      </c>
      <c r="N1061" t="s">
        <v>25</v>
      </c>
    </row>
    <row r="1062" spans="1:14" x14ac:dyDescent="0.35">
      <c r="A1062">
        <v>1161</v>
      </c>
      <c r="B1062" t="s">
        <v>36</v>
      </c>
      <c r="C1062" s="6">
        <v>45474</v>
      </c>
      <c r="D1062">
        <f>YEAR(Table1[[#This Row],[Join Date]])</f>
        <v>2024</v>
      </c>
      <c r="E1062" s="6" t="s">
        <v>48</v>
      </c>
      <c r="F1062" t="str">
        <f>IFERROR(YEAR(Table1[[#This Row],[Exit Date]]), " ")</f>
        <v xml:space="preserve"> </v>
      </c>
      <c r="G1062" t="str">
        <f>IFERROR((Table1[[#This Row],[Exit Year]]-Table1[[#This Row],[Join Year]])+1," ")</f>
        <v xml:space="preserve"> </v>
      </c>
      <c r="H1062" t="s">
        <v>48</v>
      </c>
      <c r="I1062" t="s">
        <v>11</v>
      </c>
      <c r="J1062" t="s">
        <v>18</v>
      </c>
      <c r="K1062">
        <v>36</v>
      </c>
      <c r="L1062" t="str">
        <f>IF(Table1[[#This Row],[Age]]&lt;30,"20-29",
IF(Table1[[#This Row],[Age]]&lt;40,"30-39",
IF(Table1[[#This Row],[Age]]&lt;50,"40-49",
IF(Table1[[#This Row],[Age]]&lt;60,"50-59","60+"))))</f>
        <v>30-39</v>
      </c>
      <c r="M1062" t="s">
        <v>13</v>
      </c>
      <c r="N1062" t="s">
        <v>35</v>
      </c>
    </row>
    <row r="1063" spans="1:14" x14ac:dyDescent="0.35">
      <c r="A1063">
        <v>1162</v>
      </c>
      <c r="B1063" t="s">
        <v>29</v>
      </c>
      <c r="C1063" s="6">
        <v>44227</v>
      </c>
      <c r="D1063">
        <f>YEAR(Table1[[#This Row],[Join Date]])</f>
        <v>2021</v>
      </c>
      <c r="E1063" s="6">
        <v>45322</v>
      </c>
      <c r="F1063">
        <f>IFERROR(YEAR(Table1[[#This Row],[Exit Date]]), " ")</f>
        <v>2024</v>
      </c>
      <c r="G1063">
        <f>IFERROR((Table1[[#This Row],[Exit Year]]-Table1[[#This Row],[Join Year]])+1," ")</f>
        <v>4</v>
      </c>
      <c r="H1063" t="s">
        <v>46</v>
      </c>
      <c r="I1063" t="s">
        <v>23</v>
      </c>
      <c r="J1063" t="s">
        <v>18</v>
      </c>
      <c r="K1063">
        <v>49</v>
      </c>
      <c r="L1063" t="str">
        <f>IF(Table1[[#This Row],[Age]]&lt;30,"20-29",
IF(Table1[[#This Row],[Age]]&lt;40,"30-39",
IF(Table1[[#This Row],[Age]]&lt;50,"40-49",
IF(Table1[[#This Row],[Age]]&lt;60,"50-59","60+"))))</f>
        <v>40-49</v>
      </c>
      <c r="M1063" t="s">
        <v>13</v>
      </c>
      <c r="N1063" t="s">
        <v>17</v>
      </c>
    </row>
    <row r="1064" spans="1:14" x14ac:dyDescent="0.35">
      <c r="A1064">
        <v>1163</v>
      </c>
      <c r="B1064" t="s">
        <v>10</v>
      </c>
      <c r="C1064" s="6">
        <v>43446</v>
      </c>
      <c r="D1064">
        <f>YEAR(Table1[[#This Row],[Join Date]])</f>
        <v>2018</v>
      </c>
      <c r="E1064" s="6">
        <v>43936</v>
      </c>
      <c r="F1064">
        <f>IFERROR(YEAR(Table1[[#This Row],[Exit Date]]), " ")</f>
        <v>2020</v>
      </c>
      <c r="G1064">
        <f>IFERROR((Table1[[#This Row],[Exit Year]]-Table1[[#This Row],[Join Year]])+1," ")</f>
        <v>3</v>
      </c>
      <c r="H1064" t="s">
        <v>38</v>
      </c>
      <c r="I1064" t="s">
        <v>23</v>
      </c>
      <c r="J1064" t="s">
        <v>12</v>
      </c>
      <c r="K1064">
        <v>43</v>
      </c>
      <c r="L1064" t="str">
        <f>IF(Table1[[#This Row],[Age]]&lt;30,"20-29",
IF(Table1[[#This Row],[Age]]&lt;40,"30-39",
IF(Table1[[#This Row],[Age]]&lt;50,"40-49",
IF(Table1[[#This Row],[Age]]&lt;60,"50-59","60+"))))</f>
        <v>40-49</v>
      </c>
      <c r="M1064" t="s">
        <v>16</v>
      </c>
      <c r="N1064" t="s">
        <v>19</v>
      </c>
    </row>
    <row r="1065" spans="1:14" x14ac:dyDescent="0.35">
      <c r="A1065">
        <v>1164</v>
      </c>
      <c r="B1065" t="s">
        <v>15</v>
      </c>
      <c r="C1065" s="6">
        <v>45314</v>
      </c>
      <c r="D1065">
        <f>YEAR(Table1[[#This Row],[Join Date]])</f>
        <v>2024</v>
      </c>
      <c r="E1065" s="6" t="s">
        <v>48</v>
      </c>
      <c r="F1065" t="str">
        <f>IFERROR(YEAR(Table1[[#This Row],[Exit Date]]), " ")</f>
        <v xml:space="preserve"> </v>
      </c>
      <c r="G1065" t="str">
        <f>IFERROR((Table1[[#This Row],[Exit Year]]-Table1[[#This Row],[Join Year]])+1," ")</f>
        <v xml:space="preserve"> </v>
      </c>
      <c r="H1065" t="s">
        <v>48</v>
      </c>
      <c r="I1065" t="s">
        <v>11</v>
      </c>
      <c r="J1065" t="s">
        <v>18</v>
      </c>
      <c r="K1065">
        <v>40</v>
      </c>
      <c r="L1065" t="str">
        <f>IF(Table1[[#This Row],[Age]]&lt;30,"20-29",
IF(Table1[[#This Row],[Age]]&lt;40,"30-39",
IF(Table1[[#This Row],[Age]]&lt;50,"40-49",
IF(Table1[[#This Row],[Age]]&lt;60,"50-59","60+"))))</f>
        <v>40-49</v>
      </c>
      <c r="M1065" t="s">
        <v>13</v>
      </c>
      <c r="N1065" t="s">
        <v>21</v>
      </c>
    </row>
    <row r="1066" spans="1:14" x14ac:dyDescent="0.35">
      <c r="A1066">
        <v>1165</v>
      </c>
      <c r="B1066" t="s">
        <v>15</v>
      </c>
      <c r="C1066" s="6">
        <v>43123</v>
      </c>
      <c r="D1066">
        <f>YEAR(Table1[[#This Row],[Join Date]])</f>
        <v>2018</v>
      </c>
      <c r="E1066" s="6" t="s">
        <v>48</v>
      </c>
      <c r="F1066" t="str">
        <f>IFERROR(YEAR(Table1[[#This Row],[Exit Date]]), " ")</f>
        <v xml:space="preserve"> </v>
      </c>
      <c r="G1066" t="str">
        <f>IFERROR((Table1[[#This Row],[Exit Year]]-Table1[[#This Row],[Join Year]])+1," ")</f>
        <v xml:space="preserve"> </v>
      </c>
      <c r="H1066" t="s">
        <v>48</v>
      </c>
      <c r="I1066" t="s">
        <v>11</v>
      </c>
      <c r="J1066" t="s">
        <v>12</v>
      </c>
      <c r="K1066">
        <v>42</v>
      </c>
      <c r="L1066" t="str">
        <f>IF(Table1[[#This Row],[Age]]&lt;30,"20-29",
IF(Table1[[#This Row],[Age]]&lt;40,"30-39",
IF(Table1[[#This Row],[Age]]&lt;50,"40-49",
IF(Table1[[#This Row],[Age]]&lt;60,"50-59","60+"))))</f>
        <v>40-49</v>
      </c>
      <c r="M1066" t="s">
        <v>20</v>
      </c>
      <c r="N1066" t="s">
        <v>25</v>
      </c>
    </row>
    <row r="1067" spans="1:14" x14ac:dyDescent="0.35">
      <c r="A1067">
        <v>1166</v>
      </c>
      <c r="B1067" t="s">
        <v>10</v>
      </c>
      <c r="C1067" s="6">
        <v>43717</v>
      </c>
      <c r="D1067">
        <f>YEAR(Table1[[#This Row],[Join Date]])</f>
        <v>2019</v>
      </c>
      <c r="E1067" s="6">
        <v>44677</v>
      </c>
      <c r="F1067">
        <f>IFERROR(YEAR(Table1[[#This Row],[Exit Date]]), " ")</f>
        <v>2022</v>
      </c>
      <c r="G1067">
        <f>IFERROR((Table1[[#This Row],[Exit Year]]-Table1[[#This Row],[Join Year]])+1," ")</f>
        <v>4</v>
      </c>
      <c r="H1067" t="s">
        <v>40</v>
      </c>
      <c r="I1067" t="s">
        <v>23</v>
      </c>
      <c r="J1067" t="s">
        <v>12</v>
      </c>
      <c r="K1067">
        <v>35</v>
      </c>
      <c r="L1067" t="str">
        <f>IF(Table1[[#This Row],[Age]]&lt;30,"20-29",
IF(Table1[[#This Row],[Age]]&lt;40,"30-39",
IF(Table1[[#This Row],[Age]]&lt;50,"40-49",
IF(Table1[[#This Row],[Age]]&lt;60,"50-59","60+"))))</f>
        <v>30-39</v>
      </c>
      <c r="M1067" t="s">
        <v>44</v>
      </c>
      <c r="N1067" t="s">
        <v>35</v>
      </c>
    </row>
    <row r="1068" spans="1:14" x14ac:dyDescent="0.35">
      <c r="A1068">
        <v>1167</v>
      </c>
      <c r="B1068" t="s">
        <v>29</v>
      </c>
      <c r="C1068" s="6">
        <v>43534</v>
      </c>
      <c r="D1068">
        <f>YEAR(Table1[[#This Row],[Join Date]])</f>
        <v>2019</v>
      </c>
      <c r="E1068" s="6">
        <v>44117</v>
      </c>
      <c r="F1068">
        <f>IFERROR(YEAR(Table1[[#This Row],[Exit Date]]), " ")</f>
        <v>2020</v>
      </c>
      <c r="G1068">
        <f>IFERROR((Table1[[#This Row],[Exit Year]]-Table1[[#This Row],[Join Year]])+1," ")</f>
        <v>2</v>
      </c>
      <c r="H1068" t="s">
        <v>38</v>
      </c>
      <c r="I1068" t="s">
        <v>23</v>
      </c>
      <c r="J1068" t="s">
        <v>12</v>
      </c>
      <c r="K1068">
        <v>31</v>
      </c>
      <c r="L1068" t="str">
        <f>IF(Table1[[#This Row],[Age]]&lt;30,"20-29",
IF(Table1[[#This Row],[Age]]&lt;40,"30-39",
IF(Table1[[#This Row],[Age]]&lt;50,"40-49",
IF(Table1[[#This Row],[Age]]&lt;60,"50-59","60+"))))</f>
        <v>30-39</v>
      </c>
      <c r="M1068" t="s">
        <v>13</v>
      </c>
      <c r="N1068" t="s">
        <v>14</v>
      </c>
    </row>
    <row r="1069" spans="1:14" x14ac:dyDescent="0.35">
      <c r="A1069">
        <v>1168</v>
      </c>
      <c r="B1069" t="s">
        <v>36</v>
      </c>
      <c r="C1069" s="6">
        <v>44619</v>
      </c>
      <c r="D1069">
        <f>YEAR(Table1[[#This Row],[Join Date]])</f>
        <v>2022</v>
      </c>
      <c r="E1069" s="6" t="s">
        <v>48</v>
      </c>
      <c r="F1069" t="str">
        <f>IFERROR(YEAR(Table1[[#This Row],[Exit Date]]), " ")</f>
        <v xml:space="preserve"> </v>
      </c>
      <c r="G1069" t="str">
        <f>IFERROR((Table1[[#This Row],[Exit Year]]-Table1[[#This Row],[Join Year]])+1," ")</f>
        <v xml:space="preserve"> </v>
      </c>
      <c r="H1069" t="s">
        <v>48</v>
      </c>
      <c r="I1069" t="s">
        <v>11</v>
      </c>
      <c r="J1069" t="s">
        <v>18</v>
      </c>
      <c r="K1069">
        <v>51</v>
      </c>
      <c r="L1069" t="str">
        <f>IF(Table1[[#This Row],[Age]]&lt;30,"20-29",
IF(Table1[[#This Row],[Age]]&lt;40,"30-39",
IF(Table1[[#This Row],[Age]]&lt;50,"40-49",
IF(Table1[[#This Row],[Age]]&lt;60,"50-59","60+"))))</f>
        <v>50-59</v>
      </c>
      <c r="M1069" t="s">
        <v>16</v>
      </c>
      <c r="N1069" t="s">
        <v>19</v>
      </c>
    </row>
    <row r="1070" spans="1:14" x14ac:dyDescent="0.35">
      <c r="A1070">
        <v>1169</v>
      </c>
      <c r="B1070" t="s">
        <v>10</v>
      </c>
      <c r="C1070" s="6">
        <v>45485</v>
      </c>
      <c r="D1070">
        <f>YEAR(Table1[[#This Row],[Join Date]])</f>
        <v>2024</v>
      </c>
      <c r="E1070" s="6" t="s">
        <v>48</v>
      </c>
      <c r="F1070" t="str">
        <f>IFERROR(YEAR(Table1[[#This Row],[Exit Date]]), " ")</f>
        <v xml:space="preserve"> </v>
      </c>
      <c r="G1070" t="str">
        <f>IFERROR((Table1[[#This Row],[Exit Year]]-Table1[[#This Row],[Join Year]])+1," ")</f>
        <v xml:space="preserve"> </v>
      </c>
      <c r="H1070" t="s">
        <v>48</v>
      </c>
      <c r="I1070" t="s">
        <v>11</v>
      </c>
      <c r="J1070" t="s">
        <v>12</v>
      </c>
      <c r="K1070">
        <v>48</v>
      </c>
      <c r="L1070" t="str">
        <f>IF(Table1[[#This Row],[Age]]&lt;30,"20-29",
IF(Table1[[#This Row],[Age]]&lt;40,"30-39",
IF(Table1[[#This Row],[Age]]&lt;50,"40-49",
IF(Table1[[#This Row],[Age]]&lt;60,"50-59","60+"))))</f>
        <v>40-49</v>
      </c>
      <c r="M1070" t="s">
        <v>16</v>
      </c>
      <c r="N1070" t="s">
        <v>21</v>
      </c>
    </row>
    <row r="1071" spans="1:14" x14ac:dyDescent="0.35">
      <c r="A1071">
        <v>1170</v>
      </c>
      <c r="B1071" t="s">
        <v>29</v>
      </c>
      <c r="C1071" s="6">
        <v>43588</v>
      </c>
      <c r="D1071">
        <f>YEAR(Table1[[#This Row],[Join Date]])</f>
        <v>2019</v>
      </c>
      <c r="E1071" s="6">
        <v>44896</v>
      </c>
      <c r="F1071">
        <f>IFERROR(YEAR(Table1[[#This Row],[Exit Date]]), " ")</f>
        <v>2022</v>
      </c>
      <c r="G1071">
        <f>IFERROR((Table1[[#This Row],[Exit Year]]-Table1[[#This Row],[Join Year]])+1," ")</f>
        <v>4</v>
      </c>
      <c r="H1071" t="s">
        <v>41</v>
      </c>
      <c r="I1071" t="s">
        <v>23</v>
      </c>
      <c r="J1071" t="s">
        <v>18</v>
      </c>
      <c r="K1071">
        <v>41</v>
      </c>
      <c r="L1071" t="str">
        <f>IF(Table1[[#This Row],[Age]]&lt;30,"20-29",
IF(Table1[[#This Row],[Age]]&lt;40,"30-39",
IF(Table1[[#This Row],[Age]]&lt;50,"40-49",
IF(Table1[[#This Row],[Age]]&lt;60,"50-59","60+"))))</f>
        <v>40-49</v>
      </c>
      <c r="M1071" t="s">
        <v>20</v>
      </c>
      <c r="N1071" t="s">
        <v>37</v>
      </c>
    </row>
    <row r="1072" spans="1:14" x14ac:dyDescent="0.35">
      <c r="A1072">
        <v>1171</v>
      </c>
      <c r="B1072" t="s">
        <v>36</v>
      </c>
      <c r="C1072" s="6">
        <v>44250</v>
      </c>
      <c r="D1072">
        <f>YEAR(Table1[[#This Row],[Join Date]])</f>
        <v>2021</v>
      </c>
      <c r="E1072" s="6">
        <v>45392</v>
      </c>
      <c r="F1072">
        <f>IFERROR(YEAR(Table1[[#This Row],[Exit Date]]), " ")</f>
        <v>2024</v>
      </c>
      <c r="G1072">
        <f>IFERROR((Table1[[#This Row],[Exit Year]]-Table1[[#This Row],[Join Year]])+1," ")</f>
        <v>4</v>
      </c>
      <c r="H1072" t="s">
        <v>46</v>
      </c>
      <c r="I1072" t="s">
        <v>23</v>
      </c>
      <c r="J1072" t="s">
        <v>12</v>
      </c>
      <c r="K1072">
        <v>35</v>
      </c>
      <c r="L1072" t="str">
        <f>IF(Table1[[#This Row],[Age]]&lt;30,"20-29",
IF(Table1[[#This Row],[Age]]&lt;40,"30-39",
IF(Table1[[#This Row],[Age]]&lt;50,"40-49",
IF(Table1[[#This Row],[Age]]&lt;60,"50-59","60+"))))</f>
        <v>30-39</v>
      </c>
      <c r="M1072" t="s">
        <v>24</v>
      </c>
      <c r="N1072" t="s">
        <v>25</v>
      </c>
    </row>
    <row r="1073" spans="1:14" x14ac:dyDescent="0.35">
      <c r="A1073">
        <v>1172</v>
      </c>
      <c r="B1073" t="s">
        <v>26</v>
      </c>
      <c r="C1073" s="6">
        <v>45244</v>
      </c>
      <c r="D1073">
        <f>YEAR(Table1[[#This Row],[Join Date]])</f>
        <v>2023</v>
      </c>
      <c r="E1073" s="6">
        <v>45446</v>
      </c>
      <c r="F1073">
        <f>IFERROR(YEAR(Table1[[#This Row],[Exit Date]]), " ")</f>
        <v>2024</v>
      </c>
      <c r="G1073">
        <f>IFERROR((Table1[[#This Row],[Exit Year]]-Table1[[#This Row],[Join Year]])+1," ")</f>
        <v>2</v>
      </c>
      <c r="H1073" t="s">
        <v>40</v>
      </c>
      <c r="I1073" t="s">
        <v>23</v>
      </c>
      <c r="J1073" t="s">
        <v>18</v>
      </c>
      <c r="K1073">
        <v>24</v>
      </c>
      <c r="L1073" t="str">
        <f>IF(Table1[[#This Row],[Age]]&lt;30,"20-29",
IF(Table1[[#This Row],[Age]]&lt;40,"30-39",
IF(Table1[[#This Row],[Age]]&lt;50,"40-49",
IF(Table1[[#This Row],[Age]]&lt;60,"50-59","60+"))))</f>
        <v>20-29</v>
      </c>
      <c r="M1073" t="s">
        <v>13</v>
      </c>
      <c r="N1073" t="s">
        <v>35</v>
      </c>
    </row>
    <row r="1074" spans="1:14" x14ac:dyDescent="0.35">
      <c r="A1074">
        <v>1173</v>
      </c>
      <c r="B1074" t="s">
        <v>15</v>
      </c>
      <c r="C1074" s="6">
        <v>45256</v>
      </c>
      <c r="D1074">
        <f>YEAR(Table1[[#This Row],[Join Date]])</f>
        <v>2023</v>
      </c>
      <c r="E1074" s="6" t="s">
        <v>48</v>
      </c>
      <c r="F1074" t="str">
        <f>IFERROR(YEAR(Table1[[#This Row],[Exit Date]]), " ")</f>
        <v xml:space="preserve"> </v>
      </c>
      <c r="G1074" t="str">
        <f>IFERROR((Table1[[#This Row],[Exit Year]]-Table1[[#This Row],[Join Year]])+1," ")</f>
        <v xml:space="preserve"> </v>
      </c>
      <c r="H1074" t="s">
        <v>48</v>
      </c>
      <c r="I1074" t="s">
        <v>11</v>
      </c>
      <c r="J1074" t="s">
        <v>18</v>
      </c>
      <c r="K1074">
        <v>41</v>
      </c>
      <c r="L1074" t="str">
        <f>IF(Table1[[#This Row],[Age]]&lt;30,"20-29",
IF(Table1[[#This Row],[Age]]&lt;40,"30-39",
IF(Table1[[#This Row],[Age]]&lt;50,"40-49",
IF(Table1[[#This Row],[Age]]&lt;60,"50-59","60+"))))</f>
        <v>40-49</v>
      </c>
      <c r="M1074" t="s">
        <v>30</v>
      </c>
      <c r="N1074" t="s">
        <v>25</v>
      </c>
    </row>
    <row r="1075" spans="1:14" x14ac:dyDescent="0.35">
      <c r="A1075">
        <v>1174</v>
      </c>
      <c r="B1075" t="s">
        <v>26</v>
      </c>
      <c r="C1075" s="6">
        <v>45465</v>
      </c>
      <c r="D1075">
        <f>YEAR(Table1[[#This Row],[Join Date]])</f>
        <v>2024</v>
      </c>
      <c r="E1075" s="6" t="s">
        <v>48</v>
      </c>
      <c r="F1075" t="str">
        <f>IFERROR(YEAR(Table1[[#This Row],[Exit Date]]), " ")</f>
        <v xml:space="preserve"> </v>
      </c>
      <c r="G1075" t="str">
        <f>IFERROR((Table1[[#This Row],[Exit Year]]-Table1[[#This Row],[Join Year]])+1," ")</f>
        <v xml:space="preserve"> </v>
      </c>
      <c r="H1075" t="s">
        <v>48</v>
      </c>
      <c r="I1075" t="s">
        <v>11</v>
      </c>
      <c r="J1075" t="s">
        <v>12</v>
      </c>
      <c r="K1075">
        <v>40</v>
      </c>
      <c r="L1075" t="str">
        <f>IF(Table1[[#This Row],[Age]]&lt;30,"20-29",
IF(Table1[[#This Row],[Age]]&lt;40,"30-39",
IF(Table1[[#This Row],[Age]]&lt;50,"40-49",
IF(Table1[[#This Row],[Age]]&lt;60,"50-59","60+"))))</f>
        <v>40-49</v>
      </c>
      <c r="M1075" t="s">
        <v>13</v>
      </c>
      <c r="N1075" t="s">
        <v>35</v>
      </c>
    </row>
    <row r="1076" spans="1:14" x14ac:dyDescent="0.35">
      <c r="A1076">
        <v>1175</v>
      </c>
      <c r="B1076" t="s">
        <v>10</v>
      </c>
      <c r="C1076" s="6">
        <v>43597</v>
      </c>
      <c r="D1076">
        <f>YEAR(Table1[[#This Row],[Join Date]])</f>
        <v>2019</v>
      </c>
      <c r="E1076" s="6" t="s">
        <v>48</v>
      </c>
      <c r="F1076" t="str">
        <f>IFERROR(YEAR(Table1[[#This Row],[Exit Date]]), " ")</f>
        <v xml:space="preserve"> </v>
      </c>
      <c r="G1076" t="str">
        <f>IFERROR((Table1[[#This Row],[Exit Year]]-Table1[[#This Row],[Join Year]])+1," ")</f>
        <v xml:space="preserve"> </v>
      </c>
      <c r="H1076" t="s">
        <v>48</v>
      </c>
      <c r="I1076" t="s">
        <v>11</v>
      </c>
      <c r="J1076" t="s">
        <v>18</v>
      </c>
      <c r="K1076">
        <v>48</v>
      </c>
      <c r="L1076" t="str">
        <f>IF(Table1[[#This Row],[Age]]&lt;30,"20-29",
IF(Table1[[#This Row],[Age]]&lt;40,"30-39",
IF(Table1[[#This Row],[Age]]&lt;50,"40-49",
IF(Table1[[#This Row],[Age]]&lt;60,"50-59","60+"))))</f>
        <v>40-49</v>
      </c>
      <c r="M1076" t="s">
        <v>13</v>
      </c>
      <c r="N1076" t="s">
        <v>14</v>
      </c>
    </row>
    <row r="1077" spans="1:14" x14ac:dyDescent="0.35">
      <c r="A1077">
        <v>1176</v>
      </c>
      <c r="B1077" t="s">
        <v>15</v>
      </c>
      <c r="C1077" s="6">
        <v>44866</v>
      </c>
      <c r="D1077">
        <f>YEAR(Table1[[#This Row],[Join Date]])</f>
        <v>2022</v>
      </c>
      <c r="E1077" s="6" t="s">
        <v>48</v>
      </c>
      <c r="F1077" t="str">
        <f>IFERROR(YEAR(Table1[[#This Row],[Exit Date]]), " ")</f>
        <v xml:space="preserve"> </v>
      </c>
      <c r="G1077" t="str">
        <f>IFERROR((Table1[[#This Row],[Exit Year]]-Table1[[#This Row],[Join Year]])+1," ")</f>
        <v xml:space="preserve"> </v>
      </c>
      <c r="H1077" t="s">
        <v>48</v>
      </c>
      <c r="I1077" t="s">
        <v>11</v>
      </c>
      <c r="J1077" t="s">
        <v>18</v>
      </c>
      <c r="K1077">
        <v>52</v>
      </c>
      <c r="L1077" t="str">
        <f>IF(Table1[[#This Row],[Age]]&lt;30,"20-29",
IF(Table1[[#This Row],[Age]]&lt;40,"30-39",
IF(Table1[[#This Row],[Age]]&lt;50,"40-49",
IF(Table1[[#This Row],[Age]]&lt;60,"50-59","60+"))))</f>
        <v>50-59</v>
      </c>
      <c r="M1077" t="s">
        <v>16</v>
      </c>
      <c r="N1077" t="s">
        <v>19</v>
      </c>
    </row>
    <row r="1078" spans="1:14" x14ac:dyDescent="0.35">
      <c r="A1078">
        <v>1177</v>
      </c>
      <c r="B1078" t="s">
        <v>34</v>
      </c>
      <c r="C1078" s="6">
        <v>44006</v>
      </c>
      <c r="D1078">
        <f>YEAR(Table1[[#This Row],[Join Date]])</f>
        <v>2020</v>
      </c>
      <c r="E1078" s="6">
        <v>44463</v>
      </c>
      <c r="F1078">
        <f>IFERROR(YEAR(Table1[[#This Row],[Exit Date]]), " ")</f>
        <v>2021</v>
      </c>
      <c r="G1078">
        <f>IFERROR((Table1[[#This Row],[Exit Year]]-Table1[[#This Row],[Join Year]])+1," ")</f>
        <v>2</v>
      </c>
      <c r="H1078" t="s">
        <v>43</v>
      </c>
      <c r="I1078" t="s">
        <v>23</v>
      </c>
      <c r="J1078" t="s">
        <v>12</v>
      </c>
      <c r="K1078">
        <v>33</v>
      </c>
      <c r="L1078" t="str">
        <f>IF(Table1[[#This Row],[Age]]&lt;30,"20-29",
IF(Table1[[#This Row],[Age]]&lt;40,"30-39",
IF(Table1[[#This Row],[Age]]&lt;50,"40-49",
IF(Table1[[#This Row],[Age]]&lt;60,"50-59","60+"))))</f>
        <v>30-39</v>
      </c>
      <c r="M1078" t="s">
        <v>13</v>
      </c>
      <c r="N1078" t="s">
        <v>21</v>
      </c>
    </row>
    <row r="1079" spans="1:14" x14ac:dyDescent="0.35">
      <c r="A1079">
        <v>1178</v>
      </c>
      <c r="B1079" t="s">
        <v>26</v>
      </c>
      <c r="C1079" s="6">
        <v>45095</v>
      </c>
      <c r="D1079">
        <f>YEAR(Table1[[#This Row],[Join Date]])</f>
        <v>2023</v>
      </c>
      <c r="E1079" s="6" t="s">
        <v>48</v>
      </c>
      <c r="F1079" t="str">
        <f>IFERROR(YEAR(Table1[[#This Row],[Exit Date]]), " ")</f>
        <v xml:space="preserve"> </v>
      </c>
      <c r="G1079" t="str">
        <f>IFERROR((Table1[[#This Row],[Exit Year]]-Table1[[#This Row],[Join Year]])+1," ")</f>
        <v xml:space="preserve"> </v>
      </c>
      <c r="H1079" t="s">
        <v>48</v>
      </c>
      <c r="I1079" t="s">
        <v>11</v>
      </c>
      <c r="J1079" t="s">
        <v>12</v>
      </c>
      <c r="K1079">
        <v>51</v>
      </c>
      <c r="L1079" t="str">
        <f>IF(Table1[[#This Row],[Age]]&lt;30,"20-29",
IF(Table1[[#This Row],[Age]]&lt;40,"30-39",
IF(Table1[[#This Row],[Age]]&lt;50,"40-49",
IF(Table1[[#This Row],[Age]]&lt;60,"50-59","60+"))))</f>
        <v>50-59</v>
      </c>
      <c r="M1079" t="s">
        <v>20</v>
      </c>
      <c r="N1079" t="s">
        <v>37</v>
      </c>
    </row>
    <row r="1080" spans="1:14" x14ac:dyDescent="0.35">
      <c r="A1080">
        <v>1179</v>
      </c>
      <c r="B1080" t="s">
        <v>10</v>
      </c>
      <c r="C1080" s="6">
        <v>44360</v>
      </c>
      <c r="D1080">
        <f>YEAR(Table1[[#This Row],[Join Date]])</f>
        <v>2021</v>
      </c>
      <c r="E1080" s="6">
        <v>44755</v>
      </c>
      <c r="F1080">
        <f>IFERROR(YEAR(Table1[[#This Row],[Exit Date]]), " ")</f>
        <v>2022</v>
      </c>
      <c r="G1080">
        <f>IFERROR((Table1[[#This Row],[Exit Year]]-Table1[[#This Row],[Join Year]])+1," ")</f>
        <v>2</v>
      </c>
      <c r="H1080" t="s">
        <v>38</v>
      </c>
      <c r="I1080" t="s">
        <v>23</v>
      </c>
      <c r="J1080" t="s">
        <v>18</v>
      </c>
      <c r="K1080">
        <v>46</v>
      </c>
      <c r="L1080" t="str">
        <f>IF(Table1[[#This Row],[Age]]&lt;30,"20-29",
IF(Table1[[#This Row],[Age]]&lt;40,"30-39",
IF(Table1[[#This Row],[Age]]&lt;50,"40-49",
IF(Table1[[#This Row],[Age]]&lt;60,"50-59","60+"))))</f>
        <v>40-49</v>
      </c>
      <c r="M1080" t="s">
        <v>39</v>
      </c>
      <c r="N1080" t="s">
        <v>25</v>
      </c>
    </row>
    <row r="1081" spans="1:14" x14ac:dyDescent="0.35">
      <c r="A1081">
        <v>1180</v>
      </c>
      <c r="B1081" t="s">
        <v>26</v>
      </c>
      <c r="C1081" s="6">
        <v>43419</v>
      </c>
      <c r="D1081">
        <f>YEAR(Table1[[#This Row],[Join Date]])</f>
        <v>2018</v>
      </c>
      <c r="E1081" s="6">
        <v>44303</v>
      </c>
      <c r="F1081">
        <f>IFERROR(YEAR(Table1[[#This Row],[Exit Date]]), " ")</f>
        <v>2021</v>
      </c>
      <c r="G1081">
        <f>IFERROR((Table1[[#This Row],[Exit Year]]-Table1[[#This Row],[Join Year]])+1," ")</f>
        <v>4</v>
      </c>
      <c r="H1081" t="s">
        <v>22</v>
      </c>
      <c r="I1081" t="s">
        <v>23</v>
      </c>
      <c r="J1081" t="s">
        <v>18</v>
      </c>
      <c r="K1081">
        <v>53</v>
      </c>
      <c r="L1081" t="str">
        <f>IF(Table1[[#This Row],[Age]]&lt;30,"20-29",
IF(Table1[[#This Row],[Age]]&lt;40,"30-39",
IF(Table1[[#This Row],[Age]]&lt;50,"40-49",
IF(Table1[[#This Row],[Age]]&lt;60,"50-59","60+"))))</f>
        <v>50-59</v>
      </c>
      <c r="M1081" t="s">
        <v>13</v>
      </c>
      <c r="N1081" t="s">
        <v>35</v>
      </c>
    </row>
    <row r="1082" spans="1:14" x14ac:dyDescent="0.35">
      <c r="A1082">
        <v>1181</v>
      </c>
      <c r="B1082" t="s">
        <v>36</v>
      </c>
      <c r="C1082" s="6">
        <v>44249</v>
      </c>
      <c r="D1082">
        <f>YEAR(Table1[[#This Row],[Join Date]])</f>
        <v>2021</v>
      </c>
      <c r="E1082" s="6" t="s">
        <v>48</v>
      </c>
      <c r="F1082" t="str">
        <f>IFERROR(YEAR(Table1[[#This Row],[Exit Date]]), " ")</f>
        <v xml:space="preserve"> </v>
      </c>
      <c r="G1082" t="str">
        <f>IFERROR((Table1[[#This Row],[Exit Year]]-Table1[[#This Row],[Join Year]])+1," ")</f>
        <v xml:space="preserve"> </v>
      </c>
      <c r="H1082" t="s">
        <v>48</v>
      </c>
      <c r="I1082" t="s">
        <v>11</v>
      </c>
      <c r="J1082" t="s">
        <v>12</v>
      </c>
      <c r="K1082">
        <v>35</v>
      </c>
      <c r="L1082" t="str">
        <f>IF(Table1[[#This Row],[Age]]&lt;30,"20-29",
IF(Table1[[#This Row],[Age]]&lt;40,"30-39",
IF(Table1[[#This Row],[Age]]&lt;50,"40-49",
IF(Table1[[#This Row],[Age]]&lt;60,"50-59","60+"))))</f>
        <v>30-39</v>
      </c>
      <c r="M1082" t="s">
        <v>16</v>
      </c>
      <c r="N1082" t="s">
        <v>14</v>
      </c>
    </row>
    <row r="1083" spans="1:14" x14ac:dyDescent="0.35">
      <c r="A1083">
        <v>1182</v>
      </c>
      <c r="B1083" t="s">
        <v>10</v>
      </c>
      <c r="C1083" s="6">
        <v>45533</v>
      </c>
      <c r="D1083">
        <f>YEAR(Table1[[#This Row],[Join Date]])</f>
        <v>2024</v>
      </c>
      <c r="E1083" s="6" t="s">
        <v>48</v>
      </c>
      <c r="F1083" t="str">
        <f>IFERROR(YEAR(Table1[[#This Row],[Exit Date]]), " ")</f>
        <v xml:space="preserve"> </v>
      </c>
      <c r="G1083" t="str">
        <f>IFERROR((Table1[[#This Row],[Exit Year]]-Table1[[#This Row],[Join Year]])+1," ")</f>
        <v xml:space="preserve"> </v>
      </c>
      <c r="H1083" t="s">
        <v>48</v>
      </c>
      <c r="I1083" t="s">
        <v>11</v>
      </c>
      <c r="J1083" t="s">
        <v>18</v>
      </c>
      <c r="K1083">
        <v>32</v>
      </c>
      <c r="L1083" t="str">
        <f>IF(Table1[[#This Row],[Age]]&lt;30,"20-29",
IF(Table1[[#This Row],[Age]]&lt;40,"30-39",
IF(Table1[[#This Row],[Age]]&lt;50,"40-49",
IF(Table1[[#This Row],[Age]]&lt;60,"50-59","60+"))))</f>
        <v>30-39</v>
      </c>
      <c r="M1083" t="s">
        <v>16</v>
      </c>
      <c r="N1083" t="s">
        <v>17</v>
      </c>
    </row>
    <row r="1084" spans="1:14" x14ac:dyDescent="0.35">
      <c r="A1084">
        <v>1183</v>
      </c>
      <c r="B1084" t="s">
        <v>36</v>
      </c>
      <c r="C1084" s="6">
        <v>44377</v>
      </c>
      <c r="D1084">
        <f>YEAR(Table1[[#This Row],[Join Date]])</f>
        <v>2021</v>
      </c>
      <c r="E1084" s="6" t="s">
        <v>48</v>
      </c>
      <c r="F1084" t="str">
        <f>IFERROR(YEAR(Table1[[#This Row],[Exit Date]]), " ")</f>
        <v xml:space="preserve"> </v>
      </c>
      <c r="G1084" t="str">
        <f>IFERROR((Table1[[#This Row],[Exit Year]]-Table1[[#This Row],[Join Year]])+1," ")</f>
        <v xml:space="preserve"> </v>
      </c>
      <c r="H1084" t="s">
        <v>48</v>
      </c>
      <c r="I1084" t="s">
        <v>11</v>
      </c>
      <c r="J1084" t="s">
        <v>12</v>
      </c>
      <c r="K1084">
        <v>46</v>
      </c>
      <c r="L1084" t="str">
        <f>IF(Table1[[#This Row],[Age]]&lt;30,"20-29",
IF(Table1[[#This Row],[Age]]&lt;40,"30-39",
IF(Table1[[#This Row],[Age]]&lt;50,"40-49",
IF(Table1[[#This Row],[Age]]&lt;60,"50-59","60+"))))</f>
        <v>40-49</v>
      </c>
      <c r="M1084" t="s">
        <v>20</v>
      </c>
      <c r="N1084" t="s">
        <v>19</v>
      </c>
    </row>
    <row r="1085" spans="1:14" x14ac:dyDescent="0.35">
      <c r="A1085">
        <v>1184</v>
      </c>
      <c r="B1085" t="s">
        <v>10</v>
      </c>
      <c r="C1085" s="6">
        <v>44088</v>
      </c>
      <c r="D1085">
        <f>YEAR(Table1[[#This Row],[Join Date]])</f>
        <v>2020</v>
      </c>
      <c r="E1085" s="6" t="s">
        <v>48</v>
      </c>
      <c r="F1085" t="str">
        <f>IFERROR(YEAR(Table1[[#This Row],[Exit Date]]), " ")</f>
        <v xml:space="preserve"> </v>
      </c>
      <c r="G1085" t="str">
        <f>IFERROR((Table1[[#This Row],[Exit Year]]-Table1[[#This Row],[Join Year]])+1," ")</f>
        <v xml:space="preserve"> </v>
      </c>
      <c r="H1085" t="s">
        <v>48</v>
      </c>
      <c r="I1085" t="s">
        <v>11</v>
      </c>
      <c r="J1085" t="s">
        <v>12</v>
      </c>
      <c r="K1085">
        <v>50</v>
      </c>
      <c r="L1085" t="str">
        <f>IF(Table1[[#This Row],[Age]]&lt;30,"20-29",
IF(Table1[[#This Row],[Age]]&lt;40,"30-39",
IF(Table1[[#This Row],[Age]]&lt;50,"40-49",
IF(Table1[[#This Row],[Age]]&lt;60,"50-59","60+"))))</f>
        <v>50-59</v>
      </c>
      <c r="M1085" t="s">
        <v>24</v>
      </c>
      <c r="N1085" t="s">
        <v>21</v>
      </c>
    </row>
    <row r="1086" spans="1:14" x14ac:dyDescent="0.35">
      <c r="A1086">
        <v>1185</v>
      </c>
      <c r="B1086" t="s">
        <v>26</v>
      </c>
      <c r="C1086" s="6">
        <v>43373</v>
      </c>
      <c r="D1086">
        <f>YEAR(Table1[[#This Row],[Join Date]])</f>
        <v>2018</v>
      </c>
      <c r="E1086" s="6">
        <v>44825</v>
      </c>
      <c r="F1086">
        <f>IFERROR(YEAR(Table1[[#This Row],[Exit Date]]), " ")</f>
        <v>2022</v>
      </c>
      <c r="G1086">
        <f>IFERROR((Table1[[#This Row],[Exit Year]]-Table1[[#This Row],[Join Year]])+1," ")</f>
        <v>5</v>
      </c>
      <c r="H1086" t="s">
        <v>27</v>
      </c>
      <c r="I1086" t="s">
        <v>23</v>
      </c>
      <c r="J1086" t="s">
        <v>12</v>
      </c>
      <c r="K1086">
        <v>63</v>
      </c>
      <c r="L1086" t="str">
        <f>IF(Table1[[#This Row],[Age]]&lt;30,"20-29",
IF(Table1[[#This Row],[Age]]&lt;40,"30-39",
IF(Table1[[#This Row],[Age]]&lt;50,"40-49",
IF(Table1[[#This Row],[Age]]&lt;60,"50-59","60+"))))</f>
        <v>60+</v>
      </c>
      <c r="M1086" t="s">
        <v>13</v>
      </c>
      <c r="N1086" t="s">
        <v>25</v>
      </c>
    </row>
    <row r="1087" spans="1:14" x14ac:dyDescent="0.35">
      <c r="A1087">
        <v>1186</v>
      </c>
      <c r="B1087" t="s">
        <v>26</v>
      </c>
      <c r="C1087" s="6">
        <v>43314</v>
      </c>
      <c r="D1087">
        <f>YEAR(Table1[[#This Row],[Join Date]])</f>
        <v>2018</v>
      </c>
      <c r="E1087" s="6" t="s">
        <v>48</v>
      </c>
      <c r="F1087" t="str">
        <f>IFERROR(YEAR(Table1[[#This Row],[Exit Date]]), " ")</f>
        <v xml:space="preserve"> </v>
      </c>
      <c r="G1087" t="str">
        <f>IFERROR((Table1[[#This Row],[Exit Year]]-Table1[[#This Row],[Join Year]])+1," ")</f>
        <v xml:space="preserve"> </v>
      </c>
      <c r="H1087" t="s">
        <v>48</v>
      </c>
      <c r="I1087" t="s">
        <v>11</v>
      </c>
      <c r="J1087" t="s">
        <v>18</v>
      </c>
      <c r="K1087">
        <v>29</v>
      </c>
      <c r="L1087" t="str">
        <f>IF(Table1[[#This Row],[Age]]&lt;30,"20-29",
IF(Table1[[#This Row],[Age]]&lt;40,"30-39",
IF(Table1[[#This Row],[Age]]&lt;50,"40-49",
IF(Table1[[#This Row],[Age]]&lt;60,"50-59","60+"))))</f>
        <v>20-29</v>
      </c>
      <c r="M1087" t="s">
        <v>30</v>
      </c>
      <c r="N1087" t="s">
        <v>28</v>
      </c>
    </row>
    <row r="1088" spans="1:14" x14ac:dyDescent="0.35">
      <c r="A1088">
        <v>1187</v>
      </c>
      <c r="B1088" t="s">
        <v>26</v>
      </c>
      <c r="C1088" s="6">
        <v>44418</v>
      </c>
      <c r="D1088">
        <f>YEAR(Table1[[#This Row],[Join Date]])</f>
        <v>2021</v>
      </c>
      <c r="E1088" s="6">
        <v>45628</v>
      </c>
      <c r="F1088">
        <f>IFERROR(YEAR(Table1[[#This Row],[Exit Date]]), " ")</f>
        <v>2024</v>
      </c>
      <c r="G1088">
        <f>IFERROR((Table1[[#This Row],[Exit Year]]-Table1[[#This Row],[Join Year]])+1," ")</f>
        <v>4</v>
      </c>
      <c r="H1088" t="s">
        <v>46</v>
      </c>
      <c r="I1088" t="s">
        <v>23</v>
      </c>
      <c r="J1088" t="s">
        <v>12</v>
      </c>
      <c r="K1088">
        <v>27</v>
      </c>
      <c r="L1088" t="str">
        <f>IF(Table1[[#This Row],[Age]]&lt;30,"20-29",
IF(Table1[[#This Row],[Age]]&lt;40,"30-39",
IF(Table1[[#This Row],[Age]]&lt;50,"40-49",
IF(Table1[[#This Row],[Age]]&lt;60,"50-59","60+"))))</f>
        <v>20-29</v>
      </c>
      <c r="M1088" t="s">
        <v>13</v>
      </c>
      <c r="N1088" t="s">
        <v>31</v>
      </c>
    </row>
    <row r="1089" spans="1:14" x14ac:dyDescent="0.35">
      <c r="A1089">
        <v>1188</v>
      </c>
      <c r="B1089" t="s">
        <v>34</v>
      </c>
      <c r="C1089" s="6">
        <v>44324</v>
      </c>
      <c r="D1089">
        <f>YEAR(Table1[[#This Row],[Join Date]])</f>
        <v>2021</v>
      </c>
      <c r="E1089" s="6">
        <v>45076</v>
      </c>
      <c r="F1089">
        <f>IFERROR(YEAR(Table1[[#This Row],[Exit Date]]), " ")</f>
        <v>2023</v>
      </c>
      <c r="G1089">
        <f>IFERROR((Table1[[#This Row],[Exit Year]]-Table1[[#This Row],[Join Year]])+1," ")</f>
        <v>3</v>
      </c>
      <c r="H1089" t="s">
        <v>40</v>
      </c>
      <c r="I1089" t="s">
        <v>23</v>
      </c>
      <c r="J1089" t="s">
        <v>18</v>
      </c>
      <c r="K1089">
        <v>31</v>
      </c>
      <c r="L1089" t="str">
        <f>IF(Table1[[#This Row],[Age]]&lt;30,"20-29",
IF(Table1[[#This Row],[Age]]&lt;40,"30-39",
IF(Table1[[#This Row],[Age]]&lt;50,"40-49",
IF(Table1[[#This Row],[Age]]&lt;60,"50-59","60+"))))</f>
        <v>30-39</v>
      </c>
      <c r="M1089" t="s">
        <v>13</v>
      </c>
      <c r="N1089" t="s">
        <v>32</v>
      </c>
    </row>
    <row r="1090" spans="1:14" x14ac:dyDescent="0.35">
      <c r="A1090">
        <v>1189</v>
      </c>
      <c r="B1090" t="s">
        <v>10</v>
      </c>
      <c r="C1090" s="6">
        <v>43513</v>
      </c>
      <c r="D1090">
        <f>YEAR(Table1[[#This Row],[Join Date]])</f>
        <v>2019</v>
      </c>
      <c r="E1090" s="6">
        <v>44923</v>
      </c>
      <c r="F1090">
        <f>IFERROR(YEAR(Table1[[#This Row],[Exit Date]]), " ")</f>
        <v>2022</v>
      </c>
      <c r="G1090">
        <f>IFERROR((Table1[[#This Row],[Exit Year]]-Table1[[#This Row],[Join Year]])+1," ")</f>
        <v>4</v>
      </c>
      <c r="H1090" t="s">
        <v>38</v>
      </c>
      <c r="I1090" t="s">
        <v>23</v>
      </c>
      <c r="J1090" t="s">
        <v>12</v>
      </c>
      <c r="K1090">
        <v>24</v>
      </c>
      <c r="L1090" t="str">
        <f>IF(Table1[[#This Row],[Age]]&lt;30,"20-29",
IF(Table1[[#This Row],[Age]]&lt;40,"30-39",
IF(Table1[[#This Row],[Age]]&lt;50,"40-49",
IF(Table1[[#This Row],[Age]]&lt;60,"50-59","60+"))))</f>
        <v>20-29</v>
      </c>
      <c r="M1090" t="s">
        <v>16</v>
      </c>
      <c r="N1090" t="s">
        <v>33</v>
      </c>
    </row>
    <row r="1091" spans="1:14" x14ac:dyDescent="0.35">
      <c r="A1091">
        <v>1190</v>
      </c>
      <c r="B1091" t="s">
        <v>36</v>
      </c>
      <c r="C1091" s="6">
        <v>44180</v>
      </c>
      <c r="D1091">
        <f>YEAR(Table1[[#This Row],[Join Date]])</f>
        <v>2020</v>
      </c>
      <c r="E1091" s="6" t="s">
        <v>48</v>
      </c>
      <c r="F1091" t="str">
        <f>IFERROR(YEAR(Table1[[#This Row],[Exit Date]]), " ")</f>
        <v xml:space="preserve"> </v>
      </c>
      <c r="G1091" t="str">
        <f>IFERROR((Table1[[#This Row],[Exit Year]]-Table1[[#This Row],[Join Year]])+1," ")</f>
        <v xml:space="preserve"> </v>
      </c>
      <c r="H1091" t="s">
        <v>48</v>
      </c>
      <c r="I1091" t="s">
        <v>11</v>
      </c>
      <c r="J1091" t="s">
        <v>18</v>
      </c>
      <c r="K1091">
        <v>37</v>
      </c>
      <c r="L1091" t="str">
        <f>IF(Table1[[#This Row],[Age]]&lt;30,"20-29",
IF(Table1[[#This Row],[Age]]&lt;40,"30-39",
IF(Table1[[#This Row],[Age]]&lt;50,"40-49",
IF(Table1[[#This Row],[Age]]&lt;60,"50-59","60+"))))</f>
        <v>30-39</v>
      </c>
      <c r="M1091" t="s">
        <v>13</v>
      </c>
      <c r="N1091" t="s">
        <v>35</v>
      </c>
    </row>
    <row r="1092" spans="1:14" x14ac:dyDescent="0.35">
      <c r="A1092">
        <v>1191</v>
      </c>
      <c r="B1092" t="s">
        <v>34</v>
      </c>
      <c r="C1092" s="6">
        <v>44099</v>
      </c>
      <c r="D1092">
        <f>YEAR(Table1[[#This Row],[Join Date]])</f>
        <v>2020</v>
      </c>
      <c r="E1092" s="6" t="s">
        <v>48</v>
      </c>
      <c r="F1092" t="str">
        <f>IFERROR(YEAR(Table1[[#This Row],[Exit Date]]), " ")</f>
        <v xml:space="preserve"> </v>
      </c>
      <c r="G1092" t="str">
        <f>IFERROR((Table1[[#This Row],[Exit Year]]-Table1[[#This Row],[Join Year]])+1," ")</f>
        <v xml:space="preserve"> </v>
      </c>
      <c r="H1092" t="s">
        <v>48</v>
      </c>
      <c r="I1092" t="s">
        <v>11</v>
      </c>
      <c r="J1092" t="s">
        <v>18</v>
      </c>
      <c r="K1092">
        <v>23</v>
      </c>
      <c r="L1092" t="str">
        <f>IF(Table1[[#This Row],[Age]]&lt;30,"20-29",
IF(Table1[[#This Row],[Age]]&lt;40,"30-39",
IF(Table1[[#This Row],[Age]]&lt;50,"40-49",
IF(Table1[[#This Row],[Age]]&lt;60,"50-59","60+"))))</f>
        <v>20-29</v>
      </c>
      <c r="M1092" t="s">
        <v>20</v>
      </c>
      <c r="N1092" t="s">
        <v>37</v>
      </c>
    </row>
    <row r="1093" spans="1:14" x14ac:dyDescent="0.35">
      <c r="A1093">
        <v>1192</v>
      </c>
      <c r="B1093" t="s">
        <v>34</v>
      </c>
      <c r="C1093" s="6">
        <v>45632</v>
      </c>
      <c r="D1093">
        <f>YEAR(Table1[[#This Row],[Join Date]])</f>
        <v>2024</v>
      </c>
      <c r="E1093" s="6" t="s">
        <v>48</v>
      </c>
      <c r="F1093" t="str">
        <f>IFERROR(YEAR(Table1[[#This Row],[Exit Date]]), " ")</f>
        <v xml:space="preserve"> </v>
      </c>
      <c r="G1093" t="str">
        <f>IFERROR((Table1[[#This Row],[Exit Year]]-Table1[[#This Row],[Join Year]])+1," ")</f>
        <v xml:space="preserve"> </v>
      </c>
      <c r="H1093" t="s">
        <v>48</v>
      </c>
      <c r="I1093" t="s">
        <v>11</v>
      </c>
      <c r="J1093" t="s">
        <v>12</v>
      </c>
      <c r="K1093">
        <v>31</v>
      </c>
      <c r="L1093" t="str">
        <f>IF(Table1[[#This Row],[Age]]&lt;30,"20-29",
IF(Table1[[#This Row],[Age]]&lt;40,"30-39",
IF(Table1[[#This Row],[Age]]&lt;50,"40-49",
IF(Table1[[#This Row],[Age]]&lt;60,"50-59","60+"))))</f>
        <v>30-39</v>
      </c>
      <c r="M1093" t="s">
        <v>44</v>
      </c>
      <c r="N1093" t="s">
        <v>19</v>
      </c>
    </row>
    <row r="1094" spans="1:14" x14ac:dyDescent="0.35">
      <c r="A1094">
        <v>1193</v>
      </c>
      <c r="B1094" t="s">
        <v>36</v>
      </c>
      <c r="C1094" s="6">
        <v>45294</v>
      </c>
      <c r="D1094">
        <f>YEAR(Table1[[#This Row],[Join Date]])</f>
        <v>2024</v>
      </c>
      <c r="E1094" s="6" t="s">
        <v>48</v>
      </c>
      <c r="F1094" t="str">
        <f>IFERROR(YEAR(Table1[[#This Row],[Exit Date]]), " ")</f>
        <v xml:space="preserve"> </v>
      </c>
      <c r="G1094" t="str">
        <f>IFERROR((Table1[[#This Row],[Exit Year]]-Table1[[#This Row],[Join Year]])+1," ")</f>
        <v xml:space="preserve"> </v>
      </c>
      <c r="H1094" t="s">
        <v>48</v>
      </c>
      <c r="I1094" t="s">
        <v>11</v>
      </c>
      <c r="J1094" t="s">
        <v>18</v>
      </c>
      <c r="K1094">
        <v>52</v>
      </c>
      <c r="L1094" t="str">
        <f>IF(Table1[[#This Row],[Age]]&lt;30,"20-29",
IF(Table1[[#This Row],[Age]]&lt;40,"30-39",
IF(Table1[[#This Row],[Age]]&lt;50,"40-49",
IF(Table1[[#This Row],[Age]]&lt;60,"50-59","60+"))))</f>
        <v>50-59</v>
      </c>
      <c r="M1094" t="s">
        <v>13</v>
      </c>
      <c r="N1094" t="s">
        <v>25</v>
      </c>
    </row>
    <row r="1095" spans="1:14" x14ac:dyDescent="0.35">
      <c r="A1095">
        <v>1194</v>
      </c>
      <c r="B1095" t="s">
        <v>26</v>
      </c>
      <c r="C1095" s="6">
        <v>44590</v>
      </c>
      <c r="D1095">
        <f>YEAR(Table1[[#This Row],[Join Date]])</f>
        <v>2022</v>
      </c>
      <c r="E1095" s="6" t="s">
        <v>48</v>
      </c>
      <c r="F1095" t="str">
        <f>IFERROR(YEAR(Table1[[#This Row],[Exit Date]]), " ")</f>
        <v xml:space="preserve"> </v>
      </c>
      <c r="G1095" t="str">
        <f>IFERROR((Table1[[#This Row],[Exit Year]]-Table1[[#This Row],[Join Year]])+1," ")</f>
        <v xml:space="preserve"> </v>
      </c>
      <c r="H1095" t="s">
        <v>48</v>
      </c>
      <c r="I1095" t="s">
        <v>11</v>
      </c>
      <c r="J1095" t="s">
        <v>18</v>
      </c>
      <c r="K1095">
        <v>25</v>
      </c>
      <c r="L1095" t="str">
        <f>IF(Table1[[#This Row],[Age]]&lt;30,"20-29",
IF(Table1[[#This Row],[Age]]&lt;40,"30-39",
IF(Table1[[#This Row],[Age]]&lt;50,"40-49",
IF(Table1[[#This Row],[Age]]&lt;60,"50-59","60+"))))</f>
        <v>20-29</v>
      </c>
      <c r="M1095" t="s">
        <v>16</v>
      </c>
      <c r="N1095" t="s">
        <v>35</v>
      </c>
    </row>
    <row r="1096" spans="1:14" x14ac:dyDescent="0.35">
      <c r="A1096">
        <v>1195</v>
      </c>
      <c r="B1096" t="s">
        <v>15</v>
      </c>
      <c r="C1096" s="6">
        <v>45215</v>
      </c>
      <c r="D1096">
        <f>YEAR(Table1[[#This Row],[Join Date]])</f>
        <v>2023</v>
      </c>
      <c r="E1096" s="6" t="s">
        <v>48</v>
      </c>
      <c r="F1096" t="str">
        <f>IFERROR(YEAR(Table1[[#This Row],[Exit Date]]), " ")</f>
        <v xml:space="preserve"> </v>
      </c>
      <c r="G1096" t="str">
        <f>IFERROR((Table1[[#This Row],[Exit Year]]-Table1[[#This Row],[Join Year]])+1," ")</f>
        <v xml:space="preserve"> </v>
      </c>
      <c r="H1096" t="s">
        <v>48</v>
      </c>
      <c r="I1096" t="s">
        <v>11</v>
      </c>
      <c r="J1096" t="s">
        <v>12</v>
      </c>
      <c r="K1096">
        <v>46</v>
      </c>
      <c r="L1096" t="str">
        <f>IF(Table1[[#This Row],[Age]]&lt;30,"20-29",
IF(Table1[[#This Row],[Age]]&lt;40,"30-39",
IF(Table1[[#This Row],[Age]]&lt;50,"40-49",
IF(Table1[[#This Row],[Age]]&lt;60,"50-59","60+"))))</f>
        <v>40-49</v>
      </c>
      <c r="M1096" t="s">
        <v>16</v>
      </c>
      <c r="N1096" t="s">
        <v>17</v>
      </c>
    </row>
    <row r="1097" spans="1:14" x14ac:dyDescent="0.35">
      <c r="A1097">
        <v>1196</v>
      </c>
      <c r="B1097" t="s">
        <v>15</v>
      </c>
      <c r="C1097" s="6">
        <v>43624</v>
      </c>
      <c r="D1097">
        <f>YEAR(Table1[[#This Row],[Join Date]])</f>
        <v>2019</v>
      </c>
      <c r="E1097" s="6">
        <v>44228</v>
      </c>
      <c r="F1097">
        <f>IFERROR(YEAR(Table1[[#This Row],[Exit Date]]), " ")</f>
        <v>2021</v>
      </c>
      <c r="G1097">
        <f>IFERROR((Table1[[#This Row],[Exit Year]]-Table1[[#This Row],[Join Year]])+1," ")</f>
        <v>3</v>
      </c>
      <c r="H1097" t="s">
        <v>41</v>
      </c>
      <c r="I1097" t="s">
        <v>23</v>
      </c>
      <c r="J1097" t="s">
        <v>12</v>
      </c>
      <c r="K1097">
        <v>24</v>
      </c>
      <c r="L1097" t="str">
        <f>IF(Table1[[#This Row],[Age]]&lt;30,"20-29",
IF(Table1[[#This Row],[Age]]&lt;40,"30-39",
IF(Table1[[#This Row],[Age]]&lt;50,"40-49",
IF(Table1[[#This Row],[Age]]&lt;60,"50-59","60+"))))</f>
        <v>20-29</v>
      </c>
      <c r="M1097" t="s">
        <v>20</v>
      </c>
      <c r="N1097" t="s">
        <v>19</v>
      </c>
    </row>
    <row r="1098" spans="1:14" x14ac:dyDescent="0.35">
      <c r="A1098">
        <v>1197</v>
      </c>
      <c r="B1098" t="s">
        <v>15</v>
      </c>
      <c r="C1098" s="6">
        <v>44514</v>
      </c>
      <c r="D1098">
        <f>YEAR(Table1[[#This Row],[Join Date]])</f>
        <v>2021</v>
      </c>
      <c r="E1098" s="6">
        <v>45529</v>
      </c>
      <c r="F1098">
        <f>IFERROR(YEAR(Table1[[#This Row],[Exit Date]]), " ")</f>
        <v>2024</v>
      </c>
      <c r="G1098">
        <f>IFERROR((Table1[[#This Row],[Exit Year]]-Table1[[#This Row],[Join Year]])+1," ")</f>
        <v>4</v>
      </c>
      <c r="H1098" t="s">
        <v>46</v>
      </c>
      <c r="I1098" t="s">
        <v>23</v>
      </c>
      <c r="J1098" t="s">
        <v>12</v>
      </c>
      <c r="K1098">
        <v>38</v>
      </c>
      <c r="L1098" t="str">
        <f>IF(Table1[[#This Row],[Age]]&lt;30,"20-29",
IF(Table1[[#This Row],[Age]]&lt;40,"30-39",
IF(Table1[[#This Row],[Age]]&lt;50,"40-49",
IF(Table1[[#This Row],[Age]]&lt;60,"50-59","60+"))))</f>
        <v>30-39</v>
      </c>
      <c r="M1098" t="s">
        <v>24</v>
      </c>
      <c r="N1098" t="s">
        <v>21</v>
      </c>
    </row>
    <row r="1099" spans="1:14" x14ac:dyDescent="0.35">
      <c r="A1099">
        <v>1198</v>
      </c>
      <c r="B1099" t="s">
        <v>29</v>
      </c>
      <c r="C1099" s="6">
        <v>43700</v>
      </c>
      <c r="D1099">
        <f>YEAR(Table1[[#This Row],[Join Date]])</f>
        <v>2019</v>
      </c>
      <c r="E1099" s="6" t="s">
        <v>48</v>
      </c>
      <c r="F1099" t="str">
        <f>IFERROR(YEAR(Table1[[#This Row],[Exit Date]]), " ")</f>
        <v xml:space="preserve"> </v>
      </c>
      <c r="G1099" t="str">
        <f>IFERROR((Table1[[#This Row],[Exit Year]]-Table1[[#This Row],[Join Year]])+1," ")</f>
        <v xml:space="preserve"> </v>
      </c>
      <c r="H1099" t="s">
        <v>48</v>
      </c>
      <c r="I1099" t="s">
        <v>11</v>
      </c>
      <c r="J1099" t="s">
        <v>18</v>
      </c>
      <c r="K1099">
        <v>49</v>
      </c>
      <c r="L1099" t="str">
        <f>IF(Table1[[#This Row],[Age]]&lt;30,"20-29",
IF(Table1[[#This Row],[Age]]&lt;40,"30-39",
IF(Table1[[#This Row],[Age]]&lt;50,"40-49",
IF(Table1[[#This Row],[Age]]&lt;60,"50-59","60+"))))</f>
        <v>40-49</v>
      </c>
      <c r="M1099" t="s">
        <v>13</v>
      </c>
      <c r="N1099" t="s">
        <v>25</v>
      </c>
    </row>
    <row r="1100" spans="1:14" x14ac:dyDescent="0.35">
      <c r="A1100">
        <v>1199</v>
      </c>
      <c r="B1100" t="s">
        <v>34</v>
      </c>
      <c r="C1100" s="6">
        <v>45540</v>
      </c>
      <c r="D1100">
        <f>YEAR(Table1[[#This Row],[Join Date]])</f>
        <v>2024</v>
      </c>
      <c r="E1100" s="6" t="s">
        <v>48</v>
      </c>
      <c r="F1100" t="str">
        <f>IFERROR(YEAR(Table1[[#This Row],[Exit Date]]), " ")</f>
        <v xml:space="preserve"> </v>
      </c>
      <c r="G1100" t="str">
        <f>IFERROR((Table1[[#This Row],[Exit Year]]-Table1[[#This Row],[Join Year]])+1," ")</f>
        <v xml:space="preserve"> </v>
      </c>
      <c r="H1100" t="s">
        <v>48</v>
      </c>
      <c r="I1100" t="s">
        <v>11</v>
      </c>
      <c r="J1100" t="s">
        <v>18</v>
      </c>
      <c r="K1100">
        <v>31</v>
      </c>
      <c r="L1100" t="str">
        <f>IF(Table1[[#This Row],[Age]]&lt;30,"20-29",
IF(Table1[[#This Row],[Age]]&lt;40,"30-39",
IF(Table1[[#This Row],[Age]]&lt;50,"40-49",
IF(Table1[[#This Row],[Age]]&lt;60,"50-59","60+"))))</f>
        <v>30-39</v>
      </c>
      <c r="M1100" t="s">
        <v>30</v>
      </c>
      <c r="N1100" t="s">
        <v>35</v>
      </c>
    </row>
    <row r="1101" spans="1:14" x14ac:dyDescent="0.35">
      <c r="A1101">
        <v>1200</v>
      </c>
      <c r="B1101" t="s">
        <v>10</v>
      </c>
      <c r="C1101" s="6">
        <v>43297</v>
      </c>
      <c r="D1101">
        <f>YEAR(Table1[[#This Row],[Join Date]])</f>
        <v>2018</v>
      </c>
      <c r="E1101" s="6">
        <v>44682</v>
      </c>
      <c r="F1101">
        <f>IFERROR(YEAR(Table1[[#This Row],[Exit Date]]), " ")</f>
        <v>2022</v>
      </c>
      <c r="G1101">
        <f>IFERROR((Table1[[#This Row],[Exit Year]]-Table1[[#This Row],[Join Year]])+1," ")</f>
        <v>5</v>
      </c>
      <c r="H1101" t="s">
        <v>40</v>
      </c>
      <c r="I1101" t="s">
        <v>23</v>
      </c>
      <c r="J1101" t="s">
        <v>12</v>
      </c>
      <c r="K1101">
        <v>51</v>
      </c>
      <c r="L1101" t="str">
        <f>IF(Table1[[#This Row],[Age]]&lt;30,"20-29",
IF(Table1[[#This Row],[Age]]&lt;40,"30-39",
IF(Table1[[#This Row],[Age]]&lt;50,"40-49",
IF(Table1[[#This Row],[Age]]&lt;60,"50-59","60+"))))</f>
        <v>50-59</v>
      </c>
      <c r="M1101" t="s">
        <v>13</v>
      </c>
      <c r="N1101" t="s">
        <v>14</v>
      </c>
    </row>
    <row r="1102" spans="1:14" x14ac:dyDescent="0.35">
      <c r="A1102">
        <v>1201</v>
      </c>
      <c r="B1102" t="s">
        <v>10</v>
      </c>
      <c r="C1102" s="6">
        <v>43407</v>
      </c>
      <c r="D1102">
        <f>YEAR(Table1[[#This Row],[Join Date]])</f>
        <v>2018</v>
      </c>
      <c r="E1102" s="6" t="s">
        <v>48</v>
      </c>
      <c r="F1102" t="str">
        <f>IFERROR(YEAR(Table1[[#This Row],[Exit Date]]), " ")</f>
        <v xml:space="preserve"> </v>
      </c>
      <c r="G1102" t="str">
        <f>IFERROR((Table1[[#This Row],[Exit Year]]-Table1[[#This Row],[Join Year]])+1," ")</f>
        <v xml:space="preserve"> </v>
      </c>
      <c r="H1102" t="s">
        <v>48</v>
      </c>
      <c r="I1102" t="s">
        <v>11</v>
      </c>
      <c r="J1102" t="s">
        <v>18</v>
      </c>
      <c r="K1102">
        <v>27</v>
      </c>
      <c r="L1102" t="str">
        <f>IF(Table1[[#This Row],[Age]]&lt;30,"20-29",
IF(Table1[[#This Row],[Age]]&lt;40,"30-39",
IF(Table1[[#This Row],[Age]]&lt;50,"40-49",
IF(Table1[[#This Row],[Age]]&lt;60,"50-59","60+"))))</f>
        <v>20-29</v>
      </c>
      <c r="M1102" t="s">
        <v>13</v>
      </c>
      <c r="N1102" t="s">
        <v>19</v>
      </c>
    </row>
    <row r="1103" spans="1:14" x14ac:dyDescent="0.35">
      <c r="A1103">
        <v>1202</v>
      </c>
      <c r="B1103" t="s">
        <v>15</v>
      </c>
      <c r="C1103" s="6">
        <v>44121</v>
      </c>
      <c r="D1103">
        <f>YEAR(Table1[[#This Row],[Join Date]])</f>
        <v>2020</v>
      </c>
      <c r="E1103" s="6" t="s">
        <v>48</v>
      </c>
      <c r="F1103" t="str">
        <f>IFERROR(YEAR(Table1[[#This Row],[Exit Date]]), " ")</f>
        <v xml:space="preserve"> </v>
      </c>
      <c r="G1103" t="str">
        <f>IFERROR((Table1[[#This Row],[Exit Year]]-Table1[[#This Row],[Join Year]])+1," ")</f>
        <v xml:space="preserve"> </v>
      </c>
      <c r="H1103" t="s">
        <v>48</v>
      </c>
      <c r="I1103" t="s">
        <v>11</v>
      </c>
      <c r="J1103" t="s">
        <v>12</v>
      </c>
      <c r="K1103">
        <v>22</v>
      </c>
      <c r="L1103" t="str">
        <f>IF(Table1[[#This Row],[Age]]&lt;30,"20-29",
IF(Table1[[#This Row],[Age]]&lt;40,"30-39",
IF(Table1[[#This Row],[Age]]&lt;50,"40-49",
IF(Table1[[#This Row],[Age]]&lt;60,"50-59","60+"))))</f>
        <v>20-29</v>
      </c>
      <c r="M1103" t="s">
        <v>16</v>
      </c>
      <c r="N1103" t="s">
        <v>21</v>
      </c>
    </row>
    <row r="1104" spans="1:14" x14ac:dyDescent="0.35">
      <c r="A1104">
        <v>1203</v>
      </c>
      <c r="B1104" t="s">
        <v>15</v>
      </c>
      <c r="C1104" s="6">
        <v>44423</v>
      </c>
      <c r="D1104">
        <f>YEAR(Table1[[#This Row],[Join Date]])</f>
        <v>2021</v>
      </c>
      <c r="E1104" s="6" t="s">
        <v>48</v>
      </c>
      <c r="F1104" t="str">
        <f>IFERROR(YEAR(Table1[[#This Row],[Exit Date]]), " ")</f>
        <v xml:space="preserve"> </v>
      </c>
      <c r="G1104" t="str">
        <f>IFERROR((Table1[[#This Row],[Exit Year]]-Table1[[#This Row],[Join Year]])+1," ")</f>
        <v xml:space="preserve"> </v>
      </c>
      <c r="H1104" t="s">
        <v>48</v>
      </c>
      <c r="I1104" t="s">
        <v>11</v>
      </c>
      <c r="J1104" t="s">
        <v>12</v>
      </c>
      <c r="K1104">
        <v>50</v>
      </c>
      <c r="L1104" t="str">
        <f>IF(Table1[[#This Row],[Age]]&lt;30,"20-29",
IF(Table1[[#This Row],[Age]]&lt;40,"30-39",
IF(Table1[[#This Row],[Age]]&lt;50,"40-49",
IF(Table1[[#This Row],[Age]]&lt;60,"50-59","60+"))))</f>
        <v>50-59</v>
      </c>
      <c r="M1104" t="s">
        <v>13</v>
      </c>
      <c r="N1104" t="s">
        <v>37</v>
      </c>
    </row>
    <row r="1105" spans="1:14" x14ac:dyDescent="0.35">
      <c r="A1105">
        <v>1204</v>
      </c>
      <c r="B1105" t="s">
        <v>15</v>
      </c>
      <c r="C1105" s="6">
        <v>45087</v>
      </c>
      <c r="D1105">
        <f>YEAR(Table1[[#This Row],[Join Date]])</f>
        <v>2023</v>
      </c>
      <c r="E1105" s="6" t="s">
        <v>48</v>
      </c>
      <c r="F1105" t="str">
        <f>IFERROR(YEAR(Table1[[#This Row],[Exit Date]]), " ")</f>
        <v xml:space="preserve"> </v>
      </c>
      <c r="G1105" t="str">
        <f>IFERROR((Table1[[#This Row],[Exit Year]]-Table1[[#This Row],[Join Year]])+1," ")</f>
        <v xml:space="preserve"> </v>
      </c>
      <c r="H1105" t="s">
        <v>48</v>
      </c>
      <c r="I1105" t="s">
        <v>11</v>
      </c>
      <c r="J1105" t="s">
        <v>12</v>
      </c>
      <c r="K1105">
        <v>24</v>
      </c>
      <c r="L1105" t="str">
        <f>IF(Table1[[#This Row],[Age]]&lt;30,"20-29",
IF(Table1[[#This Row],[Age]]&lt;40,"30-39",
IF(Table1[[#This Row],[Age]]&lt;50,"40-49",
IF(Table1[[#This Row],[Age]]&lt;60,"50-59","60+"))))</f>
        <v>20-29</v>
      </c>
      <c r="M1105" t="s">
        <v>20</v>
      </c>
      <c r="N1105" t="s">
        <v>25</v>
      </c>
    </row>
    <row r="1106" spans="1:14" x14ac:dyDescent="0.35">
      <c r="A1106">
        <v>1205</v>
      </c>
      <c r="B1106" t="s">
        <v>15</v>
      </c>
      <c r="C1106" s="6">
        <v>43479</v>
      </c>
      <c r="D1106">
        <f>YEAR(Table1[[#This Row],[Join Date]])</f>
        <v>2019</v>
      </c>
      <c r="E1106" s="6">
        <v>44449</v>
      </c>
      <c r="F1106">
        <f>IFERROR(YEAR(Table1[[#This Row],[Exit Date]]), " ")</f>
        <v>2021</v>
      </c>
      <c r="G1106">
        <f>IFERROR((Table1[[#This Row],[Exit Year]]-Table1[[#This Row],[Join Year]])+1," ")</f>
        <v>3</v>
      </c>
      <c r="H1106" t="s">
        <v>22</v>
      </c>
      <c r="I1106" t="s">
        <v>23</v>
      </c>
      <c r="J1106" t="s">
        <v>18</v>
      </c>
      <c r="K1106">
        <v>50</v>
      </c>
      <c r="L1106" t="str">
        <f>IF(Table1[[#This Row],[Age]]&lt;30,"20-29",
IF(Table1[[#This Row],[Age]]&lt;40,"30-39",
IF(Table1[[#This Row],[Age]]&lt;50,"40-49",
IF(Table1[[#This Row],[Age]]&lt;60,"50-59","60+"))))</f>
        <v>50-59</v>
      </c>
      <c r="M1106" t="s">
        <v>39</v>
      </c>
      <c r="N1106" t="s">
        <v>35</v>
      </c>
    </row>
    <row r="1107" spans="1:14" x14ac:dyDescent="0.35">
      <c r="A1107">
        <v>1206</v>
      </c>
      <c r="B1107" t="s">
        <v>26</v>
      </c>
      <c r="C1107" s="6">
        <v>44749</v>
      </c>
      <c r="D1107">
        <f>YEAR(Table1[[#This Row],[Join Date]])</f>
        <v>2022</v>
      </c>
      <c r="E1107" s="6">
        <v>44972</v>
      </c>
      <c r="F1107">
        <f>IFERROR(YEAR(Table1[[#This Row],[Exit Date]]), " ")</f>
        <v>2023</v>
      </c>
      <c r="G1107">
        <f>IFERROR((Table1[[#This Row],[Exit Year]]-Table1[[#This Row],[Join Year]])+1," ")</f>
        <v>2</v>
      </c>
      <c r="H1107" t="s">
        <v>46</v>
      </c>
      <c r="I1107" t="s">
        <v>23</v>
      </c>
      <c r="J1107" t="s">
        <v>12</v>
      </c>
      <c r="K1107">
        <v>28</v>
      </c>
      <c r="L1107" t="str">
        <f>IF(Table1[[#This Row],[Age]]&lt;30,"20-29",
IF(Table1[[#This Row],[Age]]&lt;40,"30-39",
IF(Table1[[#This Row],[Age]]&lt;50,"40-49",
IF(Table1[[#This Row],[Age]]&lt;60,"50-59","60+"))))</f>
        <v>20-29</v>
      </c>
      <c r="M1107" t="s">
        <v>13</v>
      </c>
      <c r="N1107" t="s">
        <v>14</v>
      </c>
    </row>
    <row r="1108" spans="1:14" x14ac:dyDescent="0.35">
      <c r="A1108">
        <v>1207</v>
      </c>
      <c r="B1108" t="s">
        <v>29</v>
      </c>
      <c r="C1108" s="6">
        <v>45457</v>
      </c>
      <c r="D1108">
        <f>YEAR(Table1[[#This Row],[Join Date]])</f>
        <v>2024</v>
      </c>
      <c r="E1108" s="6" t="s">
        <v>48</v>
      </c>
      <c r="F1108" t="str">
        <f>IFERROR(YEAR(Table1[[#This Row],[Exit Date]]), " ")</f>
        <v xml:space="preserve"> </v>
      </c>
      <c r="G1108" t="str">
        <f>IFERROR((Table1[[#This Row],[Exit Year]]-Table1[[#This Row],[Join Year]])+1," ")</f>
        <v xml:space="preserve"> </v>
      </c>
      <c r="H1108" t="s">
        <v>48</v>
      </c>
      <c r="I1108" t="s">
        <v>11</v>
      </c>
      <c r="J1108" t="s">
        <v>18</v>
      </c>
      <c r="K1108">
        <v>40</v>
      </c>
      <c r="L1108" t="str">
        <f>IF(Table1[[#This Row],[Age]]&lt;30,"20-29",
IF(Table1[[#This Row],[Age]]&lt;40,"30-39",
IF(Table1[[#This Row],[Age]]&lt;50,"40-49",
IF(Table1[[#This Row],[Age]]&lt;60,"50-59","60+"))))</f>
        <v>40-49</v>
      </c>
      <c r="M1108" t="s">
        <v>16</v>
      </c>
      <c r="N1108" t="s">
        <v>17</v>
      </c>
    </row>
    <row r="1109" spans="1:14" x14ac:dyDescent="0.35">
      <c r="A1109">
        <v>1208</v>
      </c>
      <c r="B1109" t="s">
        <v>10</v>
      </c>
      <c r="C1109" s="6">
        <v>43304</v>
      </c>
      <c r="D1109">
        <f>YEAR(Table1[[#This Row],[Join Date]])</f>
        <v>2018</v>
      </c>
      <c r="E1109" s="6" t="s">
        <v>48</v>
      </c>
      <c r="F1109" t="str">
        <f>IFERROR(YEAR(Table1[[#This Row],[Exit Date]]), " ")</f>
        <v xml:space="preserve"> </v>
      </c>
      <c r="G1109" t="str">
        <f>IFERROR((Table1[[#This Row],[Exit Year]]-Table1[[#This Row],[Join Year]])+1," ")</f>
        <v xml:space="preserve"> </v>
      </c>
      <c r="H1109" t="s">
        <v>48</v>
      </c>
      <c r="I1109" t="s">
        <v>11</v>
      </c>
      <c r="J1109" t="s">
        <v>12</v>
      </c>
      <c r="K1109">
        <v>32</v>
      </c>
      <c r="L1109" t="str">
        <f>IF(Table1[[#This Row],[Age]]&lt;30,"20-29",
IF(Table1[[#This Row],[Age]]&lt;40,"30-39",
IF(Table1[[#This Row],[Age]]&lt;50,"40-49",
IF(Table1[[#This Row],[Age]]&lt;60,"50-59","60+"))))</f>
        <v>30-39</v>
      </c>
      <c r="M1109" t="s">
        <v>16</v>
      </c>
      <c r="N1109" t="s">
        <v>19</v>
      </c>
    </row>
    <row r="1110" spans="1:14" x14ac:dyDescent="0.35">
      <c r="A1110">
        <v>1209</v>
      </c>
      <c r="B1110" t="s">
        <v>15</v>
      </c>
      <c r="C1110" s="6">
        <v>44987</v>
      </c>
      <c r="D1110">
        <f>YEAR(Table1[[#This Row],[Join Date]])</f>
        <v>2023</v>
      </c>
      <c r="E1110" s="6" t="s">
        <v>48</v>
      </c>
      <c r="F1110" t="str">
        <f>IFERROR(YEAR(Table1[[#This Row],[Exit Date]]), " ")</f>
        <v xml:space="preserve"> </v>
      </c>
      <c r="G1110" t="str">
        <f>IFERROR((Table1[[#This Row],[Exit Year]]-Table1[[#This Row],[Join Year]])+1," ")</f>
        <v xml:space="preserve"> </v>
      </c>
      <c r="H1110" t="s">
        <v>48</v>
      </c>
      <c r="I1110" t="s">
        <v>11</v>
      </c>
      <c r="J1110" t="s">
        <v>18</v>
      </c>
      <c r="K1110">
        <v>50</v>
      </c>
      <c r="L1110" t="str">
        <f>IF(Table1[[#This Row],[Age]]&lt;30,"20-29",
IF(Table1[[#This Row],[Age]]&lt;40,"30-39",
IF(Table1[[#This Row],[Age]]&lt;50,"40-49",
IF(Table1[[#This Row],[Age]]&lt;60,"50-59","60+"))))</f>
        <v>50-59</v>
      </c>
      <c r="M1110" t="s">
        <v>20</v>
      </c>
      <c r="N1110" t="s">
        <v>21</v>
      </c>
    </row>
    <row r="1111" spans="1:14" x14ac:dyDescent="0.35">
      <c r="A1111">
        <v>1210</v>
      </c>
      <c r="B1111" t="s">
        <v>34</v>
      </c>
      <c r="C1111" s="6">
        <v>45326</v>
      </c>
      <c r="D1111">
        <f>YEAR(Table1[[#This Row],[Join Date]])</f>
        <v>2024</v>
      </c>
      <c r="E1111" s="6" t="s">
        <v>48</v>
      </c>
      <c r="F1111" t="str">
        <f>IFERROR(YEAR(Table1[[#This Row],[Exit Date]]), " ")</f>
        <v xml:space="preserve"> </v>
      </c>
      <c r="G1111" t="str">
        <f>IFERROR((Table1[[#This Row],[Exit Year]]-Table1[[#This Row],[Join Year]])+1," ")</f>
        <v xml:space="preserve"> </v>
      </c>
      <c r="H1111" t="s">
        <v>48</v>
      </c>
      <c r="I1111" t="s">
        <v>11</v>
      </c>
      <c r="J1111" t="s">
        <v>18</v>
      </c>
      <c r="K1111">
        <v>24</v>
      </c>
      <c r="L1111" t="str">
        <f>IF(Table1[[#This Row],[Age]]&lt;30,"20-29",
IF(Table1[[#This Row],[Age]]&lt;40,"30-39",
IF(Table1[[#This Row],[Age]]&lt;50,"40-49",
IF(Table1[[#This Row],[Age]]&lt;60,"50-59","60+"))))</f>
        <v>20-29</v>
      </c>
      <c r="M1111" t="s">
        <v>24</v>
      </c>
      <c r="N1111" t="s">
        <v>25</v>
      </c>
    </row>
    <row r="1112" spans="1:14" x14ac:dyDescent="0.35">
      <c r="A1112">
        <v>1211</v>
      </c>
      <c r="B1112" t="s">
        <v>36</v>
      </c>
      <c r="C1112" s="6">
        <v>45474</v>
      </c>
      <c r="D1112">
        <f>YEAR(Table1[[#This Row],[Join Date]])</f>
        <v>2024</v>
      </c>
      <c r="E1112" s="6" t="s">
        <v>48</v>
      </c>
      <c r="F1112" t="str">
        <f>IFERROR(YEAR(Table1[[#This Row],[Exit Date]]), " ")</f>
        <v xml:space="preserve"> </v>
      </c>
      <c r="G1112" t="str">
        <f>IFERROR((Table1[[#This Row],[Exit Year]]-Table1[[#This Row],[Join Year]])+1," ")</f>
        <v xml:space="preserve"> </v>
      </c>
      <c r="H1112" t="s">
        <v>48</v>
      </c>
      <c r="I1112" t="s">
        <v>11</v>
      </c>
      <c r="J1112" t="s">
        <v>12</v>
      </c>
      <c r="K1112">
        <v>36</v>
      </c>
      <c r="L1112" t="str">
        <f>IF(Table1[[#This Row],[Age]]&lt;30,"20-29",
IF(Table1[[#This Row],[Age]]&lt;40,"30-39",
IF(Table1[[#This Row],[Age]]&lt;50,"40-49",
IF(Table1[[#This Row],[Age]]&lt;60,"50-59","60+"))))</f>
        <v>30-39</v>
      </c>
      <c r="M1112" t="s">
        <v>13</v>
      </c>
      <c r="N1112" t="s">
        <v>28</v>
      </c>
    </row>
    <row r="1113" spans="1:14" x14ac:dyDescent="0.35">
      <c r="A1113">
        <v>1212</v>
      </c>
      <c r="B1113" t="s">
        <v>29</v>
      </c>
      <c r="C1113" s="6">
        <v>44227</v>
      </c>
      <c r="D1113">
        <f>YEAR(Table1[[#This Row],[Join Date]])</f>
        <v>2021</v>
      </c>
      <c r="E1113" s="6">
        <v>45322</v>
      </c>
      <c r="F1113">
        <f>IFERROR(YEAR(Table1[[#This Row],[Exit Date]]), " ")</f>
        <v>2024</v>
      </c>
      <c r="G1113">
        <f>IFERROR((Table1[[#This Row],[Exit Year]]-Table1[[#This Row],[Join Year]])+1," ")</f>
        <v>4</v>
      </c>
      <c r="H1113" t="s">
        <v>46</v>
      </c>
      <c r="I1113" t="s">
        <v>23</v>
      </c>
      <c r="J1113" t="s">
        <v>18</v>
      </c>
      <c r="K1113">
        <v>49</v>
      </c>
      <c r="L1113" t="str">
        <f>IF(Table1[[#This Row],[Age]]&lt;30,"20-29",
IF(Table1[[#This Row],[Age]]&lt;40,"30-39",
IF(Table1[[#This Row],[Age]]&lt;50,"40-49",
IF(Table1[[#This Row],[Age]]&lt;60,"50-59","60+"))))</f>
        <v>40-49</v>
      </c>
      <c r="M1113" t="s">
        <v>42</v>
      </c>
      <c r="N1113" t="s">
        <v>31</v>
      </c>
    </row>
    <row r="1114" spans="1:14" x14ac:dyDescent="0.35">
      <c r="A1114">
        <v>1213</v>
      </c>
      <c r="B1114" t="s">
        <v>10</v>
      </c>
      <c r="C1114" s="6">
        <v>43446</v>
      </c>
      <c r="D1114">
        <f>YEAR(Table1[[#This Row],[Join Date]])</f>
        <v>2018</v>
      </c>
      <c r="E1114" s="6">
        <v>43936</v>
      </c>
      <c r="F1114">
        <f>IFERROR(YEAR(Table1[[#This Row],[Exit Date]]), " ")</f>
        <v>2020</v>
      </c>
      <c r="G1114">
        <f>IFERROR((Table1[[#This Row],[Exit Year]]-Table1[[#This Row],[Join Year]])+1," ")</f>
        <v>3</v>
      </c>
      <c r="H1114" t="s">
        <v>46</v>
      </c>
      <c r="I1114" t="s">
        <v>23</v>
      </c>
      <c r="J1114" t="s">
        <v>18</v>
      </c>
      <c r="K1114">
        <v>43</v>
      </c>
      <c r="L1114" t="str">
        <f>IF(Table1[[#This Row],[Age]]&lt;30,"20-29",
IF(Table1[[#This Row],[Age]]&lt;40,"30-39",
IF(Table1[[#This Row],[Age]]&lt;50,"40-49",
IF(Table1[[#This Row],[Age]]&lt;60,"50-59","60+"))))</f>
        <v>40-49</v>
      </c>
      <c r="M1114" t="s">
        <v>13</v>
      </c>
      <c r="N1114" t="s">
        <v>32</v>
      </c>
    </row>
    <row r="1115" spans="1:14" x14ac:dyDescent="0.35">
      <c r="A1115">
        <v>1214</v>
      </c>
      <c r="B1115" t="s">
        <v>15</v>
      </c>
      <c r="C1115" s="6">
        <v>45314</v>
      </c>
      <c r="D1115">
        <f>YEAR(Table1[[#This Row],[Join Date]])</f>
        <v>2024</v>
      </c>
      <c r="E1115" s="6" t="s">
        <v>48</v>
      </c>
      <c r="F1115" t="str">
        <f>IFERROR(YEAR(Table1[[#This Row],[Exit Date]]), " ")</f>
        <v xml:space="preserve"> </v>
      </c>
      <c r="G1115" t="str">
        <f>IFERROR((Table1[[#This Row],[Exit Year]]-Table1[[#This Row],[Join Year]])+1," ")</f>
        <v xml:space="preserve"> </v>
      </c>
      <c r="H1115" t="s">
        <v>48</v>
      </c>
      <c r="I1115" t="s">
        <v>11</v>
      </c>
      <c r="J1115" t="s">
        <v>12</v>
      </c>
      <c r="K1115">
        <v>40</v>
      </c>
      <c r="L1115" t="str">
        <f>IF(Table1[[#This Row],[Age]]&lt;30,"20-29",
IF(Table1[[#This Row],[Age]]&lt;40,"30-39",
IF(Table1[[#This Row],[Age]]&lt;50,"40-49",
IF(Table1[[#This Row],[Age]]&lt;60,"50-59","60+"))))</f>
        <v>40-49</v>
      </c>
      <c r="M1115" t="s">
        <v>13</v>
      </c>
      <c r="N1115" t="s">
        <v>33</v>
      </c>
    </row>
    <row r="1116" spans="1:14" x14ac:dyDescent="0.35">
      <c r="A1116">
        <v>1215</v>
      </c>
      <c r="B1116" t="s">
        <v>15</v>
      </c>
      <c r="C1116" s="6">
        <v>43123</v>
      </c>
      <c r="D1116">
        <f>YEAR(Table1[[#This Row],[Join Date]])</f>
        <v>2018</v>
      </c>
      <c r="E1116" s="6" t="s">
        <v>48</v>
      </c>
      <c r="F1116" t="str">
        <f>IFERROR(YEAR(Table1[[#This Row],[Exit Date]]), " ")</f>
        <v xml:space="preserve"> </v>
      </c>
      <c r="G1116" t="str">
        <f>IFERROR((Table1[[#This Row],[Exit Year]]-Table1[[#This Row],[Join Year]])+1," ")</f>
        <v xml:space="preserve"> </v>
      </c>
      <c r="H1116" t="s">
        <v>48</v>
      </c>
      <c r="I1116" t="s">
        <v>11</v>
      </c>
      <c r="J1116" t="s">
        <v>12</v>
      </c>
      <c r="K1116">
        <v>42</v>
      </c>
      <c r="L1116" t="str">
        <f>IF(Table1[[#This Row],[Age]]&lt;30,"20-29",
IF(Table1[[#This Row],[Age]]&lt;40,"30-39",
IF(Table1[[#This Row],[Age]]&lt;50,"40-49",
IF(Table1[[#This Row],[Age]]&lt;60,"50-59","60+"))))</f>
        <v>40-49</v>
      </c>
      <c r="M1116" t="s">
        <v>16</v>
      </c>
      <c r="N1116" t="s">
        <v>35</v>
      </c>
    </row>
    <row r="1117" spans="1:14" x14ac:dyDescent="0.35">
      <c r="A1117">
        <v>1216</v>
      </c>
      <c r="B1117" t="s">
        <v>10</v>
      </c>
      <c r="C1117" s="6">
        <v>43717</v>
      </c>
      <c r="D1117">
        <f>YEAR(Table1[[#This Row],[Join Date]])</f>
        <v>2019</v>
      </c>
      <c r="E1117" s="6">
        <v>44677</v>
      </c>
      <c r="F1117">
        <f>IFERROR(YEAR(Table1[[#This Row],[Exit Date]]), " ")</f>
        <v>2022</v>
      </c>
      <c r="G1117">
        <f>IFERROR((Table1[[#This Row],[Exit Year]]-Table1[[#This Row],[Join Year]])+1," ")</f>
        <v>4</v>
      </c>
      <c r="H1117" t="s">
        <v>40</v>
      </c>
      <c r="I1117" t="s">
        <v>23</v>
      </c>
      <c r="J1117" t="s">
        <v>12</v>
      </c>
      <c r="K1117">
        <v>35</v>
      </c>
      <c r="L1117" t="str">
        <f>IF(Table1[[#This Row],[Age]]&lt;30,"20-29",
IF(Table1[[#This Row],[Age]]&lt;40,"30-39",
IF(Table1[[#This Row],[Age]]&lt;50,"40-49",
IF(Table1[[#This Row],[Age]]&lt;60,"50-59","60+"))))</f>
        <v>30-39</v>
      </c>
      <c r="M1117" t="s">
        <v>13</v>
      </c>
      <c r="N1117" t="s">
        <v>37</v>
      </c>
    </row>
    <row r="1118" spans="1:14" x14ac:dyDescent="0.35">
      <c r="A1118">
        <v>1217</v>
      </c>
      <c r="B1118" t="s">
        <v>29</v>
      </c>
      <c r="C1118" s="6">
        <v>43534</v>
      </c>
      <c r="D1118">
        <f>YEAR(Table1[[#This Row],[Join Date]])</f>
        <v>2019</v>
      </c>
      <c r="E1118" s="6">
        <v>44117</v>
      </c>
      <c r="F1118">
        <f>IFERROR(YEAR(Table1[[#This Row],[Exit Date]]), " ")</f>
        <v>2020</v>
      </c>
      <c r="G1118">
        <f>IFERROR((Table1[[#This Row],[Exit Year]]-Table1[[#This Row],[Join Year]])+1," ")</f>
        <v>2</v>
      </c>
      <c r="H1118" t="s">
        <v>38</v>
      </c>
      <c r="I1118" t="s">
        <v>23</v>
      </c>
      <c r="J1118" t="s">
        <v>18</v>
      </c>
      <c r="K1118">
        <v>31</v>
      </c>
      <c r="L1118" t="str">
        <f>IF(Table1[[#This Row],[Age]]&lt;30,"20-29",
IF(Table1[[#This Row],[Age]]&lt;40,"30-39",
IF(Table1[[#This Row],[Age]]&lt;50,"40-49",
IF(Table1[[#This Row],[Age]]&lt;60,"50-59","60+"))))</f>
        <v>30-39</v>
      </c>
      <c r="M1118" t="s">
        <v>20</v>
      </c>
      <c r="N1118" t="s">
        <v>19</v>
      </c>
    </row>
    <row r="1119" spans="1:14" x14ac:dyDescent="0.35">
      <c r="A1119">
        <v>1218</v>
      </c>
      <c r="B1119" t="s">
        <v>36</v>
      </c>
      <c r="C1119" s="6">
        <v>44619</v>
      </c>
      <c r="D1119">
        <f>YEAR(Table1[[#This Row],[Join Date]])</f>
        <v>2022</v>
      </c>
      <c r="E1119" s="6" t="s">
        <v>48</v>
      </c>
      <c r="F1119" t="str">
        <f>IFERROR(YEAR(Table1[[#This Row],[Exit Date]]), " ")</f>
        <v xml:space="preserve"> </v>
      </c>
      <c r="G1119" t="str">
        <f>IFERROR((Table1[[#This Row],[Exit Year]]-Table1[[#This Row],[Join Year]])+1," ")</f>
        <v xml:space="preserve"> </v>
      </c>
      <c r="H1119" t="s">
        <v>48</v>
      </c>
      <c r="I1119" t="s">
        <v>11</v>
      </c>
      <c r="J1119" t="s">
        <v>18</v>
      </c>
      <c r="K1119">
        <v>51</v>
      </c>
      <c r="L1119" t="str">
        <f>IF(Table1[[#This Row],[Age]]&lt;30,"20-29",
IF(Table1[[#This Row],[Age]]&lt;40,"30-39",
IF(Table1[[#This Row],[Age]]&lt;50,"40-49",
IF(Table1[[#This Row],[Age]]&lt;60,"50-59","60+"))))</f>
        <v>50-59</v>
      </c>
      <c r="M1119" t="s">
        <v>39</v>
      </c>
      <c r="N1119" t="s">
        <v>25</v>
      </c>
    </row>
    <row r="1120" spans="1:14" x14ac:dyDescent="0.35">
      <c r="A1120">
        <v>1219</v>
      </c>
      <c r="B1120" t="s">
        <v>10</v>
      </c>
      <c r="C1120" s="6">
        <v>45485</v>
      </c>
      <c r="D1120">
        <f>YEAR(Table1[[#This Row],[Join Date]])</f>
        <v>2024</v>
      </c>
      <c r="E1120" s="6" t="s">
        <v>48</v>
      </c>
      <c r="F1120" t="str">
        <f>IFERROR(YEAR(Table1[[#This Row],[Exit Date]]), " ")</f>
        <v xml:space="preserve"> </v>
      </c>
      <c r="G1120" t="str">
        <f>IFERROR((Table1[[#This Row],[Exit Year]]-Table1[[#This Row],[Join Year]])+1," ")</f>
        <v xml:space="preserve"> </v>
      </c>
      <c r="H1120" t="s">
        <v>48</v>
      </c>
      <c r="I1120" t="s">
        <v>11</v>
      </c>
      <c r="J1120" t="s">
        <v>12</v>
      </c>
      <c r="K1120">
        <v>48</v>
      </c>
      <c r="L1120" t="str">
        <f>IF(Table1[[#This Row],[Age]]&lt;30,"20-29",
IF(Table1[[#This Row],[Age]]&lt;40,"30-39",
IF(Table1[[#This Row],[Age]]&lt;50,"40-49",
IF(Table1[[#This Row],[Age]]&lt;60,"50-59","60+"))))</f>
        <v>40-49</v>
      </c>
      <c r="M1120" t="s">
        <v>13</v>
      </c>
      <c r="N1120" t="s">
        <v>35</v>
      </c>
    </row>
    <row r="1121" spans="1:14" x14ac:dyDescent="0.35">
      <c r="A1121">
        <v>1220</v>
      </c>
      <c r="B1121" t="s">
        <v>29</v>
      </c>
      <c r="C1121" s="6">
        <v>43588</v>
      </c>
      <c r="D1121">
        <f>YEAR(Table1[[#This Row],[Join Date]])</f>
        <v>2019</v>
      </c>
      <c r="E1121" s="6">
        <v>44896</v>
      </c>
      <c r="F1121">
        <f>IFERROR(YEAR(Table1[[#This Row],[Exit Date]]), " ")</f>
        <v>2022</v>
      </c>
      <c r="G1121">
        <f>IFERROR((Table1[[#This Row],[Exit Year]]-Table1[[#This Row],[Join Year]])+1," ")</f>
        <v>4</v>
      </c>
      <c r="H1121" t="s">
        <v>41</v>
      </c>
      <c r="I1121" t="s">
        <v>23</v>
      </c>
      <c r="J1121" t="s">
        <v>18</v>
      </c>
      <c r="K1121">
        <v>41</v>
      </c>
      <c r="L1121" t="str">
        <f>IF(Table1[[#This Row],[Age]]&lt;30,"20-29",
IF(Table1[[#This Row],[Age]]&lt;40,"30-39",
IF(Table1[[#This Row],[Age]]&lt;50,"40-49",
IF(Table1[[#This Row],[Age]]&lt;60,"50-59","60+"))))</f>
        <v>40-49</v>
      </c>
      <c r="M1121" t="s">
        <v>16</v>
      </c>
      <c r="N1121" t="s">
        <v>17</v>
      </c>
    </row>
    <row r="1122" spans="1:14" x14ac:dyDescent="0.35">
      <c r="A1122">
        <v>1221</v>
      </c>
      <c r="B1122" t="s">
        <v>36</v>
      </c>
      <c r="C1122" s="6">
        <v>44250</v>
      </c>
      <c r="D1122">
        <f>YEAR(Table1[[#This Row],[Join Date]])</f>
        <v>2021</v>
      </c>
      <c r="E1122" s="6">
        <v>45392</v>
      </c>
      <c r="F1122">
        <f>IFERROR(YEAR(Table1[[#This Row],[Exit Date]]), " ")</f>
        <v>2024</v>
      </c>
      <c r="G1122">
        <f>IFERROR((Table1[[#This Row],[Exit Year]]-Table1[[#This Row],[Join Year]])+1," ")</f>
        <v>4</v>
      </c>
      <c r="H1122" t="s">
        <v>46</v>
      </c>
      <c r="I1122" t="s">
        <v>23</v>
      </c>
      <c r="J1122" t="s">
        <v>12</v>
      </c>
      <c r="K1122">
        <v>35</v>
      </c>
      <c r="L1122" t="str">
        <f>IF(Table1[[#This Row],[Age]]&lt;30,"20-29",
IF(Table1[[#This Row],[Age]]&lt;40,"30-39",
IF(Table1[[#This Row],[Age]]&lt;50,"40-49",
IF(Table1[[#This Row],[Age]]&lt;60,"50-59","60+"))))</f>
        <v>30-39</v>
      </c>
      <c r="M1122" t="s">
        <v>16</v>
      </c>
      <c r="N1122" t="s">
        <v>19</v>
      </c>
    </row>
    <row r="1123" spans="1:14" x14ac:dyDescent="0.35">
      <c r="A1123">
        <v>1222</v>
      </c>
      <c r="B1123" t="s">
        <v>26</v>
      </c>
      <c r="C1123" s="6">
        <v>45244</v>
      </c>
      <c r="D1123">
        <f>YEAR(Table1[[#This Row],[Join Date]])</f>
        <v>2023</v>
      </c>
      <c r="E1123" s="6">
        <v>45446</v>
      </c>
      <c r="F1123">
        <f>IFERROR(YEAR(Table1[[#This Row],[Exit Date]]), " ")</f>
        <v>2024</v>
      </c>
      <c r="G1123">
        <f>IFERROR((Table1[[#This Row],[Exit Year]]-Table1[[#This Row],[Join Year]])+1," ")</f>
        <v>2</v>
      </c>
      <c r="H1123" t="s">
        <v>40</v>
      </c>
      <c r="I1123" t="s">
        <v>23</v>
      </c>
      <c r="J1123" t="s">
        <v>12</v>
      </c>
      <c r="K1123">
        <v>24</v>
      </c>
      <c r="L1123" t="str">
        <f>IF(Table1[[#This Row],[Age]]&lt;30,"20-29",
IF(Table1[[#This Row],[Age]]&lt;40,"30-39",
IF(Table1[[#This Row],[Age]]&lt;50,"40-49",
IF(Table1[[#This Row],[Age]]&lt;60,"50-59","60+"))))</f>
        <v>20-29</v>
      </c>
      <c r="M1123" t="s">
        <v>20</v>
      </c>
      <c r="N1123" t="s">
        <v>21</v>
      </c>
    </row>
    <row r="1124" spans="1:14" x14ac:dyDescent="0.35">
      <c r="A1124">
        <v>1223</v>
      </c>
      <c r="B1124" t="s">
        <v>15</v>
      </c>
      <c r="C1124" s="6">
        <v>45256</v>
      </c>
      <c r="D1124">
        <f>YEAR(Table1[[#This Row],[Join Date]])</f>
        <v>2023</v>
      </c>
      <c r="E1124" s="6" t="s">
        <v>48</v>
      </c>
      <c r="F1124" t="str">
        <f>IFERROR(YEAR(Table1[[#This Row],[Exit Date]]), " ")</f>
        <v xml:space="preserve"> </v>
      </c>
      <c r="G1124" t="str">
        <f>IFERROR((Table1[[#This Row],[Exit Year]]-Table1[[#This Row],[Join Year]])+1," ")</f>
        <v xml:space="preserve"> </v>
      </c>
      <c r="H1124" t="s">
        <v>48</v>
      </c>
      <c r="I1124" t="s">
        <v>11</v>
      </c>
      <c r="J1124" t="s">
        <v>12</v>
      </c>
      <c r="K1124">
        <v>41</v>
      </c>
      <c r="L1124" t="str">
        <f>IF(Table1[[#This Row],[Age]]&lt;30,"20-29",
IF(Table1[[#This Row],[Age]]&lt;40,"30-39",
IF(Table1[[#This Row],[Age]]&lt;50,"40-49",
IF(Table1[[#This Row],[Age]]&lt;60,"50-59","60+"))))</f>
        <v>40-49</v>
      </c>
      <c r="M1124" t="s">
        <v>24</v>
      </c>
      <c r="N1124" t="s">
        <v>25</v>
      </c>
    </row>
    <row r="1125" spans="1:14" x14ac:dyDescent="0.35">
      <c r="A1125">
        <v>1224</v>
      </c>
      <c r="B1125" t="s">
        <v>26</v>
      </c>
      <c r="C1125" s="6">
        <v>45465</v>
      </c>
      <c r="D1125">
        <f>YEAR(Table1[[#This Row],[Join Date]])</f>
        <v>2024</v>
      </c>
      <c r="E1125" s="6" t="s">
        <v>48</v>
      </c>
      <c r="F1125" t="str">
        <f>IFERROR(YEAR(Table1[[#This Row],[Exit Date]]), " ")</f>
        <v xml:space="preserve"> </v>
      </c>
      <c r="G1125" t="str">
        <f>IFERROR((Table1[[#This Row],[Exit Year]]-Table1[[#This Row],[Join Year]])+1," ")</f>
        <v xml:space="preserve"> </v>
      </c>
      <c r="H1125" t="s">
        <v>48</v>
      </c>
      <c r="I1125" t="s">
        <v>11</v>
      </c>
      <c r="J1125" t="s">
        <v>18</v>
      </c>
      <c r="K1125">
        <v>40</v>
      </c>
      <c r="L1125" t="str">
        <f>IF(Table1[[#This Row],[Age]]&lt;30,"20-29",
IF(Table1[[#This Row],[Age]]&lt;40,"30-39",
IF(Table1[[#This Row],[Age]]&lt;50,"40-49",
IF(Table1[[#This Row],[Age]]&lt;60,"50-59","60+"))))</f>
        <v>40-49</v>
      </c>
      <c r="M1125" t="s">
        <v>13</v>
      </c>
      <c r="N1125" t="s">
        <v>35</v>
      </c>
    </row>
    <row r="1126" spans="1:14" x14ac:dyDescent="0.35">
      <c r="A1126">
        <v>1225</v>
      </c>
      <c r="B1126" t="s">
        <v>10</v>
      </c>
      <c r="C1126" s="6">
        <v>43597</v>
      </c>
      <c r="D1126">
        <f>YEAR(Table1[[#This Row],[Join Date]])</f>
        <v>2019</v>
      </c>
      <c r="E1126" s="6" t="s">
        <v>48</v>
      </c>
      <c r="F1126" t="str">
        <f>IFERROR(YEAR(Table1[[#This Row],[Exit Date]]), " ")</f>
        <v xml:space="preserve"> </v>
      </c>
      <c r="G1126" t="str">
        <f>IFERROR((Table1[[#This Row],[Exit Year]]-Table1[[#This Row],[Join Year]])+1," ")</f>
        <v xml:space="preserve"> </v>
      </c>
      <c r="H1126" t="s">
        <v>48</v>
      </c>
      <c r="I1126" t="s">
        <v>11</v>
      </c>
      <c r="J1126" t="s">
        <v>12</v>
      </c>
      <c r="K1126">
        <v>48</v>
      </c>
      <c r="L1126" t="str">
        <f>IF(Table1[[#This Row],[Age]]&lt;30,"20-29",
IF(Table1[[#This Row],[Age]]&lt;40,"30-39",
IF(Table1[[#This Row],[Age]]&lt;50,"40-49",
IF(Table1[[#This Row],[Age]]&lt;60,"50-59","60+"))))</f>
        <v>40-49</v>
      </c>
      <c r="M1126" t="s">
        <v>42</v>
      </c>
      <c r="N1126" t="s">
        <v>14</v>
      </c>
    </row>
    <row r="1127" spans="1:14" x14ac:dyDescent="0.35">
      <c r="A1127">
        <v>1226</v>
      </c>
      <c r="B1127" t="s">
        <v>15</v>
      </c>
      <c r="C1127" s="6">
        <v>44866</v>
      </c>
      <c r="D1127">
        <f>YEAR(Table1[[#This Row],[Join Date]])</f>
        <v>2022</v>
      </c>
      <c r="E1127" s="6" t="s">
        <v>48</v>
      </c>
      <c r="F1127" t="str">
        <f>IFERROR(YEAR(Table1[[#This Row],[Exit Date]]), " ")</f>
        <v xml:space="preserve"> </v>
      </c>
      <c r="G1127" t="str">
        <f>IFERROR((Table1[[#This Row],[Exit Year]]-Table1[[#This Row],[Join Year]])+1," ")</f>
        <v xml:space="preserve"> </v>
      </c>
      <c r="H1127" t="s">
        <v>48</v>
      </c>
      <c r="I1127" t="s">
        <v>11</v>
      </c>
      <c r="J1127" t="s">
        <v>18</v>
      </c>
      <c r="K1127">
        <v>52</v>
      </c>
      <c r="L1127" t="str">
        <f>IF(Table1[[#This Row],[Age]]&lt;30,"20-29",
IF(Table1[[#This Row],[Age]]&lt;40,"30-39",
IF(Table1[[#This Row],[Age]]&lt;50,"40-49",
IF(Table1[[#This Row],[Age]]&lt;60,"50-59","60+"))))</f>
        <v>50-59</v>
      </c>
      <c r="M1127" t="s">
        <v>13</v>
      </c>
      <c r="N1127" t="s">
        <v>19</v>
      </c>
    </row>
    <row r="1128" spans="1:14" x14ac:dyDescent="0.35">
      <c r="A1128">
        <v>1227</v>
      </c>
      <c r="B1128" t="s">
        <v>34</v>
      </c>
      <c r="C1128" s="6">
        <v>44006</v>
      </c>
      <c r="D1128">
        <f>YEAR(Table1[[#This Row],[Join Date]])</f>
        <v>2020</v>
      </c>
      <c r="E1128" s="6">
        <v>44463</v>
      </c>
      <c r="F1128">
        <f>IFERROR(YEAR(Table1[[#This Row],[Exit Date]]), " ")</f>
        <v>2021</v>
      </c>
      <c r="G1128">
        <f>IFERROR((Table1[[#This Row],[Exit Year]]-Table1[[#This Row],[Join Year]])+1," ")</f>
        <v>2</v>
      </c>
      <c r="H1128" t="s">
        <v>43</v>
      </c>
      <c r="I1128" t="s">
        <v>23</v>
      </c>
      <c r="J1128" t="s">
        <v>12</v>
      </c>
      <c r="K1128">
        <v>33</v>
      </c>
      <c r="L1128" t="str">
        <f>IF(Table1[[#This Row],[Age]]&lt;30,"20-29",
IF(Table1[[#This Row],[Age]]&lt;40,"30-39",
IF(Table1[[#This Row],[Age]]&lt;50,"40-49",
IF(Table1[[#This Row],[Age]]&lt;60,"50-59","60+"))))</f>
        <v>30-39</v>
      </c>
      <c r="M1128" t="s">
        <v>13</v>
      </c>
      <c r="N1128" t="s">
        <v>21</v>
      </c>
    </row>
    <row r="1129" spans="1:14" x14ac:dyDescent="0.35">
      <c r="A1129">
        <v>1228</v>
      </c>
      <c r="B1129" t="s">
        <v>26</v>
      </c>
      <c r="C1129" s="6">
        <v>45095</v>
      </c>
      <c r="D1129">
        <f>YEAR(Table1[[#This Row],[Join Date]])</f>
        <v>2023</v>
      </c>
      <c r="E1129" s="6" t="s">
        <v>48</v>
      </c>
      <c r="F1129" t="str">
        <f>IFERROR(YEAR(Table1[[#This Row],[Exit Date]]), " ")</f>
        <v xml:space="preserve"> </v>
      </c>
      <c r="G1129" t="str">
        <f>IFERROR((Table1[[#This Row],[Exit Year]]-Table1[[#This Row],[Join Year]])+1," ")</f>
        <v xml:space="preserve"> </v>
      </c>
      <c r="H1129" t="s">
        <v>48</v>
      </c>
      <c r="I1129" t="s">
        <v>11</v>
      </c>
      <c r="J1129" t="s">
        <v>18</v>
      </c>
      <c r="K1129">
        <v>51</v>
      </c>
      <c r="L1129" t="str">
        <f>IF(Table1[[#This Row],[Age]]&lt;30,"20-29",
IF(Table1[[#This Row],[Age]]&lt;40,"30-39",
IF(Table1[[#This Row],[Age]]&lt;50,"40-49",
IF(Table1[[#This Row],[Age]]&lt;60,"50-59","60+"))))</f>
        <v>50-59</v>
      </c>
      <c r="M1129" t="s">
        <v>16</v>
      </c>
      <c r="N1129" t="s">
        <v>37</v>
      </c>
    </row>
    <row r="1130" spans="1:14" x14ac:dyDescent="0.35">
      <c r="A1130">
        <v>1229</v>
      </c>
      <c r="B1130" t="s">
        <v>10</v>
      </c>
      <c r="C1130" s="6">
        <v>44360</v>
      </c>
      <c r="D1130">
        <f>YEAR(Table1[[#This Row],[Join Date]])</f>
        <v>2021</v>
      </c>
      <c r="E1130" s="6">
        <v>44755</v>
      </c>
      <c r="F1130">
        <f>IFERROR(YEAR(Table1[[#This Row],[Exit Date]]), " ")</f>
        <v>2022</v>
      </c>
      <c r="G1130">
        <f>IFERROR((Table1[[#This Row],[Exit Year]]-Table1[[#This Row],[Join Year]])+1," ")</f>
        <v>2</v>
      </c>
      <c r="H1130" t="s">
        <v>46</v>
      </c>
      <c r="I1130" t="s">
        <v>23</v>
      </c>
      <c r="J1130" t="s">
        <v>18</v>
      </c>
      <c r="K1130">
        <v>46</v>
      </c>
      <c r="L1130" t="str">
        <f>IF(Table1[[#This Row],[Age]]&lt;30,"20-29",
IF(Table1[[#This Row],[Age]]&lt;40,"30-39",
IF(Table1[[#This Row],[Age]]&lt;50,"40-49",
IF(Table1[[#This Row],[Age]]&lt;60,"50-59","60+"))))</f>
        <v>40-49</v>
      </c>
      <c r="M1130" t="s">
        <v>13</v>
      </c>
      <c r="N1130" t="s">
        <v>25</v>
      </c>
    </row>
    <row r="1131" spans="1:14" x14ac:dyDescent="0.35">
      <c r="A1131">
        <v>1230</v>
      </c>
      <c r="B1131" t="s">
        <v>26</v>
      </c>
      <c r="C1131" s="6">
        <v>43419</v>
      </c>
      <c r="D1131">
        <f>YEAR(Table1[[#This Row],[Join Date]])</f>
        <v>2018</v>
      </c>
      <c r="E1131" s="6">
        <v>44303</v>
      </c>
      <c r="F1131">
        <f>IFERROR(YEAR(Table1[[#This Row],[Exit Date]]), " ")</f>
        <v>2021</v>
      </c>
      <c r="G1131">
        <f>IFERROR((Table1[[#This Row],[Exit Year]]-Table1[[#This Row],[Join Year]])+1," ")</f>
        <v>4</v>
      </c>
      <c r="H1131" t="s">
        <v>22</v>
      </c>
      <c r="I1131" t="s">
        <v>23</v>
      </c>
      <c r="J1131" t="s">
        <v>12</v>
      </c>
      <c r="K1131">
        <v>53</v>
      </c>
      <c r="L1131" t="str">
        <f>IF(Table1[[#This Row],[Age]]&lt;30,"20-29",
IF(Table1[[#This Row],[Age]]&lt;40,"30-39",
IF(Table1[[#This Row],[Age]]&lt;50,"40-49",
IF(Table1[[#This Row],[Age]]&lt;60,"50-59","60+"))))</f>
        <v>50-59</v>
      </c>
      <c r="M1131" t="s">
        <v>20</v>
      </c>
      <c r="N1131" t="s">
        <v>35</v>
      </c>
    </row>
    <row r="1132" spans="1:14" x14ac:dyDescent="0.35">
      <c r="A1132">
        <v>1231</v>
      </c>
      <c r="B1132" t="s">
        <v>36</v>
      </c>
      <c r="C1132" s="6">
        <v>44249</v>
      </c>
      <c r="D1132">
        <f>YEAR(Table1[[#This Row],[Join Date]])</f>
        <v>2021</v>
      </c>
      <c r="E1132" s="6" t="s">
        <v>48</v>
      </c>
      <c r="F1132" t="str">
        <f>IFERROR(YEAR(Table1[[#This Row],[Exit Date]]), " ")</f>
        <v xml:space="preserve"> </v>
      </c>
      <c r="G1132" t="str">
        <f>IFERROR((Table1[[#This Row],[Exit Year]]-Table1[[#This Row],[Join Year]])+1," ")</f>
        <v xml:space="preserve"> </v>
      </c>
      <c r="H1132" t="s">
        <v>48</v>
      </c>
      <c r="I1132" t="s">
        <v>11</v>
      </c>
      <c r="J1132" t="s">
        <v>18</v>
      </c>
      <c r="K1132">
        <v>35</v>
      </c>
      <c r="L1132" t="str">
        <f>IF(Table1[[#This Row],[Age]]&lt;30,"20-29",
IF(Table1[[#This Row],[Age]]&lt;40,"30-39",
IF(Table1[[#This Row],[Age]]&lt;50,"40-49",
IF(Table1[[#This Row],[Age]]&lt;60,"50-59","60+"))))</f>
        <v>30-39</v>
      </c>
      <c r="M1132" t="s">
        <v>44</v>
      </c>
      <c r="N1132" t="s">
        <v>14</v>
      </c>
    </row>
    <row r="1133" spans="1:14" x14ac:dyDescent="0.35">
      <c r="A1133">
        <v>1232</v>
      </c>
      <c r="B1133" t="s">
        <v>10</v>
      </c>
      <c r="C1133" s="6">
        <v>45533</v>
      </c>
      <c r="D1133">
        <f>YEAR(Table1[[#This Row],[Join Date]])</f>
        <v>2024</v>
      </c>
      <c r="E1133" s="6" t="s">
        <v>48</v>
      </c>
      <c r="F1133" t="str">
        <f>IFERROR(YEAR(Table1[[#This Row],[Exit Date]]), " ")</f>
        <v xml:space="preserve"> </v>
      </c>
      <c r="G1133" t="str">
        <f>IFERROR((Table1[[#This Row],[Exit Year]]-Table1[[#This Row],[Join Year]])+1," ")</f>
        <v xml:space="preserve"> </v>
      </c>
      <c r="H1133" t="s">
        <v>48</v>
      </c>
      <c r="I1133" t="s">
        <v>11</v>
      </c>
      <c r="J1133" t="s">
        <v>18</v>
      </c>
      <c r="K1133">
        <v>32</v>
      </c>
      <c r="L1133" t="str">
        <f>IF(Table1[[#This Row],[Age]]&lt;30,"20-29",
IF(Table1[[#This Row],[Age]]&lt;40,"30-39",
IF(Table1[[#This Row],[Age]]&lt;50,"40-49",
IF(Table1[[#This Row],[Age]]&lt;60,"50-59","60+"))))</f>
        <v>30-39</v>
      </c>
      <c r="M1133" t="s">
        <v>13</v>
      </c>
      <c r="N1133" t="s">
        <v>17</v>
      </c>
    </row>
    <row r="1134" spans="1:14" x14ac:dyDescent="0.35">
      <c r="A1134">
        <v>1233</v>
      </c>
      <c r="B1134" t="s">
        <v>36</v>
      </c>
      <c r="C1134" s="6">
        <v>44377</v>
      </c>
      <c r="D1134">
        <f>YEAR(Table1[[#This Row],[Join Date]])</f>
        <v>2021</v>
      </c>
      <c r="E1134" s="6" t="s">
        <v>48</v>
      </c>
      <c r="F1134" t="str">
        <f>IFERROR(YEAR(Table1[[#This Row],[Exit Date]]), " ")</f>
        <v xml:space="preserve"> </v>
      </c>
      <c r="G1134" t="str">
        <f>IFERROR((Table1[[#This Row],[Exit Year]]-Table1[[#This Row],[Join Year]])+1," ")</f>
        <v xml:space="preserve"> </v>
      </c>
      <c r="H1134" t="s">
        <v>48</v>
      </c>
      <c r="I1134" t="s">
        <v>11</v>
      </c>
      <c r="J1134" t="s">
        <v>12</v>
      </c>
      <c r="K1134">
        <v>46</v>
      </c>
      <c r="L1134" t="str">
        <f>IF(Table1[[#This Row],[Age]]&lt;30,"20-29",
IF(Table1[[#This Row],[Age]]&lt;40,"30-39",
IF(Table1[[#This Row],[Age]]&lt;50,"40-49",
IF(Table1[[#This Row],[Age]]&lt;60,"50-59","60+"))))</f>
        <v>40-49</v>
      </c>
      <c r="M1134" t="s">
        <v>16</v>
      </c>
      <c r="N1134" t="s">
        <v>19</v>
      </c>
    </row>
    <row r="1135" spans="1:14" x14ac:dyDescent="0.35">
      <c r="A1135">
        <v>1234</v>
      </c>
      <c r="B1135" t="s">
        <v>10</v>
      </c>
      <c r="C1135" s="6">
        <v>44088</v>
      </c>
      <c r="D1135">
        <f>YEAR(Table1[[#This Row],[Join Date]])</f>
        <v>2020</v>
      </c>
      <c r="E1135" s="6" t="s">
        <v>48</v>
      </c>
      <c r="F1135" t="str">
        <f>IFERROR(YEAR(Table1[[#This Row],[Exit Date]]), " ")</f>
        <v xml:space="preserve"> </v>
      </c>
      <c r="G1135" t="str">
        <f>IFERROR((Table1[[#This Row],[Exit Year]]-Table1[[#This Row],[Join Year]])+1," ")</f>
        <v xml:space="preserve"> </v>
      </c>
      <c r="H1135" t="s">
        <v>48</v>
      </c>
      <c r="I1135" t="s">
        <v>11</v>
      </c>
      <c r="J1135" t="s">
        <v>18</v>
      </c>
      <c r="K1135">
        <v>50</v>
      </c>
      <c r="L1135" t="str">
        <f>IF(Table1[[#This Row],[Age]]&lt;30,"20-29",
IF(Table1[[#This Row],[Age]]&lt;40,"30-39",
IF(Table1[[#This Row],[Age]]&lt;50,"40-49",
IF(Table1[[#This Row],[Age]]&lt;60,"50-59","60+"))))</f>
        <v>50-59</v>
      </c>
      <c r="M1135" t="s">
        <v>16</v>
      </c>
      <c r="N1135" t="s">
        <v>21</v>
      </c>
    </row>
    <row r="1136" spans="1:14" x14ac:dyDescent="0.35">
      <c r="A1136">
        <v>1235</v>
      </c>
      <c r="B1136" t="s">
        <v>26</v>
      </c>
      <c r="C1136" s="6">
        <v>43373</v>
      </c>
      <c r="D1136">
        <f>YEAR(Table1[[#This Row],[Join Date]])</f>
        <v>2018</v>
      </c>
      <c r="E1136" s="6">
        <v>44825</v>
      </c>
      <c r="F1136">
        <f>IFERROR(YEAR(Table1[[#This Row],[Exit Date]]), " ")</f>
        <v>2022</v>
      </c>
      <c r="G1136">
        <f>IFERROR((Table1[[#This Row],[Exit Year]]-Table1[[#This Row],[Join Year]])+1," ")</f>
        <v>5</v>
      </c>
      <c r="H1136" t="s">
        <v>27</v>
      </c>
      <c r="I1136" t="s">
        <v>23</v>
      </c>
      <c r="J1136" t="s">
        <v>18</v>
      </c>
      <c r="K1136">
        <v>65</v>
      </c>
      <c r="L1136" t="str">
        <f>IF(Table1[[#This Row],[Age]]&lt;30,"20-29",
IF(Table1[[#This Row],[Age]]&lt;40,"30-39",
IF(Table1[[#This Row],[Age]]&lt;50,"40-49",
IF(Table1[[#This Row],[Age]]&lt;60,"50-59","60+"))))</f>
        <v>60+</v>
      </c>
      <c r="M1136" t="s">
        <v>20</v>
      </c>
      <c r="N1136" t="s">
        <v>25</v>
      </c>
    </row>
    <row r="1137" spans="1:14" x14ac:dyDescent="0.35">
      <c r="A1137">
        <v>1236</v>
      </c>
      <c r="B1137" t="s">
        <v>26</v>
      </c>
      <c r="C1137" s="6">
        <v>43314</v>
      </c>
      <c r="D1137">
        <f>YEAR(Table1[[#This Row],[Join Date]])</f>
        <v>2018</v>
      </c>
      <c r="E1137" s="6" t="s">
        <v>48</v>
      </c>
      <c r="F1137" t="str">
        <f>IFERROR(YEAR(Table1[[#This Row],[Exit Date]]), " ")</f>
        <v xml:space="preserve"> </v>
      </c>
      <c r="G1137" t="str">
        <f>IFERROR((Table1[[#This Row],[Exit Year]]-Table1[[#This Row],[Join Year]])+1," ")</f>
        <v xml:space="preserve"> </v>
      </c>
      <c r="H1137" t="s">
        <v>48</v>
      </c>
      <c r="I1137" t="s">
        <v>11</v>
      </c>
      <c r="J1137" t="s">
        <v>12</v>
      </c>
      <c r="K1137">
        <v>29</v>
      </c>
      <c r="L1137" t="str">
        <f>IF(Table1[[#This Row],[Age]]&lt;30,"20-29",
IF(Table1[[#This Row],[Age]]&lt;40,"30-39",
IF(Table1[[#This Row],[Age]]&lt;50,"40-49",
IF(Table1[[#This Row],[Age]]&lt;60,"50-59","60+"))))</f>
        <v>20-29</v>
      </c>
      <c r="M1137" t="s">
        <v>24</v>
      </c>
      <c r="N1137" t="s">
        <v>28</v>
      </c>
    </row>
    <row r="1138" spans="1:14" x14ac:dyDescent="0.35">
      <c r="A1138">
        <v>1237</v>
      </c>
      <c r="B1138" t="s">
        <v>26</v>
      </c>
      <c r="C1138" s="6">
        <v>44418</v>
      </c>
      <c r="D1138">
        <f>YEAR(Table1[[#This Row],[Join Date]])</f>
        <v>2021</v>
      </c>
      <c r="E1138" s="6">
        <v>45628</v>
      </c>
      <c r="F1138">
        <f>IFERROR(YEAR(Table1[[#This Row],[Exit Date]]), " ")</f>
        <v>2024</v>
      </c>
      <c r="G1138">
        <f>IFERROR((Table1[[#This Row],[Exit Year]]-Table1[[#This Row],[Join Year]])+1," ")</f>
        <v>4</v>
      </c>
      <c r="H1138" t="s">
        <v>22</v>
      </c>
      <c r="I1138" t="s">
        <v>23</v>
      </c>
      <c r="J1138" t="s">
        <v>18</v>
      </c>
      <c r="K1138">
        <v>27</v>
      </c>
      <c r="L1138" t="str">
        <f>IF(Table1[[#This Row],[Age]]&lt;30,"20-29",
IF(Table1[[#This Row],[Age]]&lt;40,"30-39",
IF(Table1[[#This Row],[Age]]&lt;50,"40-49",
IF(Table1[[#This Row],[Age]]&lt;60,"50-59","60+"))))</f>
        <v>20-29</v>
      </c>
      <c r="M1138" t="s">
        <v>13</v>
      </c>
      <c r="N1138" t="s">
        <v>31</v>
      </c>
    </row>
    <row r="1139" spans="1:14" x14ac:dyDescent="0.35">
      <c r="A1139">
        <v>1238</v>
      </c>
      <c r="B1139" t="s">
        <v>34</v>
      </c>
      <c r="C1139" s="6">
        <v>44324</v>
      </c>
      <c r="D1139">
        <f>YEAR(Table1[[#This Row],[Join Date]])</f>
        <v>2021</v>
      </c>
      <c r="E1139" s="6">
        <v>45076</v>
      </c>
      <c r="F1139">
        <f>IFERROR(YEAR(Table1[[#This Row],[Exit Date]]), " ")</f>
        <v>2023</v>
      </c>
      <c r="G1139">
        <f>IFERROR((Table1[[#This Row],[Exit Year]]-Table1[[#This Row],[Join Year]])+1," ")</f>
        <v>3</v>
      </c>
      <c r="H1139" t="s">
        <v>40</v>
      </c>
      <c r="I1139" t="s">
        <v>23</v>
      </c>
      <c r="J1139" t="s">
        <v>12</v>
      </c>
      <c r="K1139">
        <v>31</v>
      </c>
      <c r="L1139" t="str">
        <f>IF(Table1[[#This Row],[Age]]&lt;30,"20-29",
IF(Table1[[#This Row],[Age]]&lt;40,"30-39",
IF(Table1[[#This Row],[Age]]&lt;50,"40-49",
IF(Table1[[#This Row],[Age]]&lt;60,"50-59","60+"))))</f>
        <v>30-39</v>
      </c>
      <c r="M1139" t="s">
        <v>44</v>
      </c>
      <c r="N1139" t="s">
        <v>32</v>
      </c>
    </row>
    <row r="1140" spans="1:14" x14ac:dyDescent="0.35">
      <c r="A1140">
        <v>1239</v>
      </c>
      <c r="B1140" t="s">
        <v>10</v>
      </c>
      <c r="C1140" s="6">
        <v>43513</v>
      </c>
      <c r="D1140">
        <f>YEAR(Table1[[#This Row],[Join Date]])</f>
        <v>2019</v>
      </c>
      <c r="E1140" s="6">
        <v>44923</v>
      </c>
      <c r="F1140">
        <f>IFERROR(YEAR(Table1[[#This Row],[Exit Date]]), " ")</f>
        <v>2022</v>
      </c>
      <c r="G1140">
        <f>IFERROR((Table1[[#This Row],[Exit Year]]-Table1[[#This Row],[Join Year]])+1," ")</f>
        <v>4</v>
      </c>
      <c r="H1140" t="s">
        <v>38</v>
      </c>
      <c r="I1140" t="s">
        <v>23</v>
      </c>
      <c r="J1140" t="s">
        <v>12</v>
      </c>
      <c r="K1140">
        <v>24</v>
      </c>
      <c r="L1140" t="str">
        <f>IF(Table1[[#This Row],[Age]]&lt;30,"20-29",
IF(Table1[[#This Row],[Age]]&lt;40,"30-39",
IF(Table1[[#This Row],[Age]]&lt;50,"40-49",
IF(Table1[[#This Row],[Age]]&lt;60,"50-59","60+"))))</f>
        <v>20-29</v>
      </c>
      <c r="M1140" t="s">
        <v>13</v>
      </c>
      <c r="N1140" t="s">
        <v>33</v>
      </c>
    </row>
    <row r="1141" spans="1:14" x14ac:dyDescent="0.35">
      <c r="A1141">
        <v>1240</v>
      </c>
      <c r="B1141" t="s">
        <v>36</v>
      </c>
      <c r="C1141" s="6">
        <v>44180</v>
      </c>
      <c r="D1141">
        <f>YEAR(Table1[[#This Row],[Join Date]])</f>
        <v>2020</v>
      </c>
      <c r="E1141" s="6" t="s">
        <v>48</v>
      </c>
      <c r="F1141" t="str">
        <f>IFERROR(YEAR(Table1[[#This Row],[Exit Date]]), " ")</f>
        <v xml:space="preserve"> </v>
      </c>
      <c r="G1141" t="str">
        <f>IFERROR((Table1[[#This Row],[Exit Year]]-Table1[[#This Row],[Join Year]])+1," ")</f>
        <v xml:space="preserve"> </v>
      </c>
      <c r="H1141" t="s">
        <v>48</v>
      </c>
      <c r="I1141" t="s">
        <v>11</v>
      </c>
      <c r="J1141" t="s">
        <v>12</v>
      </c>
      <c r="K1141">
        <v>37</v>
      </c>
      <c r="L1141" t="str">
        <f>IF(Table1[[#This Row],[Age]]&lt;30,"20-29",
IF(Table1[[#This Row],[Age]]&lt;40,"30-39",
IF(Table1[[#This Row],[Age]]&lt;50,"40-49",
IF(Table1[[#This Row],[Age]]&lt;60,"50-59","60+"))))</f>
        <v>30-39</v>
      </c>
      <c r="M1141" t="s">
        <v>13</v>
      </c>
      <c r="N1141" t="s">
        <v>35</v>
      </c>
    </row>
    <row r="1142" spans="1:14" x14ac:dyDescent="0.35">
      <c r="A1142">
        <v>1241</v>
      </c>
      <c r="B1142" t="s">
        <v>34</v>
      </c>
      <c r="C1142" s="6">
        <v>44099</v>
      </c>
      <c r="D1142">
        <f>YEAR(Table1[[#This Row],[Join Date]])</f>
        <v>2020</v>
      </c>
      <c r="E1142" s="6" t="s">
        <v>48</v>
      </c>
      <c r="F1142" t="str">
        <f>IFERROR(YEAR(Table1[[#This Row],[Exit Date]]), " ")</f>
        <v xml:space="preserve"> </v>
      </c>
      <c r="G1142" t="str">
        <f>IFERROR((Table1[[#This Row],[Exit Year]]-Table1[[#This Row],[Join Year]])+1," ")</f>
        <v xml:space="preserve"> </v>
      </c>
      <c r="H1142" t="s">
        <v>48</v>
      </c>
      <c r="I1142" t="s">
        <v>11</v>
      </c>
      <c r="J1142" t="s">
        <v>18</v>
      </c>
      <c r="K1142">
        <v>23</v>
      </c>
      <c r="L1142" t="str">
        <f>IF(Table1[[#This Row],[Age]]&lt;30,"20-29",
IF(Table1[[#This Row],[Age]]&lt;40,"30-39",
IF(Table1[[#This Row],[Age]]&lt;50,"40-49",
IF(Table1[[#This Row],[Age]]&lt;60,"50-59","60+"))))</f>
        <v>20-29</v>
      </c>
      <c r="M1142" t="s">
        <v>16</v>
      </c>
      <c r="N1142" t="s">
        <v>37</v>
      </c>
    </row>
    <row r="1143" spans="1:14" x14ac:dyDescent="0.35">
      <c r="A1143">
        <v>1242</v>
      </c>
      <c r="B1143" t="s">
        <v>34</v>
      </c>
      <c r="C1143" s="6">
        <v>45632</v>
      </c>
      <c r="D1143">
        <f>YEAR(Table1[[#This Row],[Join Date]])</f>
        <v>2024</v>
      </c>
      <c r="E1143" s="6" t="s">
        <v>48</v>
      </c>
      <c r="F1143" t="str">
        <f>IFERROR(YEAR(Table1[[#This Row],[Exit Date]]), " ")</f>
        <v xml:space="preserve"> </v>
      </c>
      <c r="G1143" t="str">
        <f>IFERROR((Table1[[#This Row],[Exit Year]]-Table1[[#This Row],[Join Year]])+1," ")</f>
        <v xml:space="preserve"> </v>
      </c>
      <c r="H1143" t="s">
        <v>48</v>
      </c>
      <c r="I1143" t="s">
        <v>11</v>
      </c>
      <c r="J1143" t="s">
        <v>12</v>
      </c>
      <c r="K1143">
        <v>31</v>
      </c>
      <c r="L1143" t="str">
        <f>IF(Table1[[#This Row],[Age]]&lt;30,"20-29",
IF(Table1[[#This Row],[Age]]&lt;40,"30-39",
IF(Table1[[#This Row],[Age]]&lt;50,"40-49",
IF(Table1[[#This Row],[Age]]&lt;60,"50-59","60+"))))</f>
        <v>30-39</v>
      </c>
      <c r="M1143" t="s">
        <v>13</v>
      </c>
      <c r="N1143" t="s">
        <v>19</v>
      </c>
    </row>
    <row r="1144" spans="1:14" x14ac:dyDescent="0.35">
      <c r="A1144">
        <v>1243</v>
      </c>
      <c r="B1144" t="s">
        <v>36</v>
      </c>
      <c r="C1144" s="6">
        <v>45294</v>
      </c>
      <c r="D1144">
        <f>YEAR(Table1[[#This Row],[Join Date]])</f>
        <v>2024</v>
      </c>
      <c r="E1144" s="6" t="s">
        <v>48</v>
      </c>
      <c r="F1144" t="str">
        <f>IFERROR(YEAR(Table1[[#This Row],[Exit Date]]), " ")</f>
        <v xml:space="preserve"> </v>
      </c>
      <c r="G1144" t="str">
        <f>IFERROR((Table1[[#This Row],[Exit Year]]-Table1[[#This Row],[Join Year]])+1," ")</f>
        <v xml:space="preserve"> </v>
      </c>
      <c r="H1144" t="s">
        <v>48</v>
      </c>
      <c r="I1144" t="s">
        <v>11</v>
      </c>
      <c r="J1144" t="s">
        <v>18</v>
      </c>
      <c r="K1144">
        <v>52</v>
      </c>
      <c r="L1144" t="str">
        <f>IF(Table1[[#This Row],[Age]]&lt;30,"20-29",
IF(Table1[[#This Row],[Age]]&lt;40,"30-39",
IF(Table1[[#This Row],[Age]]&lt;50,"40-49",
IF(Table1[[#This Row],[Age]]&lt;60,"50-59","60+"))))</f>
        <v>50-59</v>
      </c>
      <c r="M1144" t="s">
        <v>20</v>
      </c>
      <c r="N1144" t="s">
        <v>25</v>
      </c>
    </row>
    <row r="1145" spans="1:14" x14ac:dyDescent="0.35">
      <c r="A1145">
        <v>1244</v>
      </c>
      <c r="B1145" t="s">
        <v>26</v>
      </c>
      <c r="C1145" s="6">
        <v>44590</v>
      </c>
      <c r="D1145">
        <f>YEAR(Table1[[#This Row],[Join Date]])</f>
        <v>2022</v>
      </c>
      <c r="E1145" s="6" t="s">
        <v>48</v>
      </c>
      <c r="F1145" t="str">
        <f>IFERROR(YEAR(Table1[[#This Row],[Exit Date]]), " ")</f>
        <v xml:space="preserve"> </v>
      </c>
      <c r="G1145" t="str">
        <f>IFERROR((Table1[[#This Row],[Exit Year]]-Table1[[#This Row],[Join Year]])+1," ")</f>
        <v xml:space="preserve"> </v>
      </c>
      <c r="H1145" t="s">
        <v>48</v>
      </c>
      <c r="I1145" t="s">
        <v>11</v>
      </c>
      <c r="J1145" t="s">
        <v>12</v>
      </c>
      <c r="K1145">
        <v>25</v>
      </c>
      <c r="L1145" t="str">
        <f>IF(Table1[[#This Row],[Age]]&lt;30,"20-29",
IF(Table1[[#This Row],[Age]]&lt;40,"30-39",
IF(Table1[[#This Row],[Age]]&lt;50,"40-49",
IF(Table1[[#This Row],[Age]]&lt;60,"50-59","60+"))))</f>
        <v>20-29</v>
      </c>
      <c r="M1145" t="s">
        <v>44</v>
      </c>
      <c r="N1145" t="s">
        <v>35</v>
      </c>
    </row>
    <row r="1146" spans="1:14" x14ac:dyDescent="0.35">
      <c r="A1146">
        <v>1245</v>
      </c>
      <c r="B1146" t="s">
        <v>15</v>
      </c>
      <c r="C1146" s="6">
        <v>45215</v>
      </c>
      <c r="D1146">
        <f>YEAR(Table1[[#This Row],[Join Date]])</f>
        <v>2023</v>
      </c>
      <c r="E1146" s="6" t="s">
        <v>48</v>
      </c>
      <c r="F1146" t="str">
        <f>IFERROR(YEAR(Table1[[#This Row],[Exit Date]]), " ")</f>
        <v xml:space="preserve"> </v>
      </c>
      <c r="G1146" t="str">
        <f>IFERROR((Table1[[#This Row],[Exit Year]]-Table1[[#This Row],[Join Year]])+1," ")</f>
        <v xml:space="preserve"> </v>
      </c>
      <c r="H1146" t="s">
        <v>48</v>
      </c>
      <c r="I1146" t="s">
        <v>11</v>
      </c>
      <c r="J1146" t="s">
        <v>18</v>
      </c>
      <c r="K1146">
        <v>46</v>
      </c>
      <c r="L1146" t="str">
        <f>IF(Table1[[#This Row],[Age]]&lt;30,"20-29",
IF(Table1[[#This Row],[Age]]&lt;40,"30-39",
IF(Table1[[#This Row],[Age]]&lt;50,"40-49",
IF(Table1[[#This Row],[Age]]&lt;60,"50-59","60+"))))</f>
        <v>40-49</v>
      </c>
      <c r="M1146" t="s">
        <v>13</v>
      </c>
      <c r="N1146" t="s">
        <v>17</v>
      </c>
    </row>
    <row r="1147" spans="1:14" x14ac:dyDescent="0.35">
      <c r="A1147">
        <v>1246</v>
      </c>
      <c r="B1147" t="s">
        <v>15</v>
      </c>
      <c r="C1147" s="6">
        <v>43624</v>
      </c>
      <c r="D1147">
        <f>YEAR(Table1[[#This Row],[Join Date]])</f>
        <v>2019</v>
      </c>
      <c r="E1147" s="6">
        <v>44228</v>
      </c>
      <c r="F1147">
        <f>IFERROR(YEAR(Table1[[#This Row],[Exit Date]]), " ")</f>
        <v>2021</v>
      </c>
      <c r="G1147">
        <f>IFERROR((Table1[[#This Row],[Exit Year]]-Table1[[#This Row],[Join Year]])+1," ")</f>
        <v>3</v>
      </c>
      <c r="H1147" t="s">
        <v>41</v>
      </c>
      <c r="I1147" t="s">
        <v>23</v>
      </c>
      <c r="J1147" t="s">
        <v>18</v>
      </c>
      <c r="K1147">
        <v>24</v>
      </c>
      <c r="L1147" t="str">
        <f>IF(Table1[[#This Row],[Age]]&lt;30,"20-29",
IF(Table1[[#This Row],[Age]]&lt;40,"30-39",
IF(Table1[[#This Row],[Age]]&lt;50,"40-49",
IF(Table1[[#This Row],[Age]]&lt;60,"50-59","60+"))))</f>
        <v>20-29</v>
      </c>
      <c r="M1147" t="s">
        <v>16</v>
      </c>
      <c r="N1147" t="s">
        <v>19</v>
      </c>
    </row>
    <row r="1148" spans="1:14" x14ac:dyDescent="0.35">
      <c r="A1148">
        <v>1247</v>
      </c>
      <c r="B1148" t="s">
        <v>15</v>
      </c>
      <c r="C1148" s="6">
        <v>44514</v>
      </c>
      <c r="D1148">
        <f>YEAR(Table1[[#This Row],[Join Date]])</f>
        <v>2021</v>
      </c>
      <c r="E1148" s="6">
        <v>45529</v>
      </c>
      <c r="F1148">
        <f>IFERROR(YEAR(Table1[[#This Row],[Exit Date]]), " ")</f>
        <v>2024</v>
      </c>
      <c r="G1148">
        <f>IFERROR((Table1[[#This Row],[Exit Year]]-Table1[[#This Row],[Join Year]])+1," ")</f>
        <v>4</v>
      </c>
      <c r="H1148" t="s">
        <v>41</v>
      </c>
      <c r="I1148" t="s">
        <v>23</v>
      </c>
      <c r="J1148" t="s">
        <v>12</v>
      </c>
      <c r="K1148">
        <v>38</v>
      </c>
      <c r="L1148" t="str">
        <f>IF(Table1[[#This Row],[Age]]&lt;30,"20-29",
IF(Table1[[#This Row],[Age]]&lt;40,"30-39",
IF(Table1[[#This Row],[Age]]&lt;50,"40-49",
IF(Table1[[#This Row],[Age]]&lt;60,"50-59","60+"))))</f>
        <v>30-39</v>
      </c>
      <c r="M1148" t="s">
        <v>16</v>
      </c>
      <c r="N1148" t="s">
        <v>21</v>
      </c>
    </row>
    <row r="1149" spans="1:14" x14ac:dyDescent="0.35">
      <c r="A1149">
        <v>1248</v>
      </c>
      <c r="B1149" t="s">
        <v>29</v>
      </c>
      <c r="C1149" s="6">
        <v>43700</v>
      </c>
      <c r="D1149">
        <f>YEAR(Table1[[#This Row],[Join Date]])</f>
        <v>2019</v>
      </c>
      <c r="E1149" s="6" t="s">
        <v>48</v>
      </c>
      <c r="F1149" t="str">
        <f>IFERROR(YEAR(Table1[[#This Row],[Exit Date]]), " ")</f>
        <v xml:space="preserve"> </v>
      </c>
      <c r="G1149" t="str">
        <f>IFERROR((Table1[[#This Row],[Exit Year]]-Table1[[#This Row],[Join Year]])+1," ")</f>
        <v xml:space="preserve"> </v>
      </c>
      <c r="H1149" t="s">
        <v>48</v>
      </c>
      <c r="I1149" t="s">
        <v>11</v>
      </c>
      <c r="J1149" t="s">
        <v>18</v>
      </c>
      <c r="K1149">
        <v>49</v>
      </c>
      <c r="L1149" t="str">
        <f>IF(Table1[[#This Row],[Age]]&lt;30,"20-29",
IF(Table1[[#This Row],[Age]]&lt;40,"30-39",
IF(Table1[[#This Row],[Age]]&lt;50,"40-49",
IF(Table1[[#This Row],[Age]]&lt;60,"50-59","60+"))))</f>
        <v>40-49</v>
      </c>
      <c r="M1149" t="s">
        <v>20</v>
      </c>
      <c r="N1149" t="s">
        <v>25</v>
      </c>
    </row>
    <row r="1150" spans="1:14" x14ac:dyDescent="0.35">
      <c r="A1150">
        <v>1249</v>
      </c>
      <c r="B1150" t="s">
        <v>34</v>
      </c>
      <c r="C1150" s="6">
        <v>45540</v>
      </c>
      <c r="D1150">
        <f>YEAR(Table1[[#This Row],[Join Date]])</f>
        <v>2024</v>
      </c>
      <c r="E1150" s="6" t="s">
        <v>48</v>
      </c>
      <c r="F1150" t="str">
        <f>IFERROR(YEAR(Table1[[#This Row],[Exit Date]]), " ")</f>
        <v xml:space="preserve"> </v>
      </c>
      <c r="G1150" t="str">
        <f>IFERROR((Table1[[#This Row],[Exit Year]]-Table1[[#This Row],[Join Year]])+1," ")</f>
        <v xml:space="preserve"> </v>
      </c>
      <c r="H1150" t="s">
        <v>48</v>
      </c>
      <c r="I1150" t="s">
        <v>11</v>
      </c>
      <c r="J1150" t="s">
        <v>18</v>
      </c>
      <c r="K1150">
        <v>31</v>
      </c>
      <c r="L1150" t="str">
        <f>IF(Table1[[#This Row],[Age]]&lt;30,"20-29",
IF(Table1[[#This Row],[Age]]&lt;40,"30-39",
IF(Table1[[#This Row],[Age]]&lt;50,"40-49",
IF(Table1[[#This Row],[Age]]&lt;60,"50-59","60+"))))</f>
        <v>30-39</v>
      </c>
      <c r="M1150" t="s">
        <v>24</v>
      </c>
      <c r="N1150" t="s">
        <v>35</v>
      </c>
    </row>
    <row r="1151" spans="1:14" x14ac:dyDescent="0.35">
      <c r="A1151">
        <v>1250</v>
      </c>
      <c r="B1151" t="s">
        <v>10</v>
      </c>
      <c r="C1151" s="6">
        <v>43297</v>
      </c>
      <c r="D1151">
        <f>YEAR(Table1[[#This Row],[Join Date]])</f>
        <v>2018</v>
      </c>
      <c r="E1151" s="6">
        <v>44682</v>
      </c>
      <c r="F1151">
        <f>IFERROR(YEAR(Table1[[#This Row],[Exit Date]]), " ")</f>
        <v>2022</v>
      </c>
      <c r="G1151">
        <f>IFERROR((Table1[[#This Row],[Exit Year]]-Table1[[#This Row],[Join Year]])+1," ")</f>
        <v>5</v>
      </c>
      <c r="H1151" t="s">
        <v>40</v>
      </c>
      <c r="I1151" t="s">
        <v>23</v>
      </c>
      <c r="J1151" t="s">
        <v>12</v>
      </c>
      <c r="K1151">
        <v>51</v>
      </c>
      <c r="L1151" t="str">
        <f>IF(Table1[[#This Row],[Age]]&lt;30,"20-29",
IF(Table1[[#This Row],[Age]]&lt;40,"30-39",
IF(Table1[[#This Row],[Age]]&lt;50,"40-49",
IF(Table1[[#This Row],[Age]]&lt;60,"50-59","60+"))))</f>
        <v>50-59</v>
      </c>
      <c r="M1151" t="s">
        <v>13</v>
      </c>
      <c r="N1151" t="s">
        <v>14</v>
      </c>
    </row>
    <row r="1152" spans="1:14" x14ac:dyDescent="0.35">
      <c r="A1152">
        <v>1251</v>
      </c>
      <c r="B1152" t="s">
        <v>10</v>
      </c>
      <c r="C1152" s="6">
        <v>43407</v>
      </c>
      <c r="D1152">
        <f>YEAR(Table1[[#This Row],[Join Date]])</f>
        <v>2018</v>
      </c>
      <c r="E1152" s="6" t="s">
        <v>48</v>
      </c>
      <c r="F1152" t="str">
        <f>IFERROR(YEAR(Table1[[#This Row],[Exit Date]]), " ")</f>
        <v xml:space="preserve"> </v>
      </c>
      <c r="G1152" t="str">
        <f>IFERROR((Table1[[#This Row],[Exit Year]]-Table1[[#This Row],[Join Year]])+1," ")</f>
        <v xml:space="preserve"> </v>
      </c>
      <c r="H1152" t="s">
        <v>48</v>
      </c>
      <c r="I1152" t="s">
        <v>11</v>
      </c>
      <c r="J1152" t="s">
        <v>18</v>
      </c>
      <c r="K1152">
        <v>27</v>
      </c>
      <c r="L1152" t="str">
        <f>IF(Table1[[#This Row],[Age]]&lt;30,"20-29",
IF(Table1[[#This Row],[Age]]&lt;40,"30-39",
IF(Table1[[#This Row],[Age]]&lt;50,"40-49",
IF(Table1[[#This Row],[Age]]&lt;60,"50-59","60+"))))</f>
        <v>20-29</v>
      </c>
      <c r="M1152" t="s">
        <v>30</v>
      </c>
      <c r="N1152" t="s">
        <v>19</v>
      </c>
    </row>
    <row r="1153" spans="1:14" x14ac:dyDescent="0.35">
      <c r="A1153">
        <v>1252</v>
      </c>
      <c r="B1153" t="s">
        <v>15</v>
      </c>
      <c r="C1153" s="6">
        <v>44121</v>
      </c>
      <c r="D1153">
        <f>YEAR(Table1[[#This Row],[Join Date]])</f>
        <v>2020</v>
      </c>
      <c r="E1153" s="6" t="s">
        <v>48</v>
      </c>
      <c r="F1153" t="str">
        <f>IFERROR(YEAR(Table1[[#This Row],[Exit Date]]), " ")</f>
        <v xml:space="preserve"> </v>
      </c>
      <c r="G1153" t="str">
        <f>IFERROR((Table1[[#This Row],[Exit Year]]-Table1[[#This Row],[Join Year]])+1," ")</f>
        <v xml:space="preserve"> </v>
      </c>
      <c r="H1153" t="s">
        <v>48</v>
      </c>
      <c r="I1153" t="s">
        <v>11</v>
      </c>
      <c r="J1153" t="s">
        <v>18</v>
      </c>
      <c r="K1153">
        <v>22</v>
      </c>
      <c r="L1153" t="str">
        <f>IF(Table1[[#This Row],[Age]]&lt;30,"20-29",
IF(Table1[[#This Row],[Age]]&lt;40,"30-39",
IF(Table1[[#This Row],[Age]]&lt;50,"40-49",
IF(Table1[[#This Row],[Age]]&lt;60,"50-59","60+"))))</f>
        <v>20-29</v>
      </c>
      <c r="M1153" t="s">
        <v>13</v>
      </c>
      <c r="N1153" t="s">
        <v>21</v>
      </c>
    </row>
    <row r="1154" spans="1:14" x14ac:dyDescent="0.35">
      <c r="A1154">
        <v>1253</v>
      </c>
      <c r="B1154" t="s">
        <v>15</v>
      </c>
      <c r="C1154" s="6">
        <v>44423</v>
      </c>
      <c r="D1154">
        <f>YEAR(Table1[[#This Row],[Join Date]])</f>
        <v>2021</v>
      </c>
      <c r="E1154" s="6" t="s">
        <v>48</v>
      </c>
      <c r="F1154" t="str">
        <f>IFERROR(YEAR(Table1[[#This Row],[Exit Date]]), " ")</f>
        <v xml:space="preserve"> </v>
      </c>
      <c r="G1154" t="str">
        <f>IFERROR((Table1[[#This Row],[Exit Year]]-Table1[[#This Row],[Join Year]])+1," ")</f>
        <v xml:space="preserve"> </v>
      </c>
      <c r="H1154" t="s">
        <v>48</v>
      </c>
      <c r="I1154" t="s">
        <v>11</v>
      </c>
      <c r="J1154" t="s">
        <v>18</v>
      </c>
      <c r="K1154">
        <v>50</v>
      </c>
      <c r="L1154" t="str">
        <f>IF(Table1[[#This Row],[Age]]&lt;30,"20-29",
IF(Table1[[#This Row],[Age]]&lt;40,"30-39",
IF(Table1[[#This Row],[Age]]&lt;50,"40-49",
IF(Table1[[#This Row],[Age]]&lt;60,"50-59","60+"))))</f>
        <v>50-59</v>
      </c>
      <c r="M1154" t="s">
        <v>13</v>
      </c>
      <c r="N1154" t="s">
        <v>37</v>
      </c>
    </row>
    <row r="1155" spans="1:14" x14ac:dyDescent="0.35">
      <c r="A1155">
        <v>1254</v>
      </c>
      <c r="B1155" t="s">
        <v>15</v>
      </c>
      <c r="C1155" s="6">
        <v>45087</v>
      </c>
      <c r="D1155">
        <f>YEAR(Table1[[#This Row],[Join Date]])</f>
        <v>2023</v>
      </c>
      <c r="E1155" s="6" t="s">
        <v>48</v>
      </c>
      <c r="F1155" t="str">
        <f>IFERROR(YEAR(Table1[[#This Row],[Exit Date]]), " ")</f>
        <v xml:space="preserve"> </v>
      </c>
      <c r="G1155" t="str">
        <f>IFERROR((Table1[[#This Row],[Exit Year]]-Table1[[#This Row],[Join Year]])+1," ")</f>
        <v xml:space="preserve"> </v>
      </c>
      <c r="H1155" t="s">
        <v>48</v>
      </c>
      <c r="I1155" t="s">
        <v>11</v>
      </c>
      <c r="J1155" t="s">
        <v>12</v>
      </c>
      <c r="K1155">
        <v>24</v>
      </c>
      <c r="L1155" t="str">
        <f>IF(Table1[[#This Row],[Age]]&lt;30,"20-29",
IF(Table1[[#This Row],[Age]]&lt;40,"30-39",
IF(Table1[[#This Row],[Age]]&lt;50,"40-49",
IF(Table1[[#This Row],[Age]]&lt;60,"50-59","60+"))))</f>
        <v>20-29</v>
      </c>
      <c r="M1155" t="s">
        <v>16</v>
      </c>
      <c r="N1155" t="s">
        <v>25</v>
      </c>
    </row>
    <row r="1156" spans="1:14" x14ac:dyDescent="0.35">
      <c r="A1156">
        <v>1255</v>
      </c>
      <c r="B1156" t="s">
        <v>15</v>
      </c>
      <c r="C1156" s="6">
        <v>43479</v>
      </c>
      <c r="D1156">
        <f>YEAR(Table1[[#This Row],[Join Date]])</f>
        <v>2019</v>
      </c>
      <c r="E1156" s="6">
        <v>44449</v>
      </c>
      <c r="F1156">
        <f>IFERROR(YEAR(Table1[[#This Row],[Exit Date]]), " ")</f>
        <v>2021</v>
      </c>
      <c r="G1156">
        <f>IFERROR((Table1[[#This Row],[Exit Year]]-Table1[[#This Row],[Join Year]])+1," ")</f>
        <v>3</v>
      </c>
      <c r="H1156" t="s">
        <v>22</v>
      </c>
      <c r="I1156" t="s">
        <v>23</v>
      </c>
      <c r="J1156" t="s">
        <v>18</v>
      </c>
      <c r="K1156">
        <v>50</v>
      </c>
      <c r="L1156" t="str">
        <f>IF(Table1[[#This Row],[Age]]&lt;30,"20-29",
IF(Table1[[#This Row],[Age]]&lt;40,"30-39",
IF(Table1[[#This Row],[Age]]&lt;50,"40-49",
IF(Table1[[#This Row],[Age]]&lt;60,"50-59","60+"))))</f>
        <v>50-59</v>
      </c>
      <c r="M1156" t="s">
        <v>13</v>
      </c>
      <c r="N1156" t="s">
        <v>35</v>
      </c>
    </row>
    <row r="1157" spans="1:14" x14ac:dyDescent="0.35">
      <c r="A1157">
        <v>1256</v>
      </c>
      <c r="B1157" t="s">
        <v>26</v>
      </c>
      <c r="C1157" s="6">
        <v>44749</v>
      </c>
      <c r="D1157">
        <f>YEAR(Table1[[#This Row],[Join Date]])</f>
        <v>2022</v>
      </c>
      <c r="E1157" s="6">
        <v>44972</v>
      </c>
      <c r="F1157">
        <f>IFERROR(YEAR(Table1[[#This Row],[Exit Date]]), " ")</f>
        <v>2023</v>
      </c>
      <c r="G1157">
        <f>IFERROR((Table1[[#This Row],[Exit Year]]-Table1[[#This Row],[Join Year]])+1," ")</f>
        <v>2</v>
      </c>
      <c r="H1157" t="s">
        <v>46</v>
      </c>
      <c r="I1157" t="s">
        <v>23</v>
      </c>
      <c r="J1157" t="s">
        <v>12</v>
      </c>
      <c r="K1157">
        <v>28</v>
      </c>
      <c r="L1157" t="str">
        <f>IF(Table1[[#This Row],[Age]]&lt;30,"20-29",
IF(Table1[[#This Row],[Age]]&lt;40,"30-39",
IF(Table1[[#This Row],[Age]]&lt;50,"40-49",
IF(Table1[[#This Row],[Age]]&lt;60,"50-59","60+"))))</f>
        <v>20-29</v>
      </c>
      <c r="M1157" t="s">
        <v>20</v>
      </c>
      <c r="N1157" t="s">
        <v>14</v>
      </c>
    </row>
    <row r="1158" spans="1:14" x14ac:dyDescent="0.35">
      <c r="A1158">
        <v>1257</v>
      </c>
      <c r="B1158" t="s">
        <v>29</v>
      </c>
      <c r="C1158" s="6">
        <v>45457</v>
      </c>
      <c r="D1158">
        <f>YEAR(Table1[[#This Row],[Join Date]])</f>
        <v>2024</v>
      </c>
      <c r="E1158" s="6" t="s">
        <v>48</v>
      </c>
      <c r="F1158" t="str">
        <f>IFERROR(YEAR(Table1[[#This Row],[Exit Date]]), " ")</f>
        <v xml:space="preserve"> </v>
      </c>
      <c r="G1158" t="str">
        <f>IFERROR((Table1[[#This Row],[Exit Year]]-Table1[[#This Row],[Join Year]])+1," ")</f>
        <v xml:space="preserve"> </v>
      </c>
      <c r="H1158" t="s">
        <v>48</v>
      </c>
      <c r="I1158" t="s">
        <v>11</v>
      </c>
      <c r="J1158" t="s">
        <v>12</v>
      </c>
      <c r="K1158">
        <v>40</v>
      </c>
      <c r="L1158" t="str">
        <f>IF(Table1[[#This Row],[Age]]&lt;30,"20-29",
IF(Table1[[#This Row],[Age]]&lt;40,"30-39",
IF(Table1[[#This Row],[Age]]&lt;50,"40-49",
IF(Table1[[#This Row],[Age]]&lt;60,"50-59","60+"))))</f>
        <v>40-49</v>
      </c>
      <c r="M1158" t="s">
        <v>39</v>
      </c>
      <c r="N1158" t="s">
        <v>17</v>
      </c>
    </row>
    <row r="1159" spans="1:14" x14ac:dyDescent="0.35">
      <c r="A1159">
        <v>1258</v>
      </c>
      <c r="B1159" t="s">
        <v>10</v>
      </c>
      <c r="C1159" s="6">
        <v>43304</v>
      </c>
      <c r="D1159">
        <f>YEAR(Table1[[#This Row],[Join Date]])</f>
        <v>2018</v>
      </c>
      <c r="E1159" s="6" t="s">
        <v>48</v>
      </c>
      <c r="F1159" t="str">
        <f>IFERROR(YEAR(Table1[[#This Row],[Exit Date]]), " ")</f>
        <v xml:space="preserve"> </v>
      </c>
      <c r="G1159" t="str">
        <f>IFERROR((Table1[[#This Row],[Exit Year]]-Table1[[#This Row],[Join Year]])+1," ")</f>
        <v xml:space="preserve"> </v>
      </c>
      <c r="H1159" t="s">
        <v>48</v>
      </c>
      <c r="I1159" t="s">
        <v>11</v>
      </c>
      <c r="J1159" t="s">
        <v>12</v>
      </c>
      <c r="K1159">
        <v>32</v>
      </c>
      <c r="L1159" t="str">
        <f>IF(Table1[[#This Row],[Age]]&lt;30,"20-29",
IF(Table1[[#This Row],[Age]]&lt;40,"30-39",
IF(Table1[[#This Row],[Age]]&lt;50,"40-49",
IF(Table1[[#This Row],[Age]]&lt;60,"50-59","60+"))))</f>
        <v>30-39</v>
      </c>
      <c r="M1159" t="s">
        <v>13</v>
      </c>
      <c r="N1159" t="s">
        <v>19</v>
      </c>
    </row>
    <row r="1160" spans="1:14" x14ac:dyDescent="0.35">
      <c r="A1160">
        <v>1259</v>
      </c>
      <c r="B1160" t="s">
        <v>15</v>
      </c>
      <c r="C1160" s="6">
        <v>44987</v>
      </c>
      <c r="D1160">
        <f>YEAR(Table1[[#This Row],[Join Date]])</f>
        <v>2023</v>
      </c>
      <c r="E1160" s="6" t="s">
        <v>48</v>
      </c>
      <c r="F1160" t="str">
        <f>IFERROR(YEAR(Table1[[#This Row],[Exit Date]]), " ")</f>
        <v xml:space="preserve"> </v>
      </c>
      <c r="G1160" t="str">
        <f>IFERROR((Table1[[#This Row],[Exit Year]]-Table1[[#This Row],[Join Year]])+1," ")</f>
        <v xml:space="preserve"> </v>
      </c>
      <c r="H1160" t="s">
        <v>48</v>
      </c>
      <c r="I1160" t="s">
        <v>11</v>
      </c>
      <c r="J1160" t="s">
        <v>18</v>
      </c>
      <c r="K1160">
        <v>50</v>
      </c>
      <c r="L1160" t="str">
        <f>IF(Table1[[#This Row],[Age]]&lt;30,"20-29",
IF(Table1[[#This Row],[Age]]&lt;40,"30-39",
IF(Table1[[#This Row],[Age]]&lt;50,"40-49",
IF(Table1[[#This Row],[Age]]&lt;60,"50-59","60+"))))</f>
        <v>50-59</v>
      </c>
      <c r="M1160" t="s">
        <v>16</v>
      </c>
      <c r="N1160" t="s">
        <v>21</v>
      </c>
    </row>
    <row r="1161" spans="1:14" x14ac:dyDescent="0.35">
      <c r="A1161">
        <v>1260</v>
      </c>
      <c r="B1161" t="s">
        <v>34</v>
      </c>
      <c r="C1161" s="6">
        <v>45326</v>
      </c>
      <c r="D1161">
        <f>YEAR(Table1[[#This Row],[Join Date]])</f>
        <v>2024</v>
      </c>
      <c r="E1161" s="6" t="s">
        <v>48</v>
      </c>
      <c r="F1161" t="str">
        <f>IFERROR(YEAR(Table1[[#This Row],[Exit Date]]), " ")</f>
        <v xml:space="preserve"> </v>
      </c>
      <c r="G1161" t="str">
        <f>IFERROR((Table1[[#This Row],[Exit Year]]-Table1[[#This Row],[Join Year]])+1," ")</f>
        <v xml:space="preserve"> </v>
      </c>
      <c r="H1161" t="s">
        <v>48</v>
      </c>
      <c r="I1161" t="s">
        <v>11</v>
      </c>
      <c r="J1161" t="s">
        <v>12</v>
      </c>
      <c r="K1161">
        <v>24</v>
      </c>
      <c r="L1161" t="str">
        <f>IF(Table1[[#This Row],[Age]]&lt;30,"20-29",
IF(Table1[[#This Row],[Age]]&lt;40,"30-39",
IF(Table1[[#This Row],[Age]]&lt;50,"40-49",
IF(Table1[[#This Row],[Age]]&lt;60,"50-59","60+"))))</f>
        <v>20-29</v>
      </c>
      <c r="M1161" t="s">
        <v>16</v>
      </c>
      <c r="N1161" t="s">
        <v>25</v>
      </c>
    </row>
    <row r="1162" spans="1:14" x14ac:dyDescent="0.35">
      <c r="A1162">
        <v>1261</v>
      </c>
      <c r="B1162" t="s">
        <v>36</v>
      </c>
      <c r="C1162" s="6">
        <v>45474</v>
      </c>
      <c r="D1162">
        <f>YEAR(Table1[[#This Row],[Join Date]])</f>
        <v>2024</v>
      </c>
      <c r="E1162" s="6" t="s">
        <v>48</v>
      </c>
      <c r="F1162" t="str">
        <f>IFERROR(YEAR(Table1[[#This Row],[Exit Date]]), " ")</f>
        <v xml:space="preserve"> </v>
      </c>
      <c r="G1162" t="str">
        <f>IFERROR((Table1[[#This Row],[Exit Year]]-Table1[[#This Row],[Join Year]])+1," ")</f>
        <v xml:space="preserve"> </v>
      </c>
      <c r="H1162" t="s">
        <v>48</v>
      </c>
      <c r="I1162" t="s">
        <v>11</v>
      </c>
      <c r="J1162" t="s">
        <v>18</v>
      </c>
      <c r="K1162">
        <v>36</v>
      </c>
      <c r="L1162" t="str">
        <f>IF(Table1[[#This Row],[Age]]&lt;30,"20-29",
IF(Table1[[#This Row],[Age]]&lt;40,"30-39",
IF(Table1[[#This Row],[Age]]&lt;50,"40-49",
IF(Table1[[#This Row],[Age]]&lt;60,"50-59","60+"))))</f>
        <v>30-39</v>
      </c>
      <c r="M1162" t="s">
        <v>20</v>
      </c>
      <c r="N1162" t="s">
        <v>28</v>
      </c>
    </row>
    <row r="1163" spans="1:14" x14ac:dyDescent="0.35">
      <c r="A1163">
        <v>1262</v>
      </c>
      <c r="B1163" t="s">
        <v>29</v>
      </c>
      <c r="C1163" s="6">
        <v>44227</v>
      </c>
      <c r="D1163">
        <f>YEAR(Table1[[#This Row],[Join Date]])</f>
        <v>2021</v>
      </c>
      <c r="E1163" s="6">
        <v>45322</v>
      </c>
      <c r="F1163">
        <f>IFERROR(YEAR(Table1[[#This Row],[Exit Date]]), " ")</f>
        <v>2024</v>
      </c>
      <c r="G1163">
        <f>IFERROR((Table1[[#This Row],[Exit Year]]-Table1[[#This Row],[Join Year]])+1," ")</f>
        <v>4</v>
      </c>
      <c r="H1163" t="s">
        <v>46</v>
      </c>
      <c r="I1163" t="s">
        <v>23</v>
      </c>
      <c r="J1163" t="s">
        <v>12</v>
      </c>
      <c r="K1163">
        <v>49</v>
      </c>
      <c r="L1163" t="str">
        <f>IF(Table1[[#This Row],[Age]]&lt;30,"20-29",
IF(Table1[[#This Row],[Age]]&lt;40,"30-39",
IF(Table1[[#This Row],[Age]]&lt;50,"40-49",
IF(Table1[[#This Row],[Age]]&lt;60,"50-59","60+"))))</f>
        <v>40-49</v>
      </c>
      <c r="M1163" t="s">
        <v>24</v>
      </c>
      <c r="N1163" t="s">
        <v>31</v>
      </c>
    </row>
    <row r="1164" spans="1:14" x14ac:dyDescent="0.35">
      <c r="A1164">
        <v>1263</v>
      </c>
      <c r="B1164" t="s">
        <v>10</v>
      </c>
      <c r="C1164" s="6">
        <v>43446</v>
      </c>
      <c r="D1164">
        <f>YEAR(Table1[[#This Row],[Join Date]])</f>
        <v>2018</v>
      </c>
      <c r="E1164" s="6">
        <v>43936</v>
      </c>
      <c r="F1164">
        <f>IFERROR(YEAR(Table1[[#This Row],[Exit Date]]), " ")</f>
        <v>2020</v>
      </c>
      <c r="G1164">
        <f>IFERROR((Table1[[#This Row],[Exit Year]]-Table1[[#This Row],[Join Year]])+1," ")</f>
        <v>3</v>
      </c>
      <c r="H1164" t="s">
        <v>38</v>
      </c>
      <c r="I1164" t="s">
        <v>23</v>
      </c>
      <c r="J1164" t="s">
        <v>18</v>
      </c>
      <c r="K1164">
        <v>43</v>
      </c>
      <c r="L1164" t="str">
        <f>IF(Table1[[#This Row],[Age]]&lt;30,"20-29",
IF(Table1[[#This Row],[Age]]&lt;40,"30-39",
IF(Table1[[#This Row],[Age]]&lt;50,"40-49",
IF(Table1[[#This Row],[Age]]&lt;60,"50-59","60+"))))</f>
        <v>40-49</v>
      </c>
      <c r="M1164" t="s">
        <v>13</v>
      </c>
      <c r="N1164" t="s">
        <v>32</v>
      </c>
    </row>
    <row r="1165" spans="1:14" x14ac:dyDescent="0.35">
      <c r="A1165">
        <v>1264</v>
      </c>
      <c r="B1165" t="s">
        <v>15</v>
      </c>
      <c r="C1165" s="6">
        <v>45314</v>
      </c>
      <c r="D1165">
        <f>YEAR(Table1[[#This Row],[Join Date]])</f>
        <v>2024</v>
      </c>
      <c r="E1165" s="6" t="s">
        <v>48</v>
      </c>
      <c r="F1165" t="str">
        <f>IFERROR(YEAR(Table1[[#This Row],[Exit Date]]), " ")</f>
        <v xml:space="preserve"> </v>
      </c>
      <c r="G1165" t="str">
        <f>IFERROR((Table1[[#This Row],[Exit Year]]-Table1[[#This Row],[Join Year]])+1," ")</f>
        <v xml:space="preserve"> </v>
      </c>
      <c r="H1165" t="s">
        <v>48</v>
      </c>
      <c r="I1165" t="s">
        <v>11</v>
      </c>
      <c r="J1165" t="s">
        <v>18</v>
      </c>
      <c r="K1165">
        <v>40</v>
      </c>
      <c r="L1165" t="str">
        <f>IF(Table1[[#This Row],[Age]]&lt;30,"20-29",
IF(Table1[[#This Row],[Age]]&lt;40,"30-39",
IF(Table1[[#This Row],[Age]]&lt;50,"40-49",
IF(Table1[[#This Row],[Age]]&lt;60,"50-59","60+"))))</f>
        <v>40-49</v>
      </c>
      <c r="M1165" t="s">
        <v>30</v>
      </c>
      <c r="N1165" t="s">
        <v>33</v>
      </c>
    </row>
    <row r="1166" spans="1:14" x14ac:dyDescent="0.35">
      <c r="A1166">
        <v>1265</v>
      </c>
      <c r="B1166" t="s">
        <v>15</v>
      </c>
      <c r="C1166" s="6">
        <v>43123</v>
      </c>
      <c r="D1166">
        <f>YEAR(Table1[[#This Row],[Join Date]])</f>
        <v>2018</v>
      </c>
      <c r="E1166" s="6" t="s">
        <v>48</v>
      </c>
      <c r="F1166" t="str">
        <f>IFERROR(YEAR(Table1[[#This Row],[Exit Date]]), " ")</f>
        <v xml:space="preserve"> </v>
      </c>
      <c r="G1166" t="str">
        <f>IFERROR((Table1[[#This Row],[Exit Year]]-Table1[[#This Row],[Join Year]])+1," ")</f>
        <v xml:space="preserve"> </v>
      </c>
      <c r="H1166" t="s">
        <v>48</v>
      </c>
      <c r="I1166" t="s">
        <v>11</v>
      </c>
      <c r="J1166" t="s">
        <v>12</v>
      </c>
      <c r="K1166">
        <v>42</v>
      </c>
      <c r="L1166" t="str">
        <f>IF(Table1[[#This Row],[Age]]&lt;30,"20-29",
IF(Table1[[#This Row],[Age]]&lt;40,"30-39",
IF(Table1[[#This Row],[Age]]&lt;50,"40-49",
IF(Table1[[#This Row],[Age]]&lt;60,"50-59","60+"))))</f>
        <v>40-49</v>
      </c>
      <c r="M1166" t="s">
        <v>13</v>
      </c>
      <c r="N1166" t="s">
        <v>35</v>
      </c>
    </row>
    <row r="1167" spans="1:14" x14ac:dyDescent="0.35">
      <c r="A1167">
        <v>1266</v>
      </c>
      <c r="B1167" t="s">
        <v>10</v>
      </c>
      <c r="C1167" s="6">
        <v>43717</v>
      </c>
      <c r="D1167">
        <f>YEAR(Table1[[#This Row],[Join Date]])</f>
        <v>2019</v>
      </c>
      <c r="E1167" s="6">
        <v>44677</v>
      </c>
      <c r="F1167">
        <f>IFERROR(YEAR(Table1[[#This Row],[Exit Date]]), " ")</f>
        <v>2022</v>
      </c>
      <c r="G1167">
        <f>IFERROR((Table1[[#This Row],[Exit Year]]-Table1[[#This Row],[Join Year]])+1," ")</f>
        <v>4</v>
      </c>
      <c r="H1167" t="s">
        <v>40</v>
      </c>
      <c r="I1167" t="s">
        <v>23</v>
      </c>
      <c r="J1167" t="s">
        <v>18</v>
      </c>
      <c r="K1167">
        <v>35</v>
      </c>
      <c r="L1167" t="str">
        <f>IF(Table1[[#This Row],[Age]]&lt;30,"20-29",
IF(Table1[[#This Row],[Age]]&lt;40,"30-39",
IF(Table1[[#This Row],[Age]]&lt;50,"40-49",
IF(Table1[[#This Row],[Age]]&lt;60,"50-59","60+"))))</f>
        <v>30-39</v>
      </c>
      <c r="M1167" t="s">
        <v>13</v>
      </c>
      <c r="N1167" t="s">
        <v>37</v>
      </c>
    </row>
    <row r="1168" spans="1:14" x14ac:dyDescent="0.35">
      <c r="A1168">
        <v>1267</v>
      </c>
      <c r="B1168" t="s">
        <v>29</v>
      </c>
      <c r="C1168" s="6">
        <v>43534</v>
      </c>
      <c r="D1168">
        <f>YEAR(Table1[[#This Row],[Join Date]])</f>
        <v>2019</v>
      </c>
      <c r="E1168" s="6">
        <v>44117</v>
      </c>
      <c r="F1168">
        <f>IFERROR(YEAR(Table1[[#This Row],[Exit Date]]), " ")</f>
        <v>2020</v>
      </c>
      <c r="G1168">
        <f>IFERROR((Table1[[#This Row],[Exit Year]]-Table1[[#This Row],[Join Year]])+1," ")</f>
        <v>2</v>
      </c>
      <c r="H1168" t="s">
        <v>46</v>
      </c>
      <c r="I1168" t="s">
        <v>23</v>
      </c>
      <c r="J1168" t="s">
        <v>18</v>
      </c>
      <c r="K1168">
        <v>31</v>
      </c>
      <c r="L1168" t="str">
        <f>IF(Table1[[#This Row],[Age]]&lt;30,"20-29",
IF(Table1[[#This Row],[Age]]&lt;40,"30-39",
IF(Table1[[#This Row],[Age]]&lt;50,"40-49",
IF(Table1[[#This Row],[Age]]&lt;60,"50-59","60+"))))</f>
        <v>30-39</v>
      </c>
      <c r="M1168" t="s">
        <v>16</v>
      </c>
      <c r="N1168" t="s">
        <v>19</v>
      </c>
    </row>
    <row r="1169" spans="1:14" x14ac:dyDescent="0.35">
      <c r="A1169">
        <v>1268</v>
      </c>
      <c r="B1169" t="s">
        <v>36</v>
      </c>
      <c r="C1169" s="6">
        <v>44619</v>
      </c>
      <c r="D1169">
        <f>YEAR(Table1[[#This Row],[Join Date]])</f>
        <v>2022</v>
      </c>
      <c r="E1169" s="6" t="s">
        <v>48</v>
      </c>
      <c r="F1169" t="str">
        <f>IFERROR(YEAR(Table1[[#This Row],[Exit Date]]), " ")</f>
        <v xml:space="preserve"> </v>
      </c>
      <c r="G1169" t="str">
        <f>IFERROR((Table1[[#This Row],[Exit Year]]-Table1[[#This Row],[Join Year]])+1," ")</f>
        <v xml:space="preserve"> </v>
      </c>
      <c r="H1169" t="s">
        <v>48</v>
      </c>
      <c r="I1169" t="s">
        <v>11</v>
      </c>
      <c r="J1169" t="s">
        <v>12</v>
      </c>
      <c r="K1169">
        <v>51</v>
      </c>
      <c r="L1169" t="str">
        <f>IF(Table1[[#This Row],[Age]]&lt;30,"20-29",
IF(Table1[[#This Row],[Age]]&lt;40,"30-39",
IF(Table1[[#This Row],[Age]]&lt;50,"40-49",
IF(Table1[[#This Row],[Age]]&lt;60,"50-59","60+"))))</f>
        <v>50-59</v>
      </c>
      <c r="M1169" t="s">
        <v>13</v>
      </c>
      <c r="N1169" t="s">
        <v>25</v>
      </c>
    </row>
    <row r="1170" spans="1:14" x14ac:dyDescent="0.35">
      <c r="A1170">
        <v>1269</v>
      </c>
      <c r="B1170" t="s">
        <v>10</v>
      </c>
      <c r="C1170" s="6">
        <v>45485</v>
      </c>
      <c r="D1170">
        <f>YEAR(Table1[[#This Row],[Join Date]])</f>
        <v>2024</v>
      </c>
      <c r="E1170" s="6" t="s">
        <v>48</v>
      </c>
      <c r="F1170" t="str">
        <f>IFERROR(YEAR(Table1[[#This Row],[Exit Date]]), " ")</f>
        <v xml:space="preserve"> </v>
      </c>
      <c r="G1170" t="str">
        <f>IFERROR((Table1[[#This Row],[Exit Year]]-Table1[[#This Row],[Join Year]])+1," ")</f>
        <v xml:space="preserve"> </v>
      </c>
      <c r="H1170" t="s">
        <v>48</v>
      </c>
      <c r="I1170" t="s">
        <v>11</v>
      </c>
      <c r="J1170" t="s">
        <v>18</v>
      </c>
      <c r="K1170">
        <v>48</v>
      </c>
      <c r="L1170" t="str">
        <f>IF(Table1[[#This Row],[Age]]&lt;30,"20-29",
IF(Table1[[#This Row],[Age]]&lt;40,"30-39",
IF(Table1[[#This Row],[Age]]&lt;50,"40-49",
IF(Table1[[#This Row],[Age]]&lt;60,"50-59","60+"))))</f>
        <v>40-49</v>
      </c>
      <c r="M1170" t="s">
        <v>20</v>
      </c>
      <c r="N1170" t="s">
        <v>35</v>
      </c>
    </row>
    <row r="1171" spans="1:14" x14ac:dyDescent="0.35">
      <c r="A1171">
        <v>1270</v>
      </c>
      <c r="B1171" t="s">
        <v>29</v>
      </c>
      <c r="C1171" s="6">
        <v>43588</v>
      </c>
      <c r="D1171">
        <f>YEAR(Table1[[#This Row],[Join Date]])</f>
        <v>2019</v>
      </c>
      <c r="E1171" s="6">
        <v>44896</v>
      </c>
      <c r="F1171">
        <f>IFERROR(YEAR(Table1[[#This Row],[Exit Date]]), " ")</f>
        <v>2022</v>
      </c>
      <c r="G1171">
        <f>IFERROR((Table1[[#This Row],[Exit Year]]-Table1[[#This Row],[Join Year]])+1," ")</f>
        <v>4</v>
      </c>
      <c r="H1171" t="s">
        <v>41</v>
      </c>
      <c r="I1171" t="s">
        <v>23</v>
      </c>
      <c r="J1171" t="s">
        <v>18</v>
      </c>
      <c r="K1171">
        <v>41</v>
      </c>
      <c r="L1171" t="str">
        <f>IF(Table1[[#This Row],[Age]]&lt;30,"20-29",
IF(Table1[[#This Row],[Age]]&lt;40,"30-39",
IF(Table1[[#This Row],[Age]]&lt;50,"40-49",
IF(Table1[[#This Row],[Age]]&lt;60,"50-59","60+"))))</f>
        <v>40-49</v>
      </c>
      <c r="M1171" t="s">
        <v>39</v>
      </c>
      <c r="N1171" t="s">
        <v>17</v>
      </c>
    </row>
    <row r="1172" spans="1:14" x14ac:dyDescent="0.35">
      <c r="A1172">
        <v>1271</v>
      </c>
      <c r="B1172" t="s">
        <v>36</v>
      </c>
      <c r="C1172" s="6">
        <v>44250</v>
      </c>
      <c r="D1172">
        <f>YEAR(Table1[[#This Row],[Join Date]])</f>
        <v>2021</v>
      </c>
      <c r="E1172" s="6">
        <v>45392</v>
      </c>
      <c r="F1172">
        <f>IFERROR(YEAR(Table1[[#This Row],[Exit Date]]), " ")</f>
        <v>2024</v>
      </c>
      <c r="G1172">
        <f>IFERROR((Table1[[#This Row],[Exit Year]]-Table1[[#This Row],[Join Year]])+1," ")</f>
        <v>4</v>
      </c>
      <c r="H1172" t="s">
        <v>46</v>
      </c>
      <c r="I1172" t="s">
        <v>23</v>
      </c>
      <c r="J1172" t="s">
        <v>18</v>
      </c>
      <c r="K1172">
        <v>35</v>
      </c>
      <c r="L1172" t="str">
        <f>IF(Table1[[#This Row],[Age]]&lt;30,"20-29",
IF(Table1[[#This Row],[Age]]&lt;40,"30-39",
IF(Table1[[#This Row],[Age]]&lt;50,"40-49",
IF(Table1[[#This Row],[Age]]&lt;60,"50-59","60+"))))</f>
        <v>30-39</v>
      </c>
      <c r="M1172" t="s">
        <v>13</v>
      </c>
      <c r="N1172" t="s">
        <v>19</v>
      </c>
    </row>
    <row r="1173" spans="1:14" x14ac:dyDescent="0.35">
      <c r="A1173">
        <v>1272</v>
      </c>
      <c r="B1173" t="s">
        <v>26</v>
      </c>
      <c r="C1173" s="6">
        <v>45244</v>
      </c>
      <c r="D1173">
        <f>YEAR(Table1[[#This Row],[Join Date]])</f>
        <v>2023</v>
      </c>
      <c r="E1173" s="6">
        <v>45446</v>
      </c>
      <c r="F1173">
        <f>IFERROR(YEAR(Table1[[#This Row],[Exit Date]]), " ")</f>
        <v>2024</v>
      </c>
      <c r="G1173">
        <f>IFERROR((Table1[[#This Row],[Exit Year]]-Table1[[#This Row],[Join Year]])+1," ")</f>
        <v>2</v>
      </c>
      <c r="H1173" t="s">
        <v>40</v>
      </c>
      <c r="I1173" t="s">
        <v>23</v>
      </c>
      <c r="J1173" t="s">
        <v>12</v>
      </c>
      <c r="K1173">
        <v>24</v>
      </c>
      <c r="L1173" t="str">
        <f>IF(Table1[[#This Row],[Age]]&lt;30,"20-29",
IF(Table1[[#This Row],[Age]]&lt;40,"30-39",
IF(Table1[[#This Row],[Age]]&lt;50,"40-49",
IF(Table1[[#This Row],[Age]]&lt;60,"50-59","60+"))))</f>
        <v>20-29</v>
      </c>
      <c r="M1173" t="s">
        <v>16</v>
      </c>
      <c r="N1173" t="s">
        <v>21</v>
      </c>
    </row>
    <row r="1174" spans="1:14" x14ac:dyDescent="0.35">
      <c r="A1174">
        <v>1273</v>
      </c>
      <c r="B1174" t="s">
        <v>15</v>
      </c>
      <c r="C1174" s="6">
        <v>45256</v>
      </c>
      <c r="D1174">
        <f>YEAR(Table1[[#This Row],[Join Date]])</f>
        <v>2023</v>
      </c>
      <c r="E1174" s="6" t="s">
        <v>48</v>
      </c>
      <c r="F1174" t="str">
        <f>IFERROR(YEAR(Table1[[#This Row],[Exit Date]]), " ")</f>
        <v xml:space="preserve"> </v>
      </c>
      <c r="G1174" t="str">
        <f>IFERROR((Table1[[#This Row],[Exit Year]]-Table1[[#This Row],[Join Year]])+1," ")</f>
        <v xml:space="preserve"> </v>
      </c>
      <c r="H1174" t="s">
        <v>48</v>
      </c>
      <c r="I1174" t="s">
        <v>11</v>
      </c>
      <c r="J1174" t="s">
        <v>18</v>
      </c>
      <c r="K1174">
        <v>41</v>
      </c>
      <c r="L1174" t="str">
        <f>IF(Table1[[#This Row],[Age]]&lt;30,"20-29",
IF(Table1[[#This Row],[Age]]&lt;40,"30-39",
IF(Table1[[#This Row],[Age]]&lt;50,"40-49",
IF(Table1[[#This Row],[Age]]&lt;60,"50-59","60+"))))</f>
        <v>40-49</v>
      </c>
      <c r="M1174" t="s">
        <v>16</v>
      </c>
      <c r="N1174" t="s">
        <v>25</v>
      </c>
    </row>
    <row r="1175" spans="1:14" x14ac:dyDescent="0.35">
      <c r="A1175">
        <v>1274</v>
      </c>
      <c r="B1175" t="s">
        <v>26</v>
      </c>
      <c r="C1175" s="6">
        <v>45465</v>
      </c>
      <c r="D1175">
        <f>YEAR(Table1[[#This Row],[Join Date]])</f>
        <v>2024</v>
      </c>
      <c r="E1175" s="6" t="s">
        <v>48</v>
      </c>
      <c r="F1175" t="str">
        <f>IFERROR(YEAR(Table1[[#This Row],[Exit Date]]), " ")</f>
        <v xml:space="preserve"> </v>
      </c>
      <c r="G1175" t="str">
        <f>IFERROR((Table1[[#This Row],[Exit Year]]-Table1[[#This Row],[Join Year]])+1," ")</f>
        <v xml:space="preserve"> </v>
      </c>
      <c r="H1175" t="s">
        <v>48</v>
      </c>
      <c r="I1175" t="s">
        <v>11</v>
      </c>
      <c r="J1175" t="s">
        <v>12</v>
      </c>
      <c r="K1175">
        <v>40</v>
      </c>
      <c r="L1175" t="str">
        <f>IF(Table1[[#This Row],[Age]]&lt;30,"20-29",
IF(Table1[[#This Row],[Age]]&lt;40,"30-39",
IF(Table1[[#This Row],[Age]]&lt;50,"40-49",
IF(Table1[[#This Row],[Age]]&lt;60,"50-59","60+"))))</f>
        <v>40-49</v>
      </c>
      <c r="M1175" t="s">
        <v>20</v>
      </c>
      <c r="N1175" t="s">
        <v>35</v>
      </c>
    </row>
    <row r="1176" spans="1:14" x14ac:dyDescent="0.35">
      <c r="A1176">
        <v>1275</v>
      </c>
      <c r="B1176" t="s">
        <v>10</v>
      </c>
      <c r="C1176" s="6">
        <v>43597</v>
      </c>
      <c r="D1176">
        <f>YEAR(Table1[[#This Row],[Join Date]])</f>
        <v>2019</v>
      </c>
      <c r="E1176" s="6" t="s">
        <v>48</v>
      </c>
      <c r="F1176" t="str">
        <f>IFERROR(YEAR(Table1[[#This Row],[Exit Date]]), " ")</f>
        <v xml:space="preserve"> </v>
      </c>
      <c r="G1176" t="str">
        <f>IFERROR((Table1[[#This Row],[Exit Year]]-Table1[[#This Row],[Join Year]])+1," ")</f>
        <v xml:space="preserve"> </v>
      </c>
      <c r="H1176" t="s">
        <v>48</v>
      </c>
      <c r="I1176" t="s">
        <v>11</v>
      </c>
      <c r="J1176" t="s">
        <v>12</v>
      </c>
      <c r="K1176">
        <v>48</v>
      </c>
      <c r="L1176" t="str">
        <f>IF(Table1[[#This Row],[Age]]&lt;30,"20-29",
IF(Table1[[#This Row],[Age]]&lt;40,"30-39",
IF(Table1[[#This Row],[Age]]&lt;50,"40-49",
IF(Table1[[#This Row],[Age]]&lt;60,"50-59","60+"))))</f>
        <v>40-49</v>
      </c>
      <c r="M1176" t="s">
        <v>24</v>
      </c>
      <c r="N1176" t="s">
        <v>14</v>
      </c>
    </row>
    <row r="1177" spans="1:14" x14ac:dyDescent="0.35">
      <c r="A1177">
        <v>1276</v>
      </c>
      <c r="B1177" t="s">
        <v>15</v>
      </c>
      <c r="C1177" s="6">
        <v>44866</v>
      </c>
      <c r="D1177">
        <f>YEAR(Table1[[#This Row],[Join Date]])</f>
        <v>2022</v>
      </c>
      <c r="E1177" s="6" t="s">
        <v>48</v>
      </c>
      <c r="F1177" t="str">
        <f>IFERROR(YEAR(Table1[[#This Row],[Exit Date]]), " ")</f>
        <v xml:space="preserve"> </v>
      </c>
      <c r="G1177" t="str">
        <f>IFERROR((Table1[[#This Row],[Exit Year]]-Table1[[#This Row],[Join Year]])+1," ")</f>
        <v xml:space="preserve"> </v>
      </c>
      <c r="H1177" t="s">
        <v>48</v>
      </c>
      <c r="I1177" t="s">
        <v>11</v>
      </c>
      <c r="J1177" t="s">
        <v>12</v>
      </c>
      <c r="K1177">
        <v>52</v>
      </c>
      <c r="L1177" t="str">
        <f>IF(Table1[[#This Row],[Age]]&lt;30,"20-29",
IF(Table1[[#This Row],[Age]]&lt;40,"30-39",
IF(Table1[[#This Row],[Age]]&lt;50,"40-49",
IF(Table1[[#This Row],[Age]]&lt;60,"50-59","60+"))))</f>
        <v>50-59</v>
      </c>
      <c r="M1177" t="s">
        <v>13</v>
      </c>
      <c r="N1177" t="s">
        <v>19</v>
      </c>
    </row>
    <row r="1178" spans="1:14" x14ac:dyDescent="0.35">
      <c r="A1178">
        <v>1277</v>
      </c>
      <c r="B1178" t="s">
        <v>34</v>
      </c>
      <c r="C1178" s="6">
        <v>44006</v>
      </c>
      <c r="D1178">
        <f>YEAR(Table1[[#This Row],[Join Date]])</f>
        <v>2020</v>
      </c>
      <c r="E1178" s="6">
        <v>44463</v>
      </c>
      <c r="F1178">
        <f>IFERROR(YEAR(Table1[[#This Row],[Exit Date]]), " ")</f>
        <v>2021</v>
      </c>
      <c r="G1178">
        <f>IFERROR((Table1[[#This Row],[Exit Year]]-Table1[[#This Row],[Join Year]])+1," ")</f>
        <v>2</v>
      </c>
      <c r="H1178" t="s">
        <v>46</v>
      </c>
      <c r="I1178" t="s">
        <v>23</v>
      </c>
      <c r="J1178" t="s">
        <v>12</v>
      </c>
      <c r="K1178">
        <v>33</v>
      </c>
      <c r="L1178" t="str">
        <f>IF(Table1[[#This Row],[Age]]&lt;30,"20-29",
IF(Table1[[#This Row],[Age]]&lt;40,"30-39",
IF(Table1[[#This Row],[Age]]&lt;50,"40-49",
IF(Table1[[#This Row],[Age]]&lt;60,"50-59","60+"))))</f>
        <v>30-39</v>
      </c>
      <c r="M1178" t="s">
        <v>44</v>
      </c>
      <c r="N1178" t="s">
        <v>21</v>
      </c>
    </row>
    <row r="1179" spans="1:14" x14ac:dyDescent="0.35">
      <c r="A1179">
        <v>1278</v>
      </c>
      <c r="B1179" t="s">
        <v>26</v>
      </c>
      <c r="C1179" s="6">
        <v>45095</v>
      </c>
      <c r="D1179">
        <f>YEAR(Table1[[#This Row],[Join Date]])</f>
        <v>2023</v>
      </c>
      <c r="E1179" s="6" t="s">
        <v>48</v>
      </c>
      <c r="F1179" t="str">
        <f>IFERROR(YEAR(Table1[[#This Row],[Exit Date]]), " ")</f>
        <v xml:space="preserve"> </v>
      </c>
      <c r="G1179" t="str">
        <f>IFERROR((Table1[[#This Row],[Exit Year]]-Table1[[#This Row],[Join Year]])+1," ")</f>
        <v xml:space="preserve"> </v>
      </c>
      <c r="H1179" t="s">
        <v>48</v>
      </c>
      <c r="I1179" t="s">
        <v>11</v>
      </c>
      <c r="J1179" t="s">
        <v>18</v>
      </c>
      <c r="K1179">
        <v>51</v>
      </c>
      <c r="L1179" t="str">
        <f>IF(Table1[[#This Row],[Age]]&lt;30,"20-29",
IF(Table1[[#This Row],[Age]]&lt;40,"30-39",
IF(Table1[[#This Row],[Age]]&lt;50,"40-49",
IF(Table1[[#This Row],[Age]]&lt;60,"50-59","60+"))))</f>
        <v>50-59</v>
      </c>
      <c r="M1179" t="s">
        <v>13</v>
      </c>
      <c r="N1179" t="s">
        <v>37</v>
      </c>
    </row>
    <row r="1180" spans="1:14" x14ac:dyDescent="0.35">
      <c r="A1180">
        <v>1279</v>
      </c>
      <c r="B1180" t="s">
        <v>10</v>
      </c>
      <c r="C1180" s="6">
        <v>44360</v>
      </c>
      <c r="D1180">
        <f>YEAR(Table1[[#This Row],[Join Date]])</f>
        <v>2021</v>
      </c>
      <c r="E1180" s="6">
        <v>44755</v>
      </c>
      <c r="F1180">
        <f>IFERROR(YEAR(Table1[[#This Row],[Exit Date]]), " ")</f>
        <v>2022</v>
      </c>
      <c r="G1180">
        <f>IFERROR((Table1[[#This Row],[Exit Year]]-Table1[[#This Row],[Join Year]])+1," ")</f>
        <v>2</v>
      </c>
      <c r="H1180" t="s">
        <v>38</v>
      </c>
      <c r="I1180" t="s">
        <v>23</v>
      </c>
      <c r="J1180" t="s">
        <v>18</v>
      </c>
      <c r="K1180">
        <v>46</v>
      </c>
      <c r="L1180" t="str">
        <f>IF(Table1[[#This Row],[Age]]&lt;30,"20-29",
IF(Table1[[#This Row],[Age]]&lt;40,"30-39",
IF(Table1[[#This Row],[Age]]&lt;50,"40-49",
IF(Table1[[#This Row],[Age]]&lt;60,"50-59","60+"))))</f>
        <v>40-49</v>
      </c>
      <c r="M1180" t="s">
        <v>13</v>
      </c>
      <c r="N1180" t="s">
        <v>25</v>
      </c>
    </row>
    <row r="1181" spans="1:14" x14ac:dyDescent="0.35">
      <c r="A1181">
        <v>1280</v>
      </c>
      <c r="B1181" t="s">
        <v>26</v>
      </c>
      <c r="C1181" s="6">
        <v>43419</v>
      </c>
      <c r="D1181">
        <f>YEAR(Table1[[#This Row],[Join Date]])</f>
        <v>2018</v>
      </c>
      <c r="E1181" s="6">
        <v>44303</v>
      </c>
      <c r="F1181">
        <f>IFERROR(YEAR(Table1[[#This Row],[Exit Date]]), " ")</f>
        <v>2021</v>
      </c>
      <c r="G1181">
        <f>IFERROR((Table1[[#This Row],[Exit Year]]-Table1[[#This Row],[Join Year]])+1," ")</f>
        <v>4</v>
      </c>
      <c r="H1181" t="s">
        <v>22</v>
      </c>
      <c r="I1181" t="s">
        <v>23</v>
      </c>
      <c r="J1181" t="s">
        <v>12</v>
      </c>
      <c r="K1181">
        <v>53</v>
      </c>
      <c r="L1181" t="str">
        <f>IF(Table1[[#This Row],[Age]]&lt;30,"20-29",
IF(Table1[[#This Row],[Age]]&lt;40,"30-39",
IF(Table1[[#This Row],[Age]]&lt;50,"40-49",
IF(Table1[[#This Row],[Age]]&lt;60,"50-59","60+"))))</f>
        <v>50-59</v>
      </c>
      <c r="M1181" t="s">
        <v>16</v>
      </c>
      <c r="N1181" t="s">
        <v>35</v>
      </c>
    </row>
    <row r="1182" spans="1:14" x14ac:dyDescent="0.35">
      <c r="A1182">
        <v>1281</v>
      </c>
      <c r="B1182" t="s">
        <v>36</v>
      </c>
      <c r="C1182" s="6">
        <v>44249</v>
      </c>
      <c r="D1182">
        <f>YEAR(Table1[[#This Row],[Join Date]])</f>
        <v>2021</v>
      </c>
      <c r="E1182" s="6" t="s">
        <v>48</v>
      </c>
      <c r="F1182" t="str">
        <f>IFERROR(YEAR(Table1[[#This Row],[Exit Date]]), " ")</f>
        <v xml:space="preserve"> </v>
      </c>
      <c r="G1182" t="str">
        <f>IFERROR((Table1[[#This Row],[Exit Year]]-Table1[[#This Row],[Join Year]])+1," ")</f>
        <v xml:space="preserve"> </v>
      </c>
      <c r="H1182" t="s">
        <v>48</v>
      </c>
      <c r="I1182" t="s">
        <v>11</v>
      </c>
      <c r="J1182" t="s">
        <v>12</v>
      </c>
      <c r="K1182">
        <v>35</v>
      </c>
      <c r="L1182" t="str">
        <f>IF(Table1[[#This Row],[Age]]&lt;30,"20-29",
IF(Table1[[#This Row],[Age]]&lt;40,"30-39",
IF(Table1[[#This Row],[Age]]&lt;50,"40-49",
IF(Table1[[#This Row],[Age]]&lt;60,"50-59","60+"))))</f>
        <v>30-39</v>
      </c>
      <c r="M1182" t="s">
        <v>13</v>
      </c>
      <c r="N1182" t="s">
        <v>14</v>
      </c>
    </row>
    <row r="1183" spans="1:14" x14ac:dyDescent="0.35">
      <c r="A1183">
        <v>1282</v>
      </c>
      <c r="B1183" t="s">
        <v>10</v>
      </c>
      <c r="C1183" s="6">
        <v>45533</v>
      </c>
      <c r="D1183">
        <f>YEAR(Table1[[#This Row],[Join Date]])</f>
        <v>2024</v>
      </c>
      <c r="E1183" s="6" t="s">
        <v>48</v>
      </c>
      <c r="F1183" t="str">
        <f>IFERROR(YEAR(Table1[[#This Row],[Exit Date]]), " ")</f>
        <v xml:space="preserve"> </v>
      </c>
      <c r="G1183" t="str">
        <f>IFERROR((Table1[[#This Row],[Exit Year]]-Table1[[#This Row],[Join Year]])+1," ")</f>
        <v xml:space="preserve"> </v>
      </c>
      <c r="H1183" t="s">
        <v>48</v>
      </c>
      <c r="I1183" t="s">
        <v>11</v>
      </c>
      <c r="J1183" t="s">
        <v>12</v>
      </c>
      <c r="K1183">
        <v>32</v>
      </c>
      <c r="L1183" t="str">
        <f>IF(Table1[[#This Row],[Age]]&lt;30,"20-29",
IF(Table1[[#This Row],[Age]]&lt;40,"30-39",
IF(Table1[[#This Row],[Age]]&lt;50,"40-49",
IF(Table1[[#This Row],[Age]]&lt;60,"50-59","60+"))))</f>
        <v>30-39</v>
      </c>
      <c r="M1183" t="s">
        <v>20</v>
      </c>
      <c r="N1183" t="s">
        <v>17</v>
      </c>
    </row>
    <row r="1184" spans="1:14" x14ac:dyDescent="0.35">
      <c r="A1184">
        <v>1283</v>
      </c>
      <c r="B1184" t="s">
        <v>36</v>
      </c>
      <c r="C1184" s="6">
        <v>44377</v>
      </c>
      <c r="D1184">
        <f>YEAR(Table1[[#This Row],[Join Date]])</f>
        <v>2021</v>
      </c>
      <c r="E1184" s="6" t="s">
        <v>48</v>
      </c>
      <c r="F1184" t="str">
        <f>IFERROR(YEAR(Table1[[#This Row],[Exit Date]]), " ")</f>
        <v xml:space="preserve"> </v>
      </c>
      <c r="G1184" t="str">
        <f>IFERROR((Table1[[#This Row],[Exit Year]]-Table1[[#This Row],[Join Year]])+1," ")</f>
        <v xml:space="preserve"> </v>
      </c>
      <c r="H1184" t="s">
        <v>48</v>
      </c>
      <c r="I1184" t="s">
        <v>11</v>
      </c>
      <c r="J1184" t="s">
        <v>18</v>
      </c>
      <c r="K1184">
        <v>46</v>
      </c>
      <c r="L1184" t="str">
        <f>IF(Table1[[#This Row],[Age]]&lt;30,"20-29",
IF(Table1[[#This Row],[Age]]&lt;40,"30-39",
IF(Table1[[#This Row],[Age]]&lt;50,"40-49",
IF(Table1[[#This Row],[Age]]&lt;60,"50-59","60+"))))</f>
        <v>40-49</v>
      </c>
      <c r="M1184" t="s">
        <v>39</v>
      </c>
      <c r="N1184" t="s">
        <v>19</v>
      </c>
    </row>
    <row r="1185" spans="1:14" x14ac:dyDescent="0.35">
      <c r="A1185">
        <v>1284</v>
      </c>
      <c r="B1185" t="s">
        <v>10</v>
      </c>
      <c r="C1185" s="6">
        <v>44088</v>
      </c>
      <c r="D1185">
        <f>YEAR(Table1[[#This Row],[Join Date]])</f>
        <v>2020</v>
      </c>
      <c r="E1185" s="6" t="s">
        <v>48</v>
      </c>
      <c r="F1185" t="str">
        <f>IFERROR(YEAR(Table1[[#This Row],[Exit Date]]), " ")</f>
        <v xml:space="preserve"> </v>
      </c>
      <c r="G1185" t="str">
        <f>IFERROR((Table1[[#This Row],[Exit Year]]-Table1[[#This Row],[Join Year]])+1," ")</f>
        <v xml:space="preserve"> </v>
      </c>
      <c r="H1185" t="s">
        <v>48</v>
      </c>
      <c r="I1185" t="s">
        <v>11</v>
      </c>
      <c r="J1185" t="s">
        <v>12</v>
      </c>
      <c r="K1185">
        <v>50</v>
      </c>
      <c r="L1185" t="str">
        <f>IF(Table1[[#This Row],[Age]]&lt;30,"20-29",
IF(Table1[[#This Row],[Age]]&lt;40,"30-39",
IF(Table1[[#This Row],[Age]]&lt;50,"40-49",
IF(Table1[[#This Row],[Age]]&lt;60,"50-59","60+"))))</f>
        <v>50-59</v>
      </c>
      <c r="M1185" t="s">
        <v>13</v>
      </c>
      <c r="N1185" t="s">
        <v>21</v>
      </c>
    </row>
    <row r="1186" spans="1:14" x14ac:dyDescent="0.35">
      <c r="A1186">
        <v>1285</v>
      </c>
      <c r="B1186" t="s">
        <v>26</v>
      </c>
      <c r="C1186" s="6">
        <v>43373</v>
      </c>
      <c r="D1186">
        <f>YEAR(Table1[[#This Row],[Join Date]])</f>
        <v>2018</v>
      </c>
      <c r="E1186" s="6">
        <v>44825</v>
      </c>
      <c r="F1186">
        <f>IFERROR(YEAR(Table1[[#This Row],[Exit Date]]), " ")</f>
        <v>2022</v>
      </c>
      <c r="G1186">
        <f>IFERROR((Table1[[#This Row],[Exit Year]]-Table1[[#This Row],[Join Year]])+1," ")</f>
        <v>5</v>
      </c>
      <c r="H1186" t="s">
        <v>27</v>
      </c>
      <c r="I1186" t="s">
        <v>23</v>
      </c>
      <c r="J1186" t="s">
        <v>12</v>
      </c>
      <c r="K1186">
        <v>66</v>
      </c>
      <c r="L1186" t="str">
        <f>IF(Table1[[#This Row],[Age]]&lt;30,"20-29",
IF(Table1[[#This Row],[Age]]&lt;40,"30-39",
IF(Table1[[#This Row],[Age]]&lt;50,"40-49",
IF(Table1[[#This Row],[Age]]&lt;60,"50-59","60+"))))</f>
        <v>60+</v>
      </c>
      <c r="M1186" t="s">
        <v>16</v>
      </c>
      <c r="N1186" t="s">
        <v>25</v>
      </c>
    </row>
    <row r="1187" spans="1:14" x14ac:dyDescent="0.35">
      <c r="A1187">
        <v>1286</v>
      </c>
      <c r="B1187" t="s">
        <v>26</v>
      </c>
      <c r="C1187" s="6">
        <v>43314</v>
      </c>
      <c r="D1187">
        <f>YEAR(Table1[[#This Row],[Join Date]])</f>
        <v>2018</v>
      </c>
      <c r="E1187" s="6" t="s">
        <v>48</v>
      </c>
      <c r="F1187" t="str">
        <f>IFERROR(YEAR(Table1[[#This Row],[Exit Date]]), " ")</f>
        <v xml:space="preserve"> </v>
      </c>
      <c r="G1187" t="str">
        <f>IFERROR((Table1[[#This Row],[Exit Year]]-Table1[[#This Row],[Join Year]])+1," ")</f>
        <v xml:space="preserve"> </v>
      </c>
      <c r="H1187" t="s">
        <v>48</v>
      </c>
      <c r="I1187" t="s">
        <v>11</v>
      </c>
      <c r="J1187" t="s">
        <v>18</v>
      </c>
      <c r="K1187">
        <v>29</v>
      </c>
      <c r="L1187" t="str">
        <f>IF(Table1[[#This Row],[Age]]&lt;30,"20-29",
IF(Table1[[#This Row],[Age]]&lt;40,"30-39",
IF(Table1[[#This Row],[Age]]&lt;50,"40-49",
IF(Table1[[#This Row],[Age]]&lt;60,"50-59","60+"))))</f>
        <v>20-29</v>
      </c>
      <c r="M1187" t="s">
        <v>16</v>
      </c>
      <c r="N1187" t="s">
        <v>28</v>
      </c>
    </row>
    <row r="1188" spans="1:14" x14ac:dyDescent="0.35">
      <c r="A1188">
        <v>1287</v>
      </c>
      <c r="B1188" t="s">
        <v>26</v>
      </c>
      <c r="C1188" s="6">
        <v>44418</v>
      </c>
      <c r="D1188">
        <f>YEAR(Table1[[#This Row],[Join Date]])</f>
        <v>2021</v>
      </c>
      <c r="E1188" s="6">
        <v>45628</v>
      </c>
      <c r="F1188">
        <f>IFERROR(YEAR(Table1[[#This Row],[Exit Date]]), " ")</f>
        <v>2024</v>
      </c>
      <c r="G1188">
        <f>IFERROR((Table1[[#This Row],[Exit Year]]-Table1[[#This Row],[Join Year]])+1," ")</f>
        <v>4</v>
      </c>
      <c r="H1188" t="s">
        <v>22</v>
      </c>
      <c r="I1188" t="s">
        <v>23</v>
      </c>
      <c r="J1188" t="s">
        <v>12</v>
      </c>
      <c r="K1188">
        <v>27</v>
      </c>
      <c r="L1188" t="str">
        <f>IF(Table1[[#This Row],[Age]]&lt;30,"20-29",
IF(Table1[[#This Row],[Age]]&lt;40,"30-39",
IF(Table1[[#This Row],[Age]]&lt;50,"40-49",
IF(Table1[[#This Row],[Age]]&lt;60,"50-59","60+"))))</f>
        <v>20-29</v>
      </c>
      <c r="M1188" t="s">
        <v>20</v>
      </c>
      <c r="N1188" t="s">
        <v>31</v>
      </c>
    </row>
    <row r="1189" spans="1:14" x14ac:dyDescent="0.35">
      <c r="A1189">
        <v>1288</v>
      </c>
      <c r="B1189" t="s">
        <v>34</v>
      </c>
      <c r="C1189" s="6">
        <v>44324</v>
      </c>
      <c r="D1189">
        <f>YEAR(Table1[[#This Row],[Join Date]])</f>
        <v>2021</v>
      </c>
      <c r="E1189" s="6">
        <v>45076</v>
      </c>
      <c r="F1189">
        <f>IFERROR(YEAR(Table1[[#This Row],[Exit Date]]), " ")</f>
        <v>2023</v>
      </c>
      <c r="G1189">
        <f>IFERROR((Table1[[#This Row],[Exit Year]]-Table1[[#This Row],[Join Year]])+1," ")</f>
        <v>3</v>
      </c>
      <c r="H1189" t="s">
        <v>40</v>
      </c>
      <c r="I1189" t="s">
        <v>23</v>
      </c>
      <c r="J1189" t="s">
        <v>18</v>
      </c>
      <c r="K1189">
        <v>31</v>
      </c>
      <c r="L1189" t="str">
        <f>IF(Table1[[#This Row],[Age]]&lt;30,"20-29",
IF(Table1[[#This Row],[Age]]&lt;40,"30-39",
IF(Table1[[#This Row],[Age]]&lt;50,"40-49",
IF(Table1[[#This Row],[Age]]&lt;60,"50-59","60+"))))</f>
        <v>30-39</v>
      </c>
      <c r="M1189" t="s">
        <v>24</v>
      </c>
      <c r="N1189" t="s">
        <v>32</v>
      </c>
    </row>
    <row r="1190" spans="1:14" x14ac:dyDescent="0.35">
      <c r="A1190">
        <v>1289</v>
      </c>
      <c r="B1190" t="s">
        <v>10</v>
      </c>
      <c r="C1190" s="6">
        <v>43513</v>
      </c>
      <c r="D1190">
        <f>YEAR(Table1[[#This Row],[Join Date]])</f>
        <v>2019</v>
      </c>
      <c r="E1190" s="6">
        <v>44923</v>
      </c>
      <c r="F1190">
        <f>IFERROR(YEAR(Table1[[#This Row],[Exit Date]]), " ")</f>
        <v>2022</v>
      </c>
      <c r="G1190">
        <f>IFERROR((Table1[[#This Row],[Exit Year]]-Table1[[#This Row],[Join Year]])+1," ")</f>
        <v>4</v>
      </c>
      <c r="H1190" t="s">
        <v>38</v>
      </c>
      <c r="I1190" t="s">
        <v>23</v>
      </c>
      <c r="J1190" t="s">
        <v>18</v>
      </c>
      <c r="K1190">
        <v>24</v>
      </c>
      <c r="L1190" t="str">
        <f>IF(Table1[[#This Row],[Age]]&lt;30,"20-29",
IF(Table1[[#This Row],[Age]]&lt;40,"30-39",
IF(Table1[[#This Row],[Age]]&lt;50,"40-49",
IF(Table1[[#This Row],[Age]]&lt;60,"50-59","60+"))))</f>
        <v>20-29</v>
      </c>
      <c r="M1190" t="s">
        <v>13</v>
      </c>
      <c r="N1190" t="s">
        <v>33</v>
      </c>
    </row>
    <row r="1191" spans="1:14" x14ac:dyDescent="0.35">
      <c r="A1191">
        <v>1290</v>
      </c>
      <c r="B1191" t="s">
        <v>36</v>
      </c>
      <c r="C1191" s="6">
        <v>44180</v>
      </c>
      <c r="D1191">
        <f>YEAR(Table1[[#This Row],[Join Date]])</f>
        <v>2020</v>
      </c>
      <c r="E1191" s="6" t="s">
        <v>48</v>
      </c>
      <c r="F1191" t="str">
        <f>IFERROR(YEAR(Table1[[#This Row],[Exit Date]]), " ")</f>
        <v xml:space="preserve"> </v>
      </c>
      <c r="G1191" t="str">
        <f>IFERROR((Table1[[#This Row],[Exit Year]]-Table1[[#This Row],[Join Year]])+1," ")</f>
        <v xml:space="preserve"> </v>
      </c>
      <c r="H1191" t="s">
        <v>48</v>
      </c>
      <c r="I1191" t="s">
        <v>11</v>
      </c>
      <c r="J1191" t="s">
        <v>12</v>
      </c>
      <c r="K1191">
        <v>37</v>
      </c>
      <c r="L1191" t="str">
        <f>IF(Table1[[#This Row],[Age]]&lt;30,"20-29",
IF(Table1[[#This Row],[Age]]&lt;40,"30-39",
IF(Table1[[#This Row],[Age]]&lt;50,"40-49",
IF(Table1[[#This Row],[Age]]&lt;60,"50-59","60+"))))</f>
        <v>30-39</v>
      </c>
      <c r="M1191" t="s">
        <v>30</v>
      </c>
      <c r="N1191" t="s">
        <v>35</v>
      </c>
    </row>
    <row r="1192" spans="1:14" x14ac:dyDescent="0.35">
      <c r="A1192">
        <v>1291</v>
      </c>
      <c r="B1192" t="s">
        <v>34</v>
      </c>
      <c r="C1192" s="6">
        <v>44099</v>
      </c>
      <c r="D1192">
        <f>YEAR(Table1[[#This Row],[Join Date]])</f>
        <v>2020</v>
      </c>
      <c r="E1192" s="6" t="s">
        <v>48</v>
      </c>
      <c r="F1192" t="str">
        <f>IFERROR(YEAR(Table1[[#This Row],[Exit Date]]), " ")</f>
        <v xml:space="preserve"> </v>
      </c>
      <c r="G1192" t="str">
        <f>IFERROR((Table1[[#This Row],[Exit Year]]-Table1[[#This Row],[Join Year]])+1," ")</f>
        <v xml:space="preserve"> </v>
      </c>
      <c r="H1192" t="s">
        <v>48</v>
      </c>
      <c r="I1192" t="s">
        <v>11</v>
      </c>
      <c r="J1192" t="s">
        <v>12</v>
      </c>
      <c r="K1192">
        <v>23</v>
      </c>
      <c r="L1192" t="str">
        <f>IF(Table1[[#This Row],[Age]]&lt;30,"20-29",
IF(Table1[[#This Row],[Age]]&lt;40,"30-39",
IF(Table1[[#This Row],[Age]]&lt;50,"40-49",
IF(Table1[[#This Row],[Age]]&lt;60,"50-59","60+"))))</f>
        <v>20-29</v>
      </c>
      <c r="M1192" t="s">
        <v>13</v>
      </c>
      <c r="N1192" t="s">
        <v>37</v>
      </c>
    </row>
    <row r="1193" spans="1:14" x14ac:dyDescent="0.35">
      <c r="A1193">
        <v>1292</v>
      </c>
      <c r="B1193" t="s">
        <v>34</v>
      </c>
      <c r="C1193" s="6">
        <v>45632</v>
      </c>
      <c r="D1193">
        <f>YEAR(Table1[[#This Row],[Join Date]])</f>
        <v>2024</v>
      </c>
      <c r="E1193" s="6" t="s">
        <v>48</v>
      </c>
      <c r="F1193" t="str">
        <f>IFERROR(YEAR(Table1[[#This Row],[Exit Date]]), " ")</f>
        <v xml:space="preserve"> </v>
      </c>
      <c r="G1193" t="str">
        <f>IFERROR((Table1[[#This Row],[Exit Year]]-Table1[[#This Row],[Join Year]])+1," ")</f>
        <v xml:space="preserve"> </v>
      </c>
      <c r="H1193" t="s">
        <v>48</v>
      </c>
      <c r="I1193" t="s">
        <v>11</v>
      </c>
      <c r="J1193" t="s">
        <v>12</v>
      </c>
      <c r="K1193">
        <v>31</v>
      </c>
      <c r="L1193" t="str">
        <f>IF(Table1[[#This Row],[Age]]&lt;30,"20-29",
IF(Table1[[#This Row],[Age]]&lt;40,"30-39",
IF(Table1[[#This Row],[Age]]&lt;50,"40-49",
IF(Table1[[#This Row],[Age]]&lt;60,"50-59","60+"))))</f>
        <v>30-39</v>
      </c>
      <c r="M1193" t="s">
        <v>13</v>
      </c>
      <c r="N1193" t="s">
        <v>19</v>
      </c>
    </row>
    <row r="1194" spans="1:14" x14ac:dyDescent="0.35">
      <c r="A1194">
        <v>1293</v>
      </c>
      <c r="B1194" t="s">
        <v>36</v>
      </c>
      <c r="C1194" s="6">
        <v>45294</v>
      </c>
      <c r="D1194">
        <f>YEAR(Table1[[#This Row],[Join Date]])</f>
        <v>2024</v>
      </c>
      <c r="E1194" s="6" t="s">
        <v>48</v>
      </c>
      <c r="F1194" t="str">
        <f>IFERROR(YEAR(Table1[[#This Row],[Exit Date]]), " ")</f>
        <v xml:space="preserve"> </v>
      </c>
      <c r="G1194" t="str">
        <f>IFERROR((Table1[[#This Row],[Exit Year]]-Table1[[#This Row],[Join Year]])+1," ")</f>
        <v xml:space="preserve"> </v>
      </c>
      <c r="H1194" t="s">
        <v>48</v>
      </c>
      <c r="I1194" t="s">
        <v>11</v>
      </c>
      <c r="J1194" t="s">
        <v>18</v>
      </c>
      <c r="K1194">
        <v>52</v>
      </c>
      <c r="L1194" t="str">
        <f>IF(Table1[[#This Row],[Age]]&lt;30,"20-29",
IF(Table1[[#This Row],[Age]]&lt;40,"30-39",
IF(Table1[[#This Row],[Age]]&lt;50,"40-49",
IF(Table1[[#This Row],[Age]]&lt;60,"50-59","60+"))))</f>
        <v>50-59</v>
      </c>
      <c r="M1194" t="s">
        <v>16</v>
      </c>
      <c r="N1194" t="s">
        <v>25</v>
      </c>
    </row>
    <row r="1195" spans="1:14" x14ac:dyDescent="0.35">
      <c r="A1195">
        <v>1294</v>
      </c>
      <c r="B1195" t="s">
        <v>26</v>
      </c>
      <c r="C1195" s="6">
        <v>44590</v>
      </c>
      <c r="D1195">
        <f>YEAR(Table1[[#This Row],[Join Date]])</f>
        <v>2022</v>
      </c>
      <c r="E1195" s="6" t="s">
        <v>48</v>
      </c>
      <c r="F1195" t="str">
        <f>IFERROR(YEAR(Table1[[#This Row],[Exit Date]]), " ")</f>
        <v xml:space="preserve"> </v>
      </c>
      <c r="G1195" t="str">
        <f>IFERROR((Table1[[#This Row],[Exit Year]]-Table1[[#This Row],[Join Year]])+1," ")</f>
        <v xml:space="preserve"> </v>
      </c>
      <c r="H1195" t="s">
        <v>48</v>
      </c>
      <c r="I1195" t="s">
        <v>11</v>
      </c>
      <c r="J1195" t="s">
        <v>18</v>
      </c>
      <c r="K1195">
        <v>25</v>
      </c>
      <c r="L1195" t="str">
        <f>IF(Table1[[#This Row],[Age]]&lt;30,"20-29",
IF(Table1[[#This Row],[Age]]&lt;40,"30-39",
IF(Table1[[#This Row],[Age]]&lt;50,"40-49",
IF(Table1[[#This Row],[Age]]&lt;60,"50-59","60+"))))</f>
        <v>20-29</v>
      </c>
      <c r="M1195" t="s">
        <v>13</v>
      </c>
      <c r="N1195" t="s">
        <v>35</v>
      </c>
    </row>
    <row r="1196" spans="1:14" x14ac:dyDescent="0.35">
      <c r="A1196">
        <v>1295</v>
      </c>
      <c r="B1196" t="s">
        <v>15</v>
      </c>
      <c r="C1196" s="6">
        <v>45215</v>
      </c>
      <c r="D1196">
        <f>YEAR(Table1[[#This Row],[Join Date]])</f>
        <v>2023</v>
      </c>
      <c r="E1196" s="6" t="s">
        <v>48</v>
      </c>
      <c r="F1196" t="str">
        <f>IFERROR(YEAR(Table1[[#This Row],[Exit Date]]), " ")</f>
        <v xml:space="preserve"> </v>
      </c>
      <c r="G1196" t="str">
        <f>IFERROR((Table1[[#This Row],[Exit Year]]-Table1[[#This Row],[Join Year]])+1," ")</f>
        <v xml:space="preserve"> </v>
      </c>
      <c r="H1196" t="s">
        <v>48</v>
      </c>
      <c r="I1196" t="s">
        <v>11</v>
      </c>
      <c r="J1196" t="s">
        <v>12</v>
      </c>
      <c r="K1196">
        <v>46</v>
      </c>
      <c r="L1196" t="str">
        <f>IF(Table1[[#This Row],[Age]]&lt;30,"20-29",
IF(Table1[[#This Row],[Age]]&lt;40,"30-39",
IF(Table1[[#This Row],[Age]]&lt;50,"40-49",
IF(Table1[[#This Row],[Age]]&lt;60,"50-59","60+"))))</f>
        <v>40-49</v>
      </c>
      <c r="M1196" t="s">
        <v>20</v>
      </c>
      <c r="N1196" t="s">
        <v>17</v>
      </c>
    </row>
    <row r="1197" spans="1:14" x14ac:dyDescent="0.35">
      <c r="A1197">
        <v>1296</v>
      </c>
      <c r="B1197" t="s">
        <v>15</v>
      </c>
      <c r="C1197" s="6">
        <v>43624</v>
      </c>
      <c r="D1197">
        <f>YEAR(Table1[[#This Row],[Join Date]])</f>
        <v>2019</v>
      </c>
      <c r="E1197" s="6">
        <v>44228</v>
      </c>
      <c r="F1197">
        <f>IFERROR(YEAR(Table1[[#This Row],[Exit Date]]), " ")</f>
        <v>2021</v>
      </c>
      <c r="G1197">
        <f>IFERROR((Table1[[#This Row],[Exit Year]]-Table1[[#This Row],[Join Year]])+1," ")</f>
        <v>3</v>
      </c>
      <c r="H1197" t="s">
        <v>41</v>
      </c>
      <c r="I1197" t="s">
        <v>23</v>
      </c>
      <c r="J1197" t="s">
        <v>18</v>
      </c>
      <c r="K1197">
        <v>24</v>
      </c>
      <c r="L1197" t="str">
        <f>IF(Table1[[#This Row],[Age]]&lt;30,"20-29",
IF(Table1[[#This Row],[Age]]&lt;40,"30-39",
IF(Table1[[#This Row],[Age]]&lt;50,"40-49",
IF(Table1[[#This Row],[Age]]&lt;60,"50-59","60+"))))</f>
        <v>20-29</v>
      </c>
      <c r="M1197" t="s">
        <v>44</v>
      </c>
      <c r="N1197" t="s">
        <v>19</v>
      </c>
    </row>
    <row r="1198" spans="1:14" x14ac:dyDescent="0.35">
      <c r="A1198">
        <v>1297</v>
      </c>
      <c r="B1198" t="s">
        <v>15</v>
      </c>
      <c r="C1198" s="6">
        <v>44514</v>
      </c>
      <c r="D1198">
        <f>YEAR(Table1[[#This Row],[Join Date]])</f>
        <v>2021</v>
      </c>
      <c r="E1198" s="6">
        <v>45529</v>
      </c>
      <c r="F1198">
        <f>IFERROR(YEAR(Table1[[#This Row],[Exit Date]]), " ")</f>
        <v>2024</v>
      </c>
      <c r="G1198">
        <f>IFERROR((Table1[[#This Row],[Exit Year]]-Table1[[#This Row],[Join Year]])+1," ")</f>
        <v>4</v>
      </c>
      <c r="H1198" t="s">
        <v>41</v>
      </c>
      <c r="I1198" t="s">
        <v>23</v>
      </c>
      <c r="J1198" t="s">
        <v>18</v>
      </c>
      <c r="K1198">
        <v>38</v>
      </c>
      <c r="L1198" t="str">
        <f>IF(Table1[[#This Row],[Age]]&lt;30,"20-29",
IF(Table1[[#This Row],[Age]]&lt;40,"30-39",
IF(Table1[[#This Row],[Age]]&lt;50,"40-49",
IF(Table1[[#This Row],[Age]]&lt;60,"50-59","60+"))))</f>
        <v>30-39</v>
      </c>
      <c r="M1198" t="s">
        <v>13</v>
      </c>
      <c r="N1198" t="s">
        <v>21</v>
      </c>
    </row>
    <row r="1199" spans="1:14" x14ac:dyDescent="0.35">
      <c r="A1199">
        <v>1298</v>
      </c>
      <c r="B1199" t="s">
        <v>29</v>
      </c>
      <c r="C1199" s="6">
        <v>43700</v>
      </c>
      <c r="D1199">
        <f>YEAR(Table1[[#This Row],[Join Date]])</f>
        <v>2019</v>
      </c>
      <c r="E1199" s="6" t="s">
        <v>48</v>
      </c>
      <c r="F1199" t="str">
        <f>IFERROR(YEAR(Table1[[#This Row],[Exit Date]]), " ")</f>
        <v xml:space="preserve"> </v>
      </c>
      <c r="G1199" t="str">
        <f>IFERROR((Table1[[#This Row],[Exit Year]]-Table1[[#This Row],[Join Year]])+1," ")</f>
        <v xml:space="preserve"> </v>
      </c>
      <c r="H1199" t="s">
        <v>48</v>
      </c>
      <c r="I1199" t="s">
        <v>11</v>
      </c>
      <c r="J1199" t="s">
        <v>12</v>
      </c>
      <c r="K1199">
        <v>49</v>
      </c>
      <c r="L1199" t="str">
        <f>IF(Table1[[#This Row],[Age]]&lt;30,"20-29",
IF(Table1[[#This Row],[Age]]&lt;40,"30-39",
IF(Table1[[#This Row],[Age]]&lt;50,"40-49",
IF(Table1[[#This Row],[Age]]&lt;60,"50-59","60+"))))</f>
        <v>40-49</v>
      </c>
      <c r="M1199" t="s">
        <v>16</v>
      </c>
      <c r="N1199" t="s">
        <v>25</v>
      </c>
    </row>
    <row r="1200" spans="1:14" x14ac:dyDescent="0.35">
      <c r="A1200">
        <v>1299</v>
      </c>
      <c r="B1200" t="s">
        <v>34</v>
      </c>
      <c r="C1200" s="6">
        <v>45540</v>
      </c>
      <c r="D1200">
        <f>YEAR(Table1[[#This Row],[Join Date]])</f>
        <v>2024</v>
      </c>
      <c r="E1200" s="6" t="s">
        <v>48</v>
      </c>
      <c r="F1200" t="str">
        <f>IFERROR(YEAR(Table1[[#This Row],[Exit Date]]), " ")</f>
        <v xml:space="preserve"> </v>
      </c>
      <c r="G1200" t="str">
        <f>IFERROR((Table1[[#This Row],[Exit Year]]-Table1[[#This Row],[Join Year]])+1," ")</f>
        <v xml:space="preserve"> </v>
      </c>
      <c r="H1200" t="s">
        <v>48</v>
      </c>
      <c r="I1200" t="s">
        <v>11</v>
      </c>
      <c r="J1200" t="s">
        <v>12</v>
      </c>
      <c r="K1200">
        <v>31</v>
      </c>
      <c r="L1200" t="str">
        <f>IF(Table1[[#This Row],[Age]]&lt;30,"20-29",
IF(Table1[[#This Row],[Age]]&lt;40,"30-39",
IF(Table1[[#This Row],[Age]]&lt;50,"40-49",
IF(Table1[[#This Row],[Age]]&lt;60,"50-59","60+"))))</f>
        <v>30-39</v>
      </c>
      <c r="M1200" t="s">
        <v>16</v>
      </c>
      <c r="N1200" t="s">
        <v>35</v>
      </c>
    </row>
    <row r="1201" spans="1:14" x14ac:dyDescent="0.35">
      <c r="A1201">
        <v>1300</v>
      </c>
      <c r="B1201" t="s">
        <v>10</v>
      </c>
      <c r="C1201" s="6">
        <v>43297</v>
      </c>
      <c r="D1201">
        <f>YEAR(Table1[[#This Row],[Join Date]])</f>
        <v>2018</v>
      </c>
      <c r="E1201" s="6">
        <v>44682</v>
      </c>
      <c r="F1201">
        <f>IFERROR(YEAR(Table1[[#This Row],[Exit Date]]), " ")</f>
        <v>2022</v>
      </c>
      <c r="G1201">
        <f>IFERROR((Table1[[#This Row],[Exit Year]]-Table1[[#This Row],[Join Year]])+1," ")</f>
        <v>5</v>
      </c>
      <c r="H1201" t="s">
        <v>40</v>
      </c>
      <c r="I1201" t="s">
        <v>23</v>
      </c>
      <c r="J1201" t="s">
        <v>12</v>
      </c>
      <c r="K1201">
        <v>51</v>
      </c>
      <c r="L1201" t="str">
        <f>IF(Table1[[#This Row],[Age]]&lt;30,"20-29",
IF(Table1[[#This Row],[Age]]&lt;40,"30-39",
IF(Table1[[#This Row],[Age]]&lt;50,"40-49",
IF(Table1[[#This Row],[Age]]&lt;60,"50-59","60+"))))</f>
        <v>50-59</v>
      </c>
      <c r="M1201" t="s">
        <v>20</v>
      </c>
      <c r="N1201" t="s">
        <v>14</v>
      </c>
    </row>
    <row r="1202" spans="1:14" x14ac:dyDescent="0.35">
      <c r="A1202">
        <v>1301</v>
      </c>
      <c r="B1202" t="s">
        <v>10</v>
      </c>
      <c r="C1202" s="6">
        <v>43407</v>
      </c>
      <c r="D1202">
        <f>YEAR(Table1[[#This Row],[Join Date]])</f>
        <v>2018</v>
      </c>
      <c r="E1202" s="6" t="s">
        <v>48</v>
      </c>
      <c r="F1202" t="str">
        <f>IFERROR(YEAR(Table1[[#This Row],[Exit Date]]), " ")</f>
        <v xml:space="preserve"> </v>
      </c>
      <c r="G1202" t="str">
        <f>IFERROR((Table1[[#This Row],[Exit Year]]-Table1[[#This Row],[Join Year]])+1," ")</f>
        <v xml:space="preserve"> </v>
      </c>
      <c r="H1202" t="s">
        <v>48</v>
      </c>
      <c r="I1202" t="s">
        <v>11</v>
      </c>
      <c r="J1202" t="s">
        <v>12</v>
      </c>
      <c r="K1202">
        <v>27</v>
      </c>
      <c r="L1202" t="str">
        <f>IF(Table1[[#This Row],[Age]]&lt;30,"20-29",
IF(Table1[[#This Row],[Age]]&lt;40,"30-39",
IF(Table1[[#This Row],[Age]]&lt;50,"40-49",
IF(Table1[[#This Row],[Age]]&lt;60,"50-59","60+"))))</f>
        <v>20-29</v>
      </c>
      <c r="M1202" t="s">
        <v>24</v>
      </c>
      <c r="N1202" t="s">
        <v>19</v>
      </c>
    </row>
    <row r="1203" spans="1:14" x14ac:dyDescent="0.35">
      <c r="A1203">
        <v>1302</v>
      </c>
      <c r="B1203" t="s">
        <v>15</v>
      </c>
      <c r="C1203" s="6">
        <v>44121</v>
      </c>
      <c r="D1203">
        <f>YEAR(Table1[[#This Row],[Join Date]])</f>
        <v>2020</v>
      </c>
      <c r="E1203" s="6" t="s">
        <v>48</v>
      </c>
      <c r="F1203" t="str">
        <f>IFERROR(YEAR(Table1[[#This Row],[Exit Date]]), " ")</f>
        <v xml:space="preserve"> </v>
      </c>
      <c r="G1203" t="str">
        <f>IFERROR((Table1[[#This Row],[Exit Year]]-Table1[[#This Row],[Join Year]])+1," ")</f>
        <v xml:space="preserve"> </v>
      </c>
      <c r="H1203" t="s">
        <v>48</v>
      </c>
      <c r="I1203" t="s">
        <v>11</v>
      </c>
      <c r="J1203" t="s">
        <v>18</v>
      </c>
      <c r="K1203">
        <v>22</v>
      </c>
      <c r="L1203" t="str">
        <f>IF(Table1[[#This Row],[Age]]&lt;30,"20-29",
IF(Table1[[#This Row],[Age]]&lt;40,"30-39",
IF(Table1[[#This Row],[Age]]&lt;50,"40-49",
IF(Table1[[#This Row],[Age]]&lt;60,"50-59","60+"))))</f>
        <v>20-29</v>
      </c>
      <c r="M1203" t="s">
        <v>13</v>
      </c>
      <c r="N1203" t="s">
        <v>21</v>
      </c>
    </row>
    <row r="1204" spans="1:14" x14ac:dyDescent="0.35">
      <c r="A1204">
        <v>1303</v>
      </c>
      <c r="B1204" t="s">
        <v>15</v>
      </c>
      <c r="C1204" s="6">
        <v>44423</v>
      </c>
      <c r="D1204">
        <f>YEAR(Table1[[#This Row],[Join Date]])</f>
        <v>2021</v>
      </c>
      <c r="E1204" s="6" t="s">
        <v>48</v>
      </c>
      <c r="F1204" t="str">
        <f>IFERROR(YEAR(Table1[[#This Row],[Exit Date]]), " ")</f>
        <v xml:space="preserve"> </v>
      </c>
      <c r="G1204" t="str">
        <f>IFERROR((Table1[[#This Row],[Exit Year]]-Table1[[#This Row],[Join Year]])+1," ")</f>
        <v xml:space="preserve"> </v>
      </c>
      <c r="H1204" t="s">
        <v>48</v>
      </c>
      <c r="I1204" t="s">
        <v>11</v>
      </c>
      <c r="J1204" t="s">
        <v>18</v>
      </c>
      <c r="K1204">
        <v>50</v>
      </c>
      <c r="L1204" t="str">
        <f>IF(Table1[[#This Row],[Age]]&lt;30,"20-29",
IF(Table1[[#This Row],[Age]]&lt;40,"30-39",
IF(Table1[[#This Row],[Age]]&lt;50,"40-49",
IF(Table1[[#This Row],[Age]]&lt;60,"50-59","60+"))))</f>
        <v>50-59</v>
      </c>
      <c r="M1204" t="s">
        <v>42</v>
      </c>
      <c r="N1204" t="s">
        <v>37</v>
      </c>
    </row>
    <row r="1205" spans="1:14" x14ac:dyDescent="0.35">
      <c r="A1205">
        <v>1304</v>
      </c>
      <c r="B1205" t="s">
        <v>15</v>
      </c>
      <c r="C1205" s="6">
        <v>45087</v>
      </c>
      <c r="D1205">
        <f>YEAR(Table1[[#This Row],[Join Date]])</f>
        <v>2023</v>
      </c>
      <c r="E1205" s="6" t="s">
        <v>48</v>
      </c>
      <c r="F1205" t="str">
        <f>IFERROR(YEAR(Table1[[#This Row],[Exit Date]]), " ")</f>
        <v xml:space="preserve"> </v>
      </c>
      <c r="G1205" t="str">
        <f>IFERROR((Table1[[#This Row],[Exit Year]]-Table1[[#This Row],[Join Year]])+1," ")</f>
        <v xml:space="preserve"> </v>
      </c>
      <c r="H1205" t="s">
        <v>48</v>
      </c>
      <c r="I1205" t="s">
        <v>11</v>
      </c>
      <c r="J1205" t="s">
        <v>18</v>
      </c>
      <c r="K1205">
        <v>24</v>
      </c>
      <c r="L1205" t="str">
        <f>IF(Table1[[#This Row],[Age]]&lt;30,"20-29",
IF(Table1[[#This Row],[Age]]&lt;40,"30-39",
IF(Table1[[#This Row],[Age]]&lt;50,"40-49",
IF(Table1[[#This Row],[Age]]&lt;60,"50-59","60+"))))</f>
        <v>20-29</v>
      </c>
      <c r="M1205" t="s">
        <v>13</v>
      </c>
      <c r="N1205" t="s">
        <v>25</v>
      </c>
    </row>
    <row r="1206" spans="1:14" x14ac:dyDescent="0.35">
      <c r="A1206">
        <v>1305</v>
      </c>
      <c r="B1206" t="s">
        <v>15</v>
      </c>
      <c r="C1206" s="6">
        <v>43479</v>
      </c>
      <c r="D1206">
        <f>YEAR(Table1[[#This Row],[Join Date]])</f>
        <v>2019</v>
      </c>
      <c r="E1206" s="6">
        <v>44449</v>
      </c>
      <c r="F1206">
        <f>IFERROR(YEAR(Table1[[#This Row],[Exit Date]]), " ")</f>
        <v>2021</v>
      </c>
      <c r="G1206">
        <f>IFERROR((Table1[[#This Row],[Exit Year]]-Table1[[#This Row],[Join Year]])+1," ")</f>
        <v>3</v>
      </c>
      <c r="H1206" t="s">
        <v>22</v>
      </c>
      <c r="I1206" t="s">
        <v>23</v>
      </c>
      <c r="J1206" t="s">
        <v>12</v>
      </c>
      <c r="K1206">
        <v>50</v>
      </c>
      <c r="L1206" t="str">
        <f>IF(Table1[[#This Row],[Age]]&lt;30,"20-29",
IF(Table1[[#This Row],[Age]]&lt;40,"30-39",
IF(Table1[[#This Row],[Age]]&lt;50,"40-49",
IF(Table1[[#This Row],[Age]]&lt;60,"50-59","60+"))))</f>
        <v>50-59</v>
      </c>
      <c r="M1206" t="s">
        <v>13</v>
      </c>
      <c r="N1206" t="s">
        <v>35</v>
      </c>
    </row>
    <row r="1207" spans="1:14" x14ac:dyDescent="0.35">
      <c r="A1207">
        <v>1306</v>
      </c>
      <c r="B1207" t="s">
        <v>26</v>
      </c>
      <c r="C1207" s="6">
        <v>44749</v>
      </c>
      <c r="D1207">
        <f>YEAR(Table1[[#This Row],[Join Date]])</f>
        <v>2022</v>
      </c>
      <c r="E1207" s="6">
        <v>44972</v>
      </c>
      <c r="F1207">
        <f>IFERROR(YEAR(Table1[[#This Row],[Exit Date]]), " ")</f>
        <v>2023</v>
      </c>
      <c r="G1207">
        <f>IFERROR((Table1[[#This Row],[Exit Year]]-Table1[[#This Row],[Join Year]])+1," ")</f>
        <v>2</v>
      </c>
      <c r="H1207" t="s">
        <v>46</v>
      </c>
      <c r="I1207" t="s">
        <v>23</v>
      </c>
      <c r="J1207" t="s">
        <v>18</v>
      </c>
      <c r="K1207">
        <v>28</v>
      </c>
      <c r="L1207" t="str">
        <f>IF(Table1[[#This Row],[Age]]&lt;30,"20-29",
IF(Table1[[#This Row],[Age]]&lt;40,"30-39",
IF(Table1[[#This Row],[Age]]&lt;50,"40-49",
IF(Table1[[#This Row],[Age]]&lt;60,"50-59","60+"))))</f>
        <v>20-29</v>
      </c>
      <c r="M1207" t="s">
        <v>16</v>
      </c>
      <c r="N1207" t="s">
        <v>14</v>
      </c>
    </row>
    <row r="1208" spans="1:14" x14ac:dyDescent="0.35">
      <c r="A1208">
        <v>1307</v>
      </c>
      <c r="B1208" t="s">
        <v>29</v>
      </c>
      <c r="C1208" s="6">
        <v>45457</v>
      </c>
      <c r="D1208">
        <f>YEAR(Table1[[#This Row],[Join Date]])</f>
        <v>2024</v>
      </c>
      <c r="E1208" s="6" t="s">
        <v>48</v>
      </c>
      <c r="F1208" t="str">
        <f>IFERROR(YEAR(Table1[[#This Row],[Exit Date]]), " ")</f>
        <v xml:space="preserve"> </v>
      </c>
      <c r="G1208" t="str">
        <f>IFERROR((Table1[[#This Row],[Exit Year]]-Table1[[#This Row],[Join Year]])+1," ")</f>
        <v xml:space="preserve"> </v>
      </c>
      <c r="H1208" t="s">
        <v>48</v>
      </c>
      <c r="I1208" t="s">
        <v>11</v>
      </c>
      <c r="J1208" t="s">
        <v>18</v>
      </c>
      <c r="K1208">
        <v>40</v>
      </c>
      <c r="L1208" t="str">
        <f>IF(Table1[[#This Row],[Age]]&lt;30,"20-29",
IF(Table1[[#This Row],[Age]]&lt;40,"30-39",
IF(Table1[[#This Row],[Age]]&lt;50,"40-49",
IF(Table1[[#This Row],[Age]]&lt;60,"50-59","60+"))))</f>
        <v>40-49</v>
      </c>
      <c r="M1208" t="s">
        <v>13</v>
      </c>
      <c r="N1208" t="s">
        <v>17</v>
      </c>
    </row>
    <row r="1209" spans="1:14" x14ac:dyDescent="0.35">
      <c r="A1209">
        <v>1308</v>
      </c>
      <c r="B1209" t="s">
        <v>10</v>
      </c>
      <c r="C1209" s="6">
        <v>43304</v>
      </c>
      <c r="D1209">
        <f>YEAR(Table1[[#This Row],[Join Date]])</f>
        <v>2018</v>
      </c>
      <c r="E1209" s="6" t="s">
        <v>48</v>
      </c>
      <c r="F1209" t="str">
        <f>IFERROR(YEAR(Table1[[#This Row],[Exit Date]]), " ")</f>
        <v xml:space="preserve"> </v>
      </c>
      <c r="G1209" t="str">
        <f>IFERROR((Table1[[#This Row],[Exit Year]]-Table1[[#This Row],[Join Year]])+1," ")</f>
        <v xml:space="preserve"> </v>
      </c>
      <c r="H1209" t="s">
        <v>48</v>
      </c>
      <c r="I1209" t="s">
        <v>11</v>
      </c>
      <c r="J1209" t="s">
        <v>12</v>
      </c>
      <c r="K1209">
        <v>32</v>
      </c>
      <c r="L1209" t="str">
        <f>IF(Table1[[#This Row],[Age]]&lt;30,"20-29",
IF(Table1[[#This Row],[Age]]&lt;40,"30-39",
IF(Table1[[#This Row],[Age]]&lt;50,"40-49",
IF(Table1[[#This Row],[Age]]&lt;60,"50-59","60+"))))</f>
        <v>30-39</v>
      </c>
      <c r="M1209" t="s">
        <v>20</v>
      </c>
      <c r="N1209" t="s">
        <v>19</v>
      </c>
    </row>
    <row r="1210" spans="1:14" x14ac:dyDescent="0.35">
      <c r="A1210">
        <v>1309</v>
      </c>
      <c r="B1210" t="s">
        <v>15</v>
      </c>
      <c r="C1210" s="6">
        <v>44987</v>
      </c>
      <c r="D1210">
        <f>YEAR(Table1[[#This Row],[Join Date]])</f>
        <v>2023</v>
      </c>
      <c r="E1210" s="6" t="s">
        <v>48</v>
      </c>
      <c r="F1210" t="str">
        <f>IFERROR(YEAR(Table1[[#This Row],[Exit Date]]), " ")</f>
        <v xml:space="preserve"> </v>
      </c>
      <c r="G1210" t="str">
        <f>IFERROR((Table1[[#This Row],[Exit Year]]-Table1[[#This Row],[Join Year]])+1," ")</f>
        <v xml:space="preserve"> </v>
      </c>
      <c r="H1210" t="s">
        <v>48</v>
      </c>
      <c r="I1210" t="s">
        <v>11</v>
      </c>
      <c r="J1210" t="s">
        <v>18</v>
      </c>
      <c r="K1210">
        <v>50</v>
      </c>
      <c r="L1210" t="str">
        <f>IF(Table1[[#This Row],[Age]]&lt;30,"20-29",
IF(Table1[[#This Row],[Age]]&lt;40,"30-39",
IF(Table1[[#This Row],[Age]]&lt;50,"40-49",
IF(Table1[[#This Row],[Age]]&lt;60,"50-59","60+"))))</f>
        <v>50-59</v>
      </c>
      <c r="M1210" t="s">
        <v>39</v>
      </c>
      <c r="N1210" t="s">
        <v>21</v>
      </c>
    </row>
    <row r="1211" spans="1:14" x14ac:dyDescent="0.35">
      <c r="A1211">
        <v>1310</v>
      </c>
      <c r="B1211" t="s">
        <v>34</v>
      </c>
      <c r="C1211" s="6">
        <v>45326</v>
      </c>
      <c r="D1211">
        <f>YEAR(Table1[[#This Row],[Join Date]])</f>
        <v>2024</v>
      </c>
      <c r="E1211" s="6" t="s">
        <v>48</v>
      </c>
      <c r="F1211" t="str">
        <f>IFERROR(YEAR(Table1[[#This Row],[Exit Date]]), " ")</f>
        <v xml:space="preserve"> </v>
      </c>
      <c r="G1211" t="str">
        <f>IFERROR((Table1[[#This Row],[Exit Year]]-Table1[[#This Row],[Join Year]])+1," ")</f>
        <v xml:space="preserve"> </v>
      </c>
      <c r="H1211" t="s">
        <v>48</v>
      </c>
      <c r="I1211" t="s">
        <v>11</v>
      </c>
      <c r="J1211" t="s">
        <v>18</v>
      </c>
      <c r="K1211">
        <v>24</v>
      </c>
      <c r="L1211" t="str">
        <f>IF(Table1[[#This Row],[Age]]&lt;30,"20-29",
IF(Table1[[#This Row],[Age]]&lt;40,"30-39",
IF(Table1[[#This Row],[Age]]&lt;50,"40-49",
IF(Table1[[#This Row],[Age]]&lt;60,"50-59","60+"))))</f>
        <v>20-29</v>
      </c>
      <c r="M1211" t="s">
        <v>13</v>
      </c>
      <c r="N1211" t="s">
        <v>25</v>
      </c>
    </row>
    <row r="1212" spans="1:14" x14ac:dyDescent="0.35">
      <c r="A1212">
        <v>1311</v>
      </c>
      <c r="B1212" t="s">
        <v>36</v>
      </c>
      <c r="C1212" s="6">
        <v>45474</v>
      </c>
      <c r="D1212">
        <f>YEAR(Table1[[#This Row],[Join Date]])</f>
        <v>2024</v>
      </c>
      <c r="E1212" s="6" t="s">
        <v>48</v>
      </c>
      <c r="F1212" t="str">
        <f>IFERROR(YEAR(Table1[[#This Row],[Exit Date]]), " ")</f>
        <v xml:space="preserve"> </v>
      </c>
      <c r="G1212" t="str">
        <f>IFERROR((Table1[[#This Row],[Exit Year]]-Table1[[#This Row],[Join Year]])+1," ")</f>
        <v xml:space="preserve"> </v>
      </c>
      <c r="H1212" t="s">
        <v>48</v>
      </c>
      <c r="I1212" t="s">
        <v>11</v>
      </c>
      <c r="J1212" t="s">
        <v>18</v>
      </c>
      <c r="K1212">
        <v>36</v>
      </c>
      <c r="L1212" t="str">
        <f>IF(Table1[[#This Row],[Age]]&lt;30,"20-29",
IF(Table1[[#This Row],[Age]]&lt;40,"30-39",
IF(Table1[[#This Row],[Age]]&lt;50,"40-49",
IF(Table1[[#This Row],[Age]]&lt;60,"50-59","60+"))))</f>
        <v>30-39</v>
      </c>
      <c r="M1212" t="s">
        <v>16</v>
      </c>
      <c r="N1212" t="s">
        <v>28</v>
      </c>
    </row>
    <row r="1213" spans="1:14" x14ac:dyDescent="0.35">
      <c r="A1213">
        <v>1312</v>
      </c>
      <c r="B1213" t="s">
        <v>29</v>
      </c>
      <c r="C1213" s="6">
        <v>44227</v>
      </c>
      <c r="D1213">
        <f>YEAR(Table1[[#This Row],[Join Date]])</f>
        <v>2021</v>
      </c>
      <c r="E1213" s="6">
        <v>45322</v>
      </c>
      <c r="F1213">
        <f>IFERROR(YEAR(Table1[[#This Row],[Exit Date]]), " ")</f>
        <v>2024</v>
      </c>
      <c r="G1213">
        <f>IFERROR((Table1[[#This Row],[Exit Year]]-Table1[[#This Row],[Join Year]])+1," ")</f>
        <v>4</v>
      </c>
      <c r="H1213" t="s">
        <v>46</v>
      </c>
      <c r="I1213" t="s">
        <v>23</v>
      </c>
      <c r="J1213" t="s">
        <v>12</v>
      </c>
      <c r="K1213">
        <v>49</v>
      </c>
      <c r="L1213" t="str">
        <f>IF(Table1[[#This Row],[Age]]&lt;30,"20-29",
IF(Table1[[#This Row],[Age]]&lt;40,"30-39",
IF(Table1[[#This Row],[Age]]&lt;50,"40-49",
IF(Table1[[#This Row],[Age]]&lt;60,"50-59","60+"))))</f>
        <v>40-49</v>
      </c>
      <c r="M1213" t="s">
        <v>16</v>
      </c>
      <c r="N1213" t="s">
        <v>31</v>
      </c>
    </row>
    <row r="1214" spans="1:14" x14ac:dyDescent="0.35">
      <c r="A1214">
        <v>1313</v>
      </c>
      <c r="B1214" t="s">
        <v>10</v>
      </c>
      <c r="C1214" s="6">
        <v>43446</v>
      </c>
      <c r="D1214">
        <f>YEAR(Table1[[#This Row],[Join Date]])</f>
        <v>2018</v>
      </c>
      <c r="E1214" s="6">
        <v>43936</v>
      </c>
      <c r="F1214">
        <f>IFERROR(YEAR(Table1[[#This Row],[Exit Date]]), " ")</f>
        <v>2020</v>
      </c>
      <c r="G1214">
        <f>IFERROR((Table1[[#This Row],[Exit Year]]-Table1[[#This Row],[Join Year]])+1," ")</f>
        <v>3</v>
      </c>
      <c r="H1214" t="s">
        <v>38</v>
      </c>
      <c r="I1214" t="s">
        <v>23</v>
      </c>
      <c r="J1214" t="s">
        <v>12</v>
      </c>
      <c r="K1214">
        <v>43</v>
      </c>
      <c r="L1214" t="str">
        <f>IF(Table1[[#This Row],[Age]]&lt;30,"20-29",
IF(Table1[[#This Row],[Age]]&lt;40,"30-39",
IF(Table1[[#This Row],[Age]]&lt;50,"40-49",
IF(Table1[[#This Row],[Age]]&lt;60,"50-59","60+"))))</f>
        <v>40-49</v>
      </c>
      <c r="M1214" t="s">
        <v>20</v>
      </c>
      <c r="N1214" t="s">
        <v>32</v>
      </c>
    </row>
    <row r="1215" spans="1:14" x14ac:dyDescent="0.35">
      <c r="A1215">
        <v>1314</v>
      </c>
      <c r="B1215" t="s">
        <v>15</v>
      </c>
      <c r="C1215" s="6">
        <v>45314</v>
      </c>
      <c r="D1215">
        <f>YEAR(Table1[[#This Row],[Join Date]])</f>
        <v>2024</v>
      </c>
      <c r="E1215" s="6" t="s">
        <v>48</v>
      </c>
      <c r="F1215" t="str">
        <f>IFERROR(YEAR(Table1[[#This Row],[Exit Date]]), " ")</f>
        <v xml:space="preserve"> </v>
      </c>
      <c r="G1215" t="str">
        <f>IFERROR((Table1[[#This Row],[Exit Year]]-Table1[[#This Row],[Join Year]])+1," ")</f>
        <v xml:space="preserve"> </v>
      </c>
      <c r="H1215" t="s">
        <v>48</v>
      </c>
      <c r="I1215" t="s">
        <v>11</v>
      </c>
      <c r="J1215" t="s">
        <v>18</v>
      </c>
      <c r="K1215">
        <v>40</v>
      </c>
      <c r="L1215" t="str">
        <f>IF(Table1[[#This Row],[Age]]&lt;30,"20-29",
IF(Table1[[#This Row],[Age]]&lt;40,"30-39",
IF(Table1[[#This Row],[Age]]&lt;50,"40-49",
IF(Table1[[#This Row],[Age]]&lt;60,"50-59","60+"))))</f>
        <v>40-49</v>
      </c>
      <c r="M1215" t="s">
        <v>24</v>
      </c>
      <c r="N1215" t="s">
        <v>33</v>
      </c>
    </row>
    <row r="1216" spans="1:14" x14ac:dyDescent="0.35">
      <c r="A1216">
        <v>1315</v>
      </c>
      <c r="B1216" t="s">
        <v>15</v>
      </c>
      <c r="C1216" s="6">
        <v>43123</v>
      </c>
      <c r="D1216">
        <f>YEAR(Table1[[#This Row],[Join Date]])</f>
        <v>2018</v>
      </c>
      <c r="E1216" s="6" t="s">
        <v>48</v>
      </c>
      <c r="F1216" t="str">
        <f>IFERROR(YEAR(Table1[[#This Row],[Exit Date]]), " ")</f>
        <v xml:space="preserve"> </v>
      </c>
      <c r="G1216" t="str">
        <f>IFERROR((Table1[[#This Row],[Exit Year]]-Table1[[#This Row],[Join Year]])+1," ")</f>
        <v xml:space="preserve"> </v>
      </c>
      <c r="H1216" t="s">
        <v>48</v>
      </c>
      <c r="I1216" t="s">
        <v>11</v>
      </c>
      <c r="J1216" t="s">
        <v>18</v>
      </c>
      <c r="K1216">
        <v>42</v>
      </c>
      <c r="L1216" t="str">
        <f>IF(Table1[[#This Row],[Age]]&lt;30,"20-29",
IF(Table1[[#This Row],[Age]]&lt;40,"30-39",
IF(Table1[[#This Row],[Age]]&lt;50,"40-49",
IF(Table1[[#This Row],[Age]]&lt;60,"50-59","60+"))))</f>
        <v>40-49</v>
      </c>
      <c r="M1216" t="s">
        <v>13</v>
      </c>
      <c r="N1216" t="s">
        <v>35</v>
      </c>
    </row>
    <row r="1217" spans="1:14" x14ac:dyDescent="0.35">
      <c r="A1217">
        <v>1316</v>
      </c>
      <c r="B1217" t="s">
        <v>10</v>
      </c>
      <c r="C1217" s="6">
        <v>43717</v>
      </c>
      <c r="D1217">
        <f>YEAR(Table1[[#This Row],[Join Date]])</f>
        <v>2019</v>
      </c>
      <c r="E1217" s="6">
        <v>44677</v>
      </c>
      <c r="F1217">
        <f>IFERROR(YEAR(Table1[[#This Row],[Exit Date]]), " ")</f>
        <v>2022</v>
      </c>
      <c r="G1217">
        <f>IFERROR((Table1[[#This Row],[Exit Year]]-Table1[[#This Row],[Join Year]])+1," ")</f>
        <v>4</v>
      </c>
      <c r="H1217" t="s">
        <v>40</v>
      </c>
      <c r="I1217" t="s">
        <v>23</v>
      </c>
      <c r="J1217" t="s">
        <v>12</v>
      </c>
      <c r="K1217">
        <v>35</v>
      </c>
      <c r="L1217" t="str">
        <f>IF(Table1[[#This Row],[Age]]&lt;30,"20-29",
IF(Table1[[#This Row],[Age]]&lt;40,"30-39",
IF(Table1[[#This Row],[Age]]&lt;50,"40-49",
IF(Table1[[#This Row],[Age]]&lt;60,"50-59","60+"))))</f>
        <v>30-39</v>
      </c>
      <c r="M1217" t="s">
        <v>44</v>
      </c>
      <c r="N1217" t="s">
        <v>37</v>
      </c>
    </row>
    <row r="1218" spans="1:14" x14ac:dyDescent="0.35">
      <c r="A1218">
        <v>1317</v>
      </c>
      <c r="B1218" t="s">
        <v>29</v>
      </c>
      <c r="C1218" s="6">
        <v>43534</v>
      </c>
      <c r="D1218">
        <f>YEAR(Table1[[#This Row],[Join Date]])</f>
        <v>2019</v>
      </c>
      <c r="E1218" s="6">
        <v>44117</v>
      </c>
      <c r="F1218">
        <f>IFERROR(YEAR(Table1[[#This Row],[Exit Date]]), " ")</f>
        <v>2020</v>
      </c>
      <c r="G1218">
        <f>IFERROR((Table1[[#This Row],[Exit Year]]-Table1[[#This Row],[Join Year]])+1," ")</f>
        <v>2</v>
      </c>
      <c r="H1218" t="s">
        <v>38</v>
      </c>
      <c r="I1218" t="s">
        <v>23</v>
      </c>
      <c r="J1218" t="s">
        <v>18</v>
      </c>
      <c r="K1218">
        <v>31</v>
      </c>
      <c r="L1218" t="str">
        <f>IF(Table1[[#This Row],[Age]]&lt;30,"20-29",
IF(Table1[[#This Row],[Age]]&lt;40,"30-39",
IF(Table1[[#This Row],[Age]]&lt;50,"40-49",
IF(Table1[[#This Row],[Age]]&lt;60,"50-59","60+"))))</f>
        <v>30-39</v>
      </c>
      <c r="M1218" t="s">
        <v>13</v>
      </c>
      <c r="N1218" t="s">
        <v>19</v>
      </c>
    </row>
    <row r="1219" spans="1:14" x14ac:dyDescent="0.35">
      <c r="A1219">
        <v>1318</v>
      </c>
      <c r="B1219" t="s">
        <v>36</v>
      </c>
      <c r="C1219" s="6">
        <v>44619</v>
      </c>
      <c r="D1219">
        <f>YEAR(Table1[[#This Row],[Join Date]])</f>
        <v>2022</v>
      </c>
      <c r="E1219" s="6" t="s">
        <v>48</v>
      </c>
      <c r="F1219" t="str">
        <f>IFERROR(YEAR(Table1[[#This Row],[Exit Date]]), " ")</f>
        <v xml:space="preserve"> </v>
      </c>
      <c r="G1219" t="str">
        <f>IFERROR((Table1[[#This Row],[Exit Year]]-Table1[[#This Row],[Join Year]])+1," ")</f>
        <v xml:space="preserve"> </v>
      </c>
      <c r="H1219" t="s">
        <v>48</v>
      </c>
      <c r="I1219" t="s">
        <v>11</v>
      </c>
      <c r="J1219" t="s">
        <v>18</v>
      </c>
      <c r="K1219">
        <v>51</v>
      </c>
      <c r="L1219" t="str">
        <f>IF(Table1[[#This Row],[Age]]&lt;30,"20-29",
IF(Table1[[#This Row],[Age]]&lt;40,"30-39",
IF(Table1[[#This Row],[Age]]&lt;50,"40-49",
IF(Table1[[#This Row],[Age]]&lt;60,"50-59","60+"))))</f>
        <v>50-59</v>
      </c>
      <c r="M1219" t="s">
        <v>13</v>
      </c>
      <c r="N1219" t="s">
        <v>25</v>
      </c>
    </row>
    <row r="1220" spans="1:14" x14ac:dyDescent="0.35">
      <c r="A1220">
        <v>1319</v>
      </c>
      <c r="B1220" t="s">
        <v>10</v>
      </c>
      <c r="C1220" s="6">
        <v>45485</v>
      </c>
      <c r="D1220">
        <f>YEAR(Table1[[#This Row],[Join Date]])</f>
        <v>2024</v>
      </c>
      <c r="E1220" s="6" t="s">
        <v>48</v>
      </c>
      <c r="F1220" t="str">
        <f>IFERROR(YEAR(Table1[[#This Row],[Exit Date]]), " ")</f>
        <v xml:space="preserve"> </v>
      </c>
      <c r="G1220" t="str">
        <f>IFERROR((Table1[[#This Row],[Exit Year]]-Table1[[#This Row],[Join Year]])+1," ")</f>
        <v xml:space="preserve"> </v>
      </c>
      <c r="H1220" t="s">
        <v>48</v>
      </c>
      <c r="I1220" t="s">
        <v>11</v>
      </c>
      <c r="J1220" t="s">
        <v>18</v>
      </c>
      <c r="K1220">
        <v>48</v>
      </c>
      <c r="L1220" t="str">
        <f>IF(Table1[[#This Row],[Age]]&lt;30,"20-29",
IF(Table1[[#This Row],[Age]]&lt;40,"30-39",
IF(Table1[[#This Row],[Age]]&lt;50,"40-49",
IF(Table1[[#This Row],[Age]]&lt;60,"50-59","60+"))))</f>
        <v>40-49</v>
      </c>
      <c r="M1220" t="s">
        <v>16</v>
      </c>
      <c r="N1220" t="s">
        <v>35</v>
      </c>
    </row>
    <row r="1221" spans="1:14" x14ac:dyDescent="0.35">
      <c r="A1221">
        <v>1320</v>
      </c>
      <c r="B1221" t="s">
        <v>29</v>
      </c>
      <c r="C1221" s="6">
        <v>43588</v>
      </c>
      <c r="D1221">
        <f>YEAR(Table1[[#This Row],[Join Date]])</f>
        <v>2019</v>
      </c>
      <c r="E1221" s="6">
        <v>44896</v>
      </c>
      <c r="F1221">
        <f>IFERROR(YEAR(Table1[[#This Row],[Exit Date]]), " ")</f>
        <v>2022</v>
      </c>
      <c r="G1221">
        <f>IFERROR((Table1[[#This Row],[Exit Year]]-Table1[[#This Row],[Join Year]])+1," ")</f>
        <v>4</v>
      </c>
      <c r="H1221" t="s">
        <v>41</v>
      </c>
      <c r="I1221" t="s">
        <v>23</v>
      </c>
      <c r="J1221" t="s">
        <v>12</v>
      </c>
      <c r="K1221">
        <v>41</v>
      </c>
      <c r="L1221" t="str">
        <f>IF(Table1[[#This Row],[Age]]&lt;30,"20-29",
IF(Table1[[#This Row],[Age]]&lt;40,"30-39",
IF(Table1[[#This Row],[Age]]&lt;50,"40-49",
IF(Table1[[#This Row],[Age]]&lt;60,"50-59","60+"))))</f>
        <v>40-49</v>
      </c>
      <c r="M1221" t="s">
        <v>13</v>
      </c>
      <c r="N1221" t="s">
        <v>17</v>
      </c>
    </row>
    <row r="1222" spans="1:14" x14ac:dyDescent="0.35">
      <c r="A1222">
        <v>1321</v>
      </c>
      <c r="B1222" t="s">
        <v>36</v>
      </c>
      <c r="C1222" s="6">
        <v>44250</v>
      </c>
      <c r="D1222">
        <f>YEAR(Table1[[#This Row],[Join Date]])</f>
        <v>2021</v>
      </c>
      <c r="E1222" s="6">
        <v>45392</v>
      </c>
      <c r="F1222">
        <f>IFERROR(YEAR(Table1[[#This Row],[Exit Date]]), " ")</f>
        <v>2024</v>
      </c>
      <c r="G1222">
        <f>IFERROR((Table1[[#This Row],[Exit Year]]-Table1[[#This Row],[Join Year]])+1," ")</f>
        <v>4</v>
      </c>
      <c r="H1222" t="s">
        <v>46</v>
      </c>
      <c r="I1222" t="s">
        <v>23</v>
      </c>
      <c r="J1222" t="s">
        <v>12</v>
      </c>
      <c r="K1222">
        <v>35</v>
      </c>
      <c r="L1222" t="str">
        <f>IF(Table1[[#This Row],[Age]]&lt;30,"20-29",
IF(Table1[[#This Row],[Age]]&lt;40,"30-39",
IF(Table1[[#This Row],[Age]]&lt;50,"40-49",
IF(Table1[[#This Row],[Age]]&lt;60,"50-59","60+"))))</f>
        <v>30-39</v>
      </c>
      <c r="M1222" t="s">
        <v>20</v>
      </c>
      <c r="N1222" t="s">
        <v>19</v>
      </c>
    </row>
    <row r="1223" spans="1:14" x14ac:dyDescent="0.35">
      <c r="A1223">
        <v>1322</v>
      </c>
      <c r="B1223" t="s">
        <v>26</v>
      </c>
      <c r="C1223" s="6">
        <v>45244</v>
      </c>
      <c r="D1223">
        <f>YEAR(Table1[[#This Row],[Join Date]])</f>
        <v>2023</v>
      </c>
      <c r="E1223" s="6">
        <v>45446</v>
      </c>
      <c r="F1223">
        <f>IFERROR(YEAR(Table1[[#This Row],[Exit Date]]), " ")</f>
        <v>2024</v>
      </c>
      <c r="G1223">
        <f>IFERROR((Table1[[#This Row],[Exit Year]]-Table1[[#This Row],[Join Year]])+1," ")</f>
        <v>2</v>
      </c>
      <c r="H1223" t="s">
        <v>40</v>
      </c>
      <c r="I1223" t="s">
        <v>23</v>
      </c>
      <c r="J1223" t="s">
        <v>18</v>
      </c>
      <c r="K1223">
        <v>24</v>
      </c>
      <c r="L1223" t="str">
        <f>IF(Table1[[#This Row],[Age]]&lt;30,"20-29",
IF(Table1[[#This Row],[Age]]&lt;40,"30-39",
IF(Table1[[#This Row],[Age]]&lt;50,"40-49",
IF(Table1[[#This Row],[Age]]&lt;60,"50-59","60+"))))</f>
        <v>20-29</v>
      </c>
      <c r="M1223" t="s">
        <v>44</v>
      </c>
      <c r="N1223" t="s">
        <v>21</v>
      </c>
    </row>
    <row r="1224" spans="1:14" x14ac:dyDescent="0.35">
      <c r="A1224">
        <v>1323</v>
      </c>
      <c r="B1224" t="s">
        <v>15</v>
      </c>
      <c r="C1224" s="6">
        <v>45256</v>
      </c>
      <c r="D1224">
        <f>YEAR(Table1[[#This Row],[Join Date]])</f>
        <v>2023</v>
      </c>
      <c r="E1224" s="6" t="s">
        <v>48</v>
      </c>
      <c r="F1224" t="str">
        <f>IFERROR(YEAR(Table1[[#This Row],[Exit Date]]), " ")</f>
        <v xml:space="preserve"> </v>
      </c>
      <c r="G1224" t="str">
        <f>IFERROR((Table1[[#This Row],[Exit Year]]-Table1[[#This Row],[Join Year]])+1," ")</f>
        <v xml:space="preserve"> </v>
      </c>
      <c r="H1224" t="s">
        <v>48</v>
      </c>
      <c r="I1224" t="s">
        <v>11</v>
      </c>
      <c r="J1224" t="s">
        <v>18</v>
      </c>
      <c r="K1224">
        <v>41</v>
      </c>
      <c r="L1224" t="str">
        <f>IF(Table1[[#This Row],[Age]]&lt;30,"20-29",
IF(Table1[[#This Row],[Age]]&lt;40,"30-39",
IF(Table1[[#This Row],[Age]]&lt;50,"40-49",
IF(Table1[[#This Row],[Age]]&lt;60,"50-59","60+"))))</f>
        <v>40-49</v>
      </c>
      <c r="M1224" t="s">
        <v>13</v>
      </c>
      <c r="N1224" t="s">
        <v>25</v>
      </c>
    </row>
    <row r="1225" spans="1:14" x14ac:dyDescent="0.35">
      <c r="A1225">
        <v>1324</v>
      </c>
      <c r="B1225" t="s">
        <v>26</v>
      </c>
      <c r="C1225" s="6">
        <v>45465</v>
      </c>
      <c r="D1225">
        <f>YEAR(Table1[[#This Row],[Join Date]])</f>
        <v>2024</v>
      </c>
      <c r="E1225" s="6" t="s">
        <v>48</v>
      </c>
      <c r="F1225" t="str">
        <f>IFERROR(YEAR(Table1[[#This Row],[Exit Date]]), " ")</f>
        <v xml:space="preserve"> </v>
      </c>
      <c r="G1225" t="str">
        <f>IFERROR((Table1[[#This Row],[Exit Year]]-Table1[[#This Row],[Join Year]])+1," ")</f>
        <v xml:space="preserve"> </v>
      </c>
      <c r="H1225" t="s">
        <v>48</v>
      </c>
      <c r="I1225" t="s">
        <v>11</v>
      </c>
      <c r="J1225" t="s">
        <v>18</v>
      </c>
      <c r="K1225">
        <v>40</v>
      </c>
      <c r="L1225" t="str">
        <f>IF(Table1[[#This Row],[Age]]&lt;30,"20-29",
IF(Table1[[#This Row],[Age]]&lt;40,"30-39",
IF(Table1[[#This Row],[Age]]&lt;50,"40-49",
IF(Table1[[#This Row],[Age]]&lt;60,"50-59","60+"))))</f>
        <v>40-49</v>
      </c>
      <c r="M1225" t="s">
        <v>16</v>
      </c>
      <c r="N1225" t="s">
        <v>35</v>
      </c>
    </row>
    <row r="1226" spans="1:14" x14ac:dyDescent="0.35">
      <c r="A1226">
        <v>1325</v>
      </c>
      <c r="B1226" t="s">
        <v>10</v>
      </c>
      <c r="C1226" s="6">
        <v>43597</v>
      </c>
      <c r="D1226">
        <f>YEAR(Table1[[#This Row],[Join Date]])</f>
        <v>2019</v>
      </c>
      <c r="E1226" s="6" t="s">
        <v>48</v>
      </c>
      <c r="F1226" t="str">
        <f>IFERROR(YEAR(Table1[[#This Row],[Exit Date]]), " ")</f>
        <v xml:space="preserve"> </v>
      </c>
      <c r="G1226" t="str">
        <f>IFERROR((Table1[[#This Row],[Exit Year]]-Table1[[#This Row],[Join Year]])+1," ")</f>
        <v xml:space="preserve"> </v>
      </c>
      <c r="H1226" t="s">
        <v>48</v>
      </c>
      <c r="I1226" t="s">
        <v>11</v>
      </c>
      <c r="J1226" t="s">
        <v>12</v>
      </c>
      <c r="K1226">
        <v>48</v>
      </c>
      <c r="L1226" t="str">
        <f>IF(Table1[[#This Row],[Age]]&lt;30,"20-29",
IF(Table1[[#This Row],[Age]]&lt;40,"30-39",
IF(Table1[[#This Row],[Age]]&lt;50,"40-49",
IF(Table1[[#This Row],[Age]]&lt;60,"50-59","60+"))))</f>
        <v>40-49</v>
      </c>
      <c r="M1226" t="s">
        <v>16</v>
      </c>
      <c r="N1226" t="s">
        <v>14</v>
      </c>
    </row>
    <row r="1227" spans="1:14" x14ac:dyDescent="0.35">
      <c r="A1227">
        <v>1326</v>
      </c>
      <c r="B1227" t="s">
        <v>15</v>
      </c>
      <c r="C1227" s="6">
        <v>44866</v>
      </c>
      <c r="D1227">
        <f>YEAR(Table1[[#This Row],[Join Date]])</f>
        <v>2022</v>
      </c>
      <c r="E1227" s="6" t="s">
        <v>48</v>
      </c>
      <c r="F1227" t="str">
        <f>IFERROR(YEAR(Table1[[#This Row],[Exit Date]]), " ")</f>
        <v xml:space="preserve"> </v>
      </c>
      <c r="G1227" t="str">
        <f>IFERROR((Table1[[#This Row],[Exit Year]]-Table1[[#This Row],[Join Year]])+1," ")</f>
        <v xml:space="preserve"> </v>
      </c>
      <c r="H1227" t="s">
        <v>48</v>
      </c>
      <c r="I1227" t="s">
        <v>11</v>
      </c>
      <c r="J1227" t="s">
        <v>12</v>
      </c>
      <c r="K1227">
        <v>52</v>
      </c>
      <c r="L1227" t="str">
        <f>IF(Table1[[#This Row],[Age]]&lt;30,"20-29",
IF(Table1[[#This Row],[Age]]&lt;40,"30-39",
IF(Table1[[#This Row],[Age]]&lt;50,"40-49",
IF(Table1[[#This Row],[Age]]&lt;60,"50-59","60+"))))</f>
        <v>50-59</v>
      </c>
      <c r="M1227" t="s">
        <v>20</v>
      </c>
      <c r="N1227" t="s">
        <v>19</v>
      </c>
    </row>
    <row r="1228" spans="1:14" x14ac:dyDescent="0.35">
      <c r="A1228">
        <v>1327</v>
      </c>
      <c r="B1228" t="s">
        <v>34</v>
      </c>
      <c r="C1228" s="6">
        <v>44006</v>
      </c>
      <c r="D1228">
        <f>YEAR(Table1[[#This Row],[Join Date]])</f>
        <v>2020</v>
      </c>
      <c r="E1228" s="6">
        <v>44463</v>
      </c>
      <c r="F1228">
        <f>IFERROR(YEAR(Table1[[#This Row],[Exit Date]]), " ")</f>
        <v>2021</v>
      </c>
      <c r="G1228">
        <f>IFERROR((Table1[[#This Row],[Exit Year]]-Table1[[#This Row],[Join Year]])+1," ")</f>
        <v>2</v>
      </c>
      <c r="H1228" t="s">
        <v>43</v>
      </c>
      <c r="I1228" t="s">
        <v>23</v>
      </c>
      <c r="J1228" t="s">
        <v>12</v>
      </c>
      <c r="K1228">
        <v>33</v>
      </c>
      <c r="L1228" t="str">
        <f>IF(Table1[[#This Row],[Age]]&lt;30,"20-29",
IF(Table1[[#This Row],[Age]]&lt;40,"30-39",
IF(Table1[[#This Row],[Age]]&lt;50,"40-49",
IF(Table1[[#This Row],[Age]]&lt;60,"50-59","60+"))))</f>
        <v>30-39</v>
      </c>
      <c r="M1228" t="s">
        <v>24</v>
      </c>
      <c r="N1228" t="s">
        <v>21</v>
      </c>
    </row>
    <row r="1229" spans="1:14" x14ac:dyDescent="0.35">
      <c r="A1229">
        <v>1328</v>
      </c>
      <c r="B1229" t="s">
        <v>26</v>
      </c>
      <c r="C1229" s="6">
        <v>45095</v>
      </c>
      <c r="D1229">
        <f>YEAR(Table1[[#This Row],[Join Date]])</f>
        <v>2023</v>
      </c>
      <c r="E1229" s="6" t="s">
        <v>48</v>
      </c>
      <c r="F1229" t="str">
        <f>IFERROR(YEAR(Table1[[#This Row],[Exit Date]]), " ")</f>
        <v xml:space="preserve"> </v>
      </c>
      <c r="G1229" t="str">
        <f>IFERROR((Table1[[#This Row],[Exit Year]]-Table1[[#This Row],[Join Year]])+1," ")</f>
        <v xml:space="preserve"> </v>
      </c>
      <c r="H1229" t="s">
        <v>48</v>
      </c>
      <c r="I1229" t="s">
        <v>11</v>
      </c>
      <c r="J1229" t="s">
        <v>18</v>
      </c>
      <c r="K1229">
        <v>51</v>
      </c>
      <c r="L1229" t="str">
        <f>IF(Table1[[#This Row],[Age]]&lt;30,"20-29",
IF(Table1[[#This Row],[Age]]&lt;40,"30-39",
IF(Table1[[#This Row],[Age]]&lt;50,"40-49",
IF(Table1[[#This Row],[Age]]&lt;60,"50-59","60+"))))</f>
        <v>50-59</v>
      </c>
      <c r="M1229" t="s">
        <v>13</v>
      </c>
      <c r="N1229" t="s">
        <v>37</v>
      </c>
    </row>
    <row r="1230" spans="1:14" x14ac:dyDescent="0.35">
      <c r="A1230">
        <v>1329</v>
      </c>
      <c r="B1230" t="s">
        <v>10</v>
      </c>
      <c r="C1230" s="6">
        <v>44360</v>
      </c>
      <c r="D1230">
        <f>YEAR(Table1[[#This Row],[Join Date]])</f>
        <v>2021</v>
      </c>
      <c r="E1230" s="6">
        <v>44755</v>
      </c>
      <c r="F1230">
        <f>IFERROR(YEAR(Table1[[#This Row],[Exit Date]]), " ")</f>
        <v>2022</v>
      </c>
      <c r="G1230">
        <f>IFERROR((Table1[[#This Row],[Exit Year]]-Table1[[#This Row],[Join Year]])+1," ")</f>
        <v>2</v>
      </c>
      <c r="H1230" t="s">
        <v>38</v>
      </c>
      <c r="I1230" t="s">
        <v>23</v>
      </c>
      <c r="J1230" t="s">
        <v>18</v>
      </c>
      <c r="K1230">
        <v>46</v>
      </c>
      <c r="L1230" t="str">
        <f>IF(Table1[[#This Row],[Age]]&lt;30,"20-29",
IF(Table1[[#This Row],[Age]]&lt;40,"30-39",
IF(Table1[[#This Row],[Age]]&lt;50,"40-49",
IF(Table1[[#This Row],[Age]]&lt;60,"50-59","60+"))))</f>
        <v>40-49</v>
      </c>
      <c r="M1230" t="s">
        <v>42</v>
      </c>
      <c r="N1230" t="s">
        <v>25</v>
      </c>
    </row>
    <row r="1231" spans="1:14" x14ac:dyDescent="0.35">
      <c r="A1231">
        <v>1330</v>
      </c>
      <c r="B1231" t="s">
        <v>26</v>
      </c>
      <c r="C1231" s="6">
        <v>43419</v>
      </c>
      <c r="D1231">
        <f>YEAR(Table1[[#This Row],[Join Date]])</f>
        <v>2018</v>
      </c>
      <c r="E1231" s="6">
        <v>44303</v>
      </c>
      <c r="F1231">
        <f>IFERROR(YEAR(Table1[[#This Row],[Exit Date]]), " ")</f>
        <v>2021</v>
      </c>
      <c r="G1231">
        <f>IFERROR((Table1[[#This Row],[Exit Year]]-Table1[[#This Row],[Join Year]])+1," ")</f>
        <v>4</v>
      </c>
      <c r="H1231" t="s">
        <v>22</v>
      </c>
      <c r="I1231" t="s">
        <v>23</v>
      </c>
      <c r="J1231" t="s">
        <v>12</v>
      </c>
      <c r="K1231">
        <v>53</v>
      </c>
      <c r="L1231" t="str">
        <f>IF(Table1[[#This Row],[Age]]&lt;30,"20-29",
IF(Table1[[#This Row],[Age]]&lt;40,"30-39",
IF(Table1[[#This Row],[Age]]&lt;50,"40-49",
IF(Table1[[#This Row],[Age]]&lt;60,"50-59","60+"))))</f>
        <v>50-59</v>
      </c>
      <c r="M1231" t="s">
        <v>13</v>
      </c>
      <c r="N1231" t="s">
        <v>35</v>
      </c>
    </row>
    <row r="1232" spans="1:14" x14ac:dyDescent="0.35">
      <c r="A1232">
        <v>1331</v>
      </c>
      <c r="B1232" t="s">
        <v>36</v>
      </c>
      <c r="C1232" s="6">
        <v>44249</v>
      </c>
      <c r="D1232">
        <f>YEAR(Table1[[#This Row],[Join Date]])</f>
        <v>2021</v>
      </c>
      <c r="E1232" s="6" t="s">
        <v>48</v>
      </c>
      <c r="F1232" t="str">
        <f>IFERROR(YEAR(Table1[[#This Row],[Exit Date]]), " ")</f>
        <v xml:space="preserve"> </v>
      </c>
      <c r="G1232" t="str">
        <f>IFERROR((Table1[[#This Row],[Exit Year]]-Table1[[#This Row],[Join Year]])+1," ")</f>
        <v xml:space="preserve"> </v>
      </c>
      <c r="H1232" t="s">
        <v>48</v>
      </c>
      <c r="I1232" t="s">
        <v>11</v>
      </c>
      <c r="J1232" t="s">
        <v>12</v>
      </c>
      <c r="K1232">
        <v>35</v>
      </c>
      <c r="L1232" t="str">
        <f>IF(Table1[[#This Row],[Age]]&lt;30,"20-29",
IF(Table1[[#This Row],[Age]]&lt;40,"30-39",
IF(Table1[[#This Row],[Age]]&lt;50,"40-49",
IF(Table1[[#This Row],[Age]]&lt;60,"50-59","60+"))))</f>
        <v>30-39</v>
      </c>
      <c r="M1232" t="s">
        <v>13</v>
      </c>
      <c r="N1232" t="s">
        <v>14</v>
      </c>
    </row>
    <row r="1233" spans="1:14" x14ac:dyDescent="0.35">
      <c r="A1233">
        <v>1332</v>
      </c>
      <c r="B1233" t="s">
        <v>10</v>
      </c>
      <c r="C1233" s="6">
        <v>45533</v>
      </c>
      <c r="D1233">
        <f>YEAR(Table1[[#This Row],[Join Date]])</f>
        <v>2024</v>
      </c>
      <c r="E1233" s="6" t="s">
        <v>48</v>
      </c>
      <c r="F1233" t="str">
        <f>IFERROR(YEAR(Table1[[#This Row],[Exit Date]]), " ")</f>
        <v xml:space="preserve"> </v>
      </c>
      <c r="G1233" t="str">
        <f>IFERROR((Table1[[#This Row],[Exit Year]]-Table1[[#This Row],[Join Year]])+1," ")</f>
        <v xml:space="preserve"> </v>
      </c>
      <c r="H1233" t="s">
        <v>48</v>
      </c>
      <c r="I1233" t="s">
        <v>11</v>
      </c>
      <c r="J1233" t="s">
        <v>12</v>
      </c>
      <c r="K1233">
        <v>32</v>
      </c>
      <c r="L1233" t="str">
        <f>IF(Table1[[#This Row],[Age]]&lt;30,"20-29",
IF(Table1[[#This Row],[Age]]&lt;40,"30-39",
IF(Table1[[#This Row],[Age]]&lt;50,"40-49",
IF(Table1[[#This Row],[Age]]&lt;60,"50-59","60+"))))</f>
        <v>30-39</v>
      </c>
      <c r="M1233" t="s">
        <v>16</v>
      </c>
      <c r="N1233" t="s">
        <v>17</v>
      </c>
    </row>
    <row r="1234" spans="1:14" x14ac:dyDescent="0.35">
      <c r="A1234">
        <v>1333</v>
      </c>
      <c r="B1234" t="s">
        <v>36</v>
      </c>
      <c r="C1234" s="6">
        <v>44377</v>
      </c>
      <c r="D1234">
        <f>YEAR(Table1[[#This Row],[Join Date]])</f>
        <v>2021</v>
      </c>
      <c r="E1234" s="6" t="s">
        <v>48</v>
      </c>
      <c r="F1234" t="str">
        <f>IFERROR(YEAR(Table1[[#This Row],[Exit Date]]), " ")</f>
        <v xml:space="preserve"> </v>
      </c>
      <c r="G1234" t="str">
        <f>IFERROR((Table1[[#This Row],[Exit Year]]-Table1[[#This Row],[Join Year]])+1," ")</f>
        <v xml:space="preserve"> </v>
      </c>
      <c r="H1234" t="s">
        <v>48</v>
      </c>
      <c r="I1234" t="s">
        <v>11</v>
      </c>
      <c r="J1234" t="s">
        <v>12</v>
      </c>
      <c r="K1234">
        <v>46</v>
      </c>
      <c r="L1234" t="str">
        <f>IF(Table1[[#This Row],[Age]]&lt;30,"20-29",
IF(Table1[[#This Row],[Age]]&lt;40,"30-39",
IF(Table1[[#This Row],[Age]]&lt;50,"40-49",
IF(Table1[[#This Row],[Age]]&lt;60,"50-59","60+"))))</f>
        <v>40-49</v>
      </c>
      <c r="M1234" t="s">
        <v>13</v>
      </c>
      <c r="N1234" t="s">
        <v>19</v>
      </c>
    </row>
    <row r="1235" spans="1:14" x14ac:dyDescent="0.35">
      <c r="A1235">
        <v>1334</v>
      </c>
      <c r="B1235" t="s">
        <v>10</v>
      </c>
      <c r="C1235" s="6">
        <v>44088</v>
      </c>
      <c r="D1235">
        <f>YEAR(Table1[[#This Row],[Join Date]])</f>
        <v>2020</v>
      </c>
      <c r="E1235" s="6" t="s">
        <v>48</v>
      </c>
      <c r="F1235" t="str">
        <f>IFERROR(YEAR(Table1[[#This Row],[Exit Date]]), " ")</f>
        <v xml:space="preserve"> </v>
      </c>
      <c r="G1235" t="str">
        <f>IFERROR((Table1[[#This Row],[Exit Year]]-Table1[[#This Row],[Join Year]])+1," ")</f>
        <v xml:space="preserve"> </v>
      </c>
      <c r="H1235" t="s">
        <v>48</v>
      </c>
      <c r="I1235" t="s">
        <v>11</v>
      </c>
      <c r="J1235" t="s">
        <v>12</v>
      </c>
      <c r="K1235">
        <v>50</v>
      </c>
      <c r="L1235" t="str">
        <f>IF(Table1[[#This Row],[Age]]&lt;30,"20-29",
IF(Table1[[#This Row],[Age]]&lt;40,"30-39",
IF(Table1[[#This Row],[Age]]&lt;50,"40-49",
IF(Table1[[#This Row],[Age]]&lt;60,"50-59","60+"))))</f>
        <v>50-59</v>
      </c>
      <c r="M1235" t="s">
        <v>20</v>
      </c>
      <c r="N1235" t="s">
        <v>21</v>
      </c>
    </row>
    <row r="1236" spans="1:14" x14ac:dyDescent="0.35">
      <c r="A1236">
        <v>1335</v>
      </c>
      <c r="B1236" t="s">
        <v>26</v>
      </c>
      <c r="C1236" s="6">
        <v>43373</v>
      </c>
      <c r="D1236">
        <f>YEAR(Table1[[#This Row],[Join Date]])</f>
        <v>2018</v>
      </c>
      <c r="E1236" s="6">
        <v>44825</v>
      </c>
      <c r="F1236">
        <f>IFERROR(YEAR(Table1[[#This Row],[Exit Date]]), " ")</f>
        <v>2022</v>
      </c>
      <c r="G1236">
        <f>IFERROR((Table1[[#This Row],[Exit Year]]-Table1[[#This Row],[Join Year]])+1," ")</f>
        <v>5</v>
      </c>
      <c r="H1236" t="s">
        <v>27</v>
      </c>
      <c r="I1236" t="s">
        <v>23</v>
      </c>
      <c r="J1236" t="s">
        <v>12</v>
      </c>
      <c r="K1236">
        <v>64</v>
      </c>
      <c r="L1236" t="str">
        <f>IF(Table1[[#This Row],[Age]]&lt;30,"20-29",
IF(Table1[[#This Row],[Age]]&lt;40,"30-39",
IF(Table1[[#This Row],[Age]]&lt;50,"40-49",
IF(Table1[[#This Row],[Age]]&lt;60,"50-59","60+"))))</f>
        <v>60+</v>
      </c>
      <c r="M1236" t="s">
        <v>39</v>
      </c>
      <c r="N1236" t="s">
        <v>25</v>
      </c>
    </row>
    <row r="1237" spans="1:14" x14ac:dyDescent="0.35">
      <c r="A1237">
        <v>1336</v>
      </c>
      <c r="B1237" t="s">
        <v>26</v>
      </c>
      <c r="C1237" s="6">
        <v>43314</v>
      </c>
      <c r="D1237">
        <f>YEAR(Table1[[#This Row],[Join Date]])</f>
        <v>2018</v>
      </c>
      <c r="E1237" s="6" t="s">
        <v>48</v>
      </c>
      <c r="F1237" t="str">
        <f>IFERROR(YEAR(Table1[[#This Row],[Exit Date]]), " ")</f>
        <v xml:space="preserve"> </v>
      </c>
      <c r="G1237" t="str">
        <f>IFERROR((Table1[[#This Row],[Exit Year]]-Table1[[#This Row],[Join Year]])+1," ")</f>
        <v xml:space="preserve"> </v>
      </c>
      <c r="H1237" t="s">
        <v>48</v>
      </c>
      <c r="I1237" t="s">
        <v>11</v>
      </c>
      <c r="J1237" t="s">
        <v>18</v>
      </c>
      <c r="K1237">
        <v>29</v>
      </c>
      <c r="L1237" t="str">
        <f>IF(Table1[[#This Row],[Age]]&lt;30,"20-29",
IF(Table1[[#This Row],[Age]]&lt;40,"30-39",
IF(Table1[[#This Row],[Age]]&lt;50,"40-49",
IF(Table1[[#This Row],[Age]]&lt;60,"50-59","60+"))))</f>
        <v>20-29</v>
      </c>
      <c r="M1237" t="s">
        <v>13</v>
      </c>
      <c r="N1237" t="s">
        <v>28</v>
      </c>
    </row>
    <row r="1238" spans="1:14" x14ac:dyDescent="0.35">
      <c r="A1238">
        <v>1337</v>
      </c>
      <c r="B1238" t="s">
        <v>26</v>
      </c>
      <c r="C1238" s="6">
        <v>44418</v>
      </c>
      <c r="D1238">
        <f>YEAR(Table1[[#This Row],[Join Date]])</f>
        <v>2021</v>
      </c>
      <c r="E1238" s="6">
        <v>45628</v>
      </c>
      <c r="F1238">
        <f>IFERROR(YEAR(Table1[[#This Row],[Exit Date]]), " ")</f>
        <v>2024</v>
      </c>
      <c r="G1238">
        <f>IFERROR((Table1[[#This Row],[Exit Year]]-Table1[[#This Row],[Join Year]])+1," ")</f>
        <v>4</v>
      </c>
      <c r="H1238" t="s">
        <v>22</v>
      </c>
      <c r="I1238" t="s">
        <v>23</v>
      </c>
      <c r="J1238" t="s">
        <v>12</v>
      </c>
      <c r="K1238">
        <v>27</v>
      </c>
      <c r="L1238" t="str">
        <f>IF(Table1[[#This Row],[Age]]&lt;30,"20-29",
IF(Table1[[#This Row],[Age]]&lt;40,"30-39",
IF(Table1[[#This Row],[Age]]&lt;50,"40-49",
IF(Table1[[#This Row],[Age]]&lt;60,"50-59","60+"))))</f>
        <v>20-29</v>
      </c>
      <c r="M1238" t="s">
        <v>16</v>
      </c>
      <c r="N1238" t="s">
        <v>31</v>
      </c>
    </row>
    <row r="1239" spans="1:14" x14ac:dyDescent="0.35">
      <c r="A1239">
        <v>1338</v>
      </c>
      <c r="B1239" t="s">
        <v>34</v>
      </c>
      <c r="C1239" s="6">
        <v>44324</v>
      </c>
      <c r="D1239">
        <f>YEAR(Table1[[#This Row],[Join Date]])</f>
        <v>2021</v>
      </c>
      <c r="E1239" s="6">
        <v>45076</v>
      </c>
      <c r="F1239">
        <f>IFERROR(YEAR(Table1[[#This Row],[Exit Date]]), " ")</f>
        <v>2023</v>
      </c>
      <c r="G1239">
        <f>IFERROR((Table1[[#This Row],[Exit Year]]-Table1[[#This Row],[Join Year]])+1," ")</f>
        <v>3</v>
      </c>
      <c r="H1239" t="s">
        <v>40</v>
      </c>
      <c r="I1239" t="s">
        <v>23</v>
      </c>
      <c r="J1239" t="s">
        <v>18</v>
      </c>
      <c r="K1239">
        <v>31</v>
      </c>
      <c r="L1239" t="str">
        <f>IF(Table1[[#This Row],[Age]]&lt;30,"20-29",
IF(Table1[[#This Row],[Age]]&lt;40,"30-39",
IF(Table1[[#This Row],[Age]]&lt;50,"40-49",
IF(Table1[[#This Row],[Age]]&lt;60,"50-59","60+"))))</f>
        <v>30-39</v>
      </c>
      <c r="M1239" t="s">
        <v>16</v>
      </c>
      <c r="N1239" t="s">
        <v>32</v>
      </c>
    </row>
    <row r="1240" spans="1:14" x14ac:dyDescent="0.35">
      <c r="A1240">
        <v>1339</v>
      </c>
      <c r="B1240" t="s">
        <v>10</v>
      </c>
      <c r="C1240" s="6">
        <v>43513</v>
      </c>
      <c r="D1240">
        <f>YEAR(Table1[[#This Row],[Join Date]])</f>
        <v>2019</v>
      </c>
      <c r="E1240" s="6">
        <v>44923</v>
      </c>
      <c r="F1240">
        <f>IFERROR(YEAR(Table1[[#This Row],[Exit Date]]), " ")</f>
        <v>2022</v>
      </c>
      <c r="G1240">
        <f>IFERROR((Table1[[#This Row],[Exit Year]]-Table1[[#This Row],[Join Year]])+1," ")</f>
        <v>4</v>
      </c>
      <c r="H1240" t="s">
        <v>38</v>
      </c>
      <c r="I1240" t="s">
        <v>23</v>
      </c>
      <c r="J1240" t="s">
        <v>18</v>
      </c>
      <c r="K1240">
        <v>24</v>
      </c>
      <c r="L1240" t="str">
        <f>IF(Table1[[#This Row],[Age]]&lt;30,"20-29",
IF(Table1[[#This Row],[Age]]&lt;40,"30-39",
IF(Table1[[#This Row],[Age]]&lt;50,"40-49",
IF(Table1[[#This Row],[Age]]&lt;60,"50-59","60+"))))</f>
        <v>20-29</v>
      </c>
      <c r="M1240" t="s">
        <v>20</v>
      </c>
      <c r="N1240" t="s">
        <v>33</v>
      </c>
    </row>
    <row r="1241" spans="1:14" x14ac:dyDescent="0.35">
      <c r="A1241">
        <v>1340</v>
      </c>
      <c r="B1241" t="s">
        <v>36</v>
      </c>
      <c r="C1241" s="6">
        <v>44180</v>
      </c>
      <c r="D1241">
        <f>YEAR(Table1[[#This Row],[Join Date]])</f>
        <v>2020</v>
      </c>
      <c r="E1241" s="6" t="s">
        <v>48</v>
      </c>
      <c r="F1241" t="str">
        <f>IFERROR(YEAR(Table1[[#This Row],[Exit Date]]), " ")</f>
        <v xml:space="preserve"> </v>
      </c>
      <c r="G1241" t="str">
        <f>IFERROR((Table1[[#This Row],[Exit Year]]-Table1[[#This Row],[Join Year]])+1," ")</f>
        <v xml:space="preserve"> </v>
      </c>
      <c r="H1241" t="s">
        <v>48</v>
      </c>
      <c r="I1241" t="s">
        <v>11</v>
      </c>
      <c r="J1241" t="s">
        <v>12</v>
      </c>
      <c r="K1241">
        <v>37</v>
      </c>
      <c r="L1241" t="str">
        <f>IF(Table1[[#This Row],[Age]]&lt;30,"20-29",
IF(Table1[[#This Row],[Age]]&lt;40,"30-39",
IF(Table1[[#This Row],[Age]]&lt;50,"40-49",
IF(Table1[[#This Row],[Age]]&lt;60,"50-59","60+"))))</f>
        <v>30-39</v>
      </c>
      <c r="M1241" t="s">
        <v>24</v>
      </c>
      <c r="N1241" t="s">
        <v>35</v>
      </c>
    </row>
    <row r="1242" spans="1:14" x14ac:dyDescent="0.35">
      <c r="A1242">
        <v>1341</v>
      </c>
      <c r="B1242" t="s">
        <v>34</v>
      </c>
      <c r="C1242" s="6">
        <v>44099</v>
      </c>
      <c r="D1242">
        <f>YEAR(Table1[[#This Row],[Join Date]])</f>
        <v>2020</v>
      </c>
      <c r="E1242" s="6" t="s">
        <v>48</v>
      </c>
      <c r="F1242" t="str">
        <f>IFERROR(YEAR(Table1[[#This Row],[Exit Date]]), " ")</f>
        <v xml:space="preserve"> </v>
      </c>
      <c r="G1242" t="str">
        <f>IFERROR((Table1[[#This Row],[Exit Year]]-Table1[[#This Row],[Join Year]])+1," ")</f>
        <v xml:space="preserve"> </v>
      </c>
      <c r="H1242" t="s">
        <v>48</v>
      </c>
      <c r="I1242" t="s">
        <v>11</v>
      </c>
      <c r="J1242" t="s">
        <v>18</v>
      </c>
      <c r="K1242">
        <v>23</v>
      </c>
      <c r="L1242" t="str">
        <f>IF(Table1[[#This Row],[Age]]&lt;30,"20-29",
IF(Table1[[#This Row],[Age]]&lt;40,"30-39",
IF(Table1[[#This Row],[Age]]&lt;50,"40-49",
IF(Table1[[#This Row],[Age]]&lt;60,"50-59","60+"))))</f>
        <v>20-29</v>
      </c>
      <c r="M1242" t="s">
        <v>13</v>
      </c>
      <c r="N1242" t="s">
        <v>37</v>
      </c>
    </row>
    <row r="1243" spans="1:14" x14ac:dyDescent="0.35">
      <c r="A1243">
        <v>1342</v>
      </c>
      <c r="B1243" t="s">
        <v>34</v>
      </c>
      <c r="C1243" s="6">
        <v>45632</v>
      </c>
      <c r="D1243">
        <f>YEAR(Table1[[#This Row],[Join Date]])</f>
        <v>2024</v>
      </c>
      <c r="E1243" s="6" t="s">
        <v>48</v>
      </c>
      <c r="F1243" t="str">
        <f>IFERROR(YEAR(Table1[[#This Row],[Exit Date]]), " ")</f>
        <v xml:space="preserve"> </v>
      </c>
      <c r="G1243" t="str">
        <f>IFERROR((Table1[[#This Row],[Exit Year]]-Table1[[#This Row],[Join Year]])+1," ")</f>
        <v xml:space="preserve"> </v>
      </c>
      <c r="H1243" t="s">
        <v>48</v>
      </c>
      <c r="I1243" t="s">
        <v>11</v>
      </c>
      <c r="J1243" t="s">
        <v>12</v>
      </c>
      <c r="K1243">
        <v>31</v>
      </c>
      <c r="L1243" t="str">
        <f>IF(Table1[[#This Row],[Age]]&lt;30,"20-29",
IF(Table1[[#This Row],[Age]]&lt;40,"30-39",
IF(Table1[[#This Row],[Age]]&lt;50,"40-49",
IF(Table1[[#This Row],[Age]]&lt;60,"50-59","60+"))))</f>
        <v>30-39</v>
      </c>
      <c r="M1243" t="s">
        <v>30</v>
      </c>
      <c r="N1243" t="s">
        <v>19</v>
      </c>
    </row>
    <row r="1244" spans="1:14" x14ac:dyDescent="0.35">
      <c r="A1244">
        <v>1343</v>
      </c>
      <c r="B1244" t="s">
        <v>36</v>
      </c>
      <c r="C1244" s="6">
        <v>45294</v>
      </c>
      <c r="D1244">
        <f>YEAR(Table1[[#This Row],[Join Date]])</f>
        <v>2024</v>
      </c>
      <c r="E1244" s="6" t="s">
        <v>48</v>
      </c>
      <c r="F1244" t="str">
        <f>IFERROR(YEAR(Table1[[#This Row],[Exit Date]]), " ")</f>
        <v xml:space="preserve"> </v>
      </c>
      <c r="G1244" t="str">
        <f>IFERROR((Table1[[#This Row],[Exit Year]]-Table1[[#This Row],[Join Year]])+1," ")</f>
        <v xml:space="preserve"> </v>
      </c>
      <c r="H1244" t="s">
        <v>48</v>
      </c>
      <c r="I1244" t="s">
        <v>11</v>
      </c>
      <c r="J1244" t="s">
        <v>12</v>
      </c>
      <c r="K1244">
        <v>52</v>
      </c>
      <c r="L1244" t="str">
        <f>IF(Table1[[#This Row],[Age]]&lt;30,"20-29",
IF(Table1[[#This Row],[Age]]&lt;40,"30-39",
IF(Table1[[#This Row],[Age]]&lt;50,"40-49",
IF(Table1[[#This Row],[Age]]&lt;60,"50-59","60+"))))</f>
        <v>50-59</v>
      </c>
      <c r="M1244" t="s">
        <v>13</v>
      </c>
      <c r="N1244" t="s">
        <v>25</v>
      </c>
    </row>
    <row r="1245" spans="1:14" x14ac:dyDescent="0.35">
      <c r="A1245">
        <v>1344</v>
      </c>
      <c r="B1245" t="s">
        <v>26</v>
      </c>
      <c r="C1245" s="6">
        <v>44590</v>
      </c>
      <c r="D1245">
        <f>YEAR(Table1[[#This Row],[Join Date]])</f>
        <v>2022</v>
      </c>
      <c r="E1245" s="6" t="s">
        <v>48</v>
      </c>
      <c r="F1245" t="str">
        <f>IFERROR(YEAR(Table1[[#This Row],[Exit Date]]), " ")</f>
        <v xml:space="preserve"> </v>
      </c>
      <c r="G1245" t="str">
        <f>IFERROR((Table1[[#This Row],[Exit Year]]-Table1[[#This Row],[Join Year]])+1," ")</f>
        <v xml:space="preserve"> </v>
      </c>
      <c r="H1245" t="s">
        <v>48</v>
      </c>
      <c r="I1245" t="s">
        <v>11</v>
      </c>
      <c r="J1245" t="s">
        <v>18</v>
      </c>
      <c r="K1245">
        <v>25</v>
      </c>
      <c r="L1245" t="str">
        <f>IF(Table1[[#This Row],[Age]]&lt;30,"20-29",
IF(Table1[[#This Row],[Age]]&lt;40,"30-39",
IF(Table1[[#This Row],[Age]]&lt;50,"40-49",
IF(Table1[[#This Row],[Age]]&lt;60,"50-59","60+"))))</f>
        <v>20-29</v>
      </c>
      <c r="M1245" t="s">
        <v>13</v>
      </c>
      <c r="N1245" t="s">
        <v>35</v>
      </c>
    </row>
    <row r="1246" spans="1:14" x14ac:dyDescent="0.35">
      <c r="A1246">
        <v>1345</v>
      </c>
      <c r="B1246" t="s">
        <v>15</v>
      </c>
      <c r="C1246" s="6">
        <v>45215</v>
      </c>
      <c r="D1246">
        <f>YEAR(Table1[[#This Row],[Join Date]])</f>
        <v>2023</v>
      </c>
      <c r="E1246" s="6" t="s">
        <v>48</v>
      </c>
      <c r="F1246" t="str">
        <f>IFERROR(YEAR(Table1[[#This Row],[Exit Date]]), " ")</f>
        <v xml:space="preserve"> </v>
      </c>
      <c r="G1246" t="str">
        <f>IFERROR((Table1[[#This Row],[Exit Year]]-Table1[[#This Row],[Join Year]])+1," ")</f>
        <v xml:space="preserve"> </v>
      </c>
      <c r="H1246" t="s">
        <v>48</v>
      </c>
      <c r="I1246" t="s">
        <v>11</v>
      </c>
      <c r="J1246" t="s">
        <v>12</v>
      </c>
      <c r="K1246">
        <v>46</v>
      </c>
      <c r="L1246" t="str">
        <f>IF(Table1[[#This Row],[Age]]&lt;30,"20-29",
IF(Table1[[#This Row],[Age]]&lt;40,"30-39",
IF(Table1[[#This Row],[Age]]&lt;50,"40-49",
IF(Table1[[#This Row],[Age]]&lt;60,"50-59","60+"))))</f>
        <v>40-49</v>
      </c>
      <c r="M1246" t="s">
        <v>16</v>
      </c>
      <c r="N1246" t="s">
        <v>17</v>
      </c>
    </row>
    <row r="1247" spans="1:14" x14ac:dyDescent="0.35">
      <c r="A1247">
        <v>1346</v>
      </c>
      <c r="B1247" t="s">
        <v>15</v>
      </c>
      <c r="C1247" s="6">
        <v>43624</v>
      </c>
      <c r="D1247">
        <f>YEAR(Table1[[#This Row],[Join Date]])</f>
        <v>2019</v>
      </c>
      <c r="E1247" s="6">
        <v>44228</v>
      </c>
      <c r="F1247">
        <f>IFERROR(YEAR(Table1[[#This Row],[Exit Date]]), " ")</f>
        <v>2021</v>
      </c>
      <c r="G1247">
        <f>IFERROR((Table1[[#This Row],[Exit Year]]-Table1[[#This Row],[Join Year]])+1," ")</f>
        <v>3</v>
      </c>
      <c r="H1247" t="s">
        <v>41</v>
      </c>
      <c r="I1247" t="s">
        <v>23</v>
      </c>
      <c r="J1247" t="s">
        <v>18</v>
      </c>
      <c r="K1247">
        <v>24</v>
      </c>
      <c r="L1247" t="str">
        <f>IF(Table1[[#This Row],[Age]]&lt;30,"20-29",
IF(Table1[[#This Row],[Age]]&lt;40,"30-39",
IF(Table1[[#This Row],[Age]]&lt;50,"40-49",
IF(Table1[[#This Row],[Age]]&lt;60,"50-59","60+"))))</f>
        <v>20-29</v>
      </c>
      <c r="M1247" t="s">
        <v>13</v>
      </c>
      <c r="N1247" t="s">
        <v>19</v>
      </c>
    </row>
    <row r="1248" spans="1:14" x14ac:dyDescent="0.35">
      <c r="A1248">
        <v>1347</v>
      </c>
      <c r="B1248" t="s">
        <v>15</v>
      </c>
      <c r="C1248" s="6">
        <v>44514</v>
      </c>
      <c r="D1248">
        <f>YEAR(Table1[[#This Row],[Join Date]])</f>
        <v>2021</v>
      </c>
      <c r="E1248" s="6">
        <v>45529</v>
      </c>
      <c r="F1248">
        <f>IFERROR(YEAR(Table1[[#This Row],[Exit Date]]), " ")</f>
        <v>2024</v>
      </c>
      <c r="G1248">
        <f>IFERROR((Table1[[#This Row],[Exit Year]]-Table1[[#This Row],[Join Year]])+1," ")</f>
        <v>4</v>
      </c>
      <c r="H1248" t="s">
        <v>46</v>
      </c>
      <c r="I1248" t="s">
        <v>23</v>
      </c>
      <c r="J1248" t="s">
        <v>18</v>
      </c>
      <c r="K1248">
        <v>38</v>
      </c>
      <c r="L1248" t="str">
        <f>IF(Table1[[#This Row],[Age]]&lt;30,"20-29",
IF(Table1[[#This Row],[Age]]&lt;40,"30-39",
IF(Table1[[#This Row],[Age]]&lt;50,"40-49",
IF(Table1[[#This Row],[Age]]&lt;60,"50-59","60+"))))</f>
        <v>30-39</v>
      </c>
      <c r="M1248" t="s">
        <v>20</v>
      </c>
      <c r="N1248" t="s">
        <v>21</v>
      </c>
    </row>
    <row r="1249" spans="1:14" x14ac:dyDescent="0.35">
      <c r="A1249">
        <v>1348</v>
      </c>
      <c r="B1249" t="s">
        <v>29</v>
      </c>
      <c r="C1249" s="6">
        <v>43700</v>
      </c>
      <c r="D1249">
        <f>YEAR(Table1[[#This Row],[Join Date]])</f>
        <v>2019</v>
      </c>
      <c r="E1249" s="6" t="s">
        <v>48</v>
      </c>
      <c r="F1249" t="str">
        <f>IFERROR(YEAR(Table1[[#This Row],[Exit Date]]), " ")</f>
        <v xml:space="preserve"> </v>
      </c>
      <c r="G1249" t="str">
        <f>IFERROR((Table1[[#This Row],[Exit Year]]-Table1[[#This Row],[Join Year]])+1," ")</f>
        <v xml:space="preserve"> </v>
      </c>
      <c r="H1249" t="s">
        <v>48</v>
      </c>
      <c r="I1249" t="s">
        <v>11</v>
      </c>
      <c r="J1249" t="s">
        <v>12</v>
      </c>
      <c r="K1249">
        <v>49</v>
      </c>
      <c r="L1249" t="str">
        <f>IF(Table1[[#This Row],[Age]]&lt;30,"20-29",
IF(Table1[[#This Row],[Age]]&lt;40,"30-39",
IF(Table1[[#This Row],[Age]]&lt;50,"40-49",
IF(Table1[[#This Row],[Age]]&lt;60,"50-59","60+"))))</f>
        <v>40-49</v>
      </c>
      <c r="M1249" t="s">
        <v>39</v>
      </c>
      <c r="N1249" t="s">
        <v>25</v>
      </c>
    </row>
    <row r="1250" spans="1:14" x14ac:dyDescent="0.35">
      <c r="A1250">
        <v>1349</v>
      </c>
      <c r="B1250" t="s">
        <v>34</v>
      </c>
      <c r="C1250" s="6">
        <v>45540</v>
      </c>
      <c r="D1250">
        <f>YEAR(Table1[[#This Row],[Join Date]])</f>
        <v>2024</v>
      </c>
      <c r="E1250" s="6" t="s">
        <v>48</v>
      </c>
      <c r="F1250" t="str">
        <f>IFERROR(YEAR(Table1[[#This Row],[Exit Date]]), " ")</f>
        <v xml:space="preserve"> </v>
      </c>
      <c r="G1250" t="str">
        <f>IFERROR((Table1[[#This Row],[Exit Year]]-Table1[[#This Row],[Join Year]])+1," ")</f>
        <v xml:space="preserve"> </v>
      </c>
      <c r="H1250" t="s">
        <v>48</v>
      </c>
      <c r="I1250" t="s">
        <v>11</v>
      </c>
      <c r="J1250" t="s">
        <v>12</v>
      </c>
      <c r="K1250">
        <v>31</v>
      </c>
      <c r="L1250" t="str">
        <f>IF(Table1[[#This Row],[Age]]&lt;30,"20-29",
IF(Table1[[#This Row],[Age]]&lt;40,"30-39",
IF(Table1[[#This Row],[Age]]&lt;50,"40-49",
IF(Table1[[#This Row],[Age]]&lt;60,"50-59","60+"))))</f>
        <v>30-39</v>
      </c>
      <c r="M1250" t="s">
        <v>13</v>
      </c>
      <c r="N1250" t="s">
        <v>35</v>
      </c>
    </row>
    <row r="1251" spans="1:14" x14ac:dyDescent="0.35">
      <c r="A1251">
        <v>1350</v>
      </c>
      <c r="B1251" t="s">
        <v>10</v>
      </c>
      <c r="C1251" s="6">
        <v>43297</v>
      </c>
      <c r="D1251">
        <f>YEAR(Table1[[#This Row],[Join Date]])</f>
        <v>2018</v>
      </c>
      <c r="E1251" s="6">
        <v>44682</v>
      </c>
      <c r="F1251">
        <f>IFERROR(YEAR(Table1[[#This Row],[Exit Date]]), " ")</f>
        <v>2022</v>
      </c>
      <c r="G1251">
        <f>IFERROR((Table1[[#This Row],[Exit Year]]-Table1[[#This Row],[Join Year]])+1," ")</f>
        <v>5</v>
      </c>
      <c r="H1251" t="s">
        <v>40</v>
      </c>
      <c r="I1251" t="s">
        <v>23</v>
      </c>
      <c r="J1251" t="s">
        <v>12</v>
      </c>
      <c r="K1251">
        <v>51</v>
      </c>
      <c r="L1251" t="str">
        <f>IF(Table1[[#This Row],[Age]]&lt;30,"20-29",
IF(Table1[[#This Row],[Age]]&lt;40,"30-39",
IF(Table1[[#This Row],[Age]]&lt;50,"40-49",
IF(Table1[[#This Row],[Age]]&lt;60,"50-59","60+"))))</f>
        <v>50-59</v>
      </c>
      <c r="M1251" t="s">
        <v>16</v>
      </c>
      <c r="N1251" t="s">
        <v>14</v>
      </c>
    </row>
    <row r="1252" spans="1:14" x14ac:dyDescent="0.35">
      <c r="A1252">
        <v>1351</v>
      </c>
      <c r="B1252" t="s">
        <v>10</v>
      </c>
      <c r="C1252" s="6">
        <v>43407</v>
      </c>
      <c r="D1252">
        <f>YEAR(Table1[[#This Row],[Join Date]])</f>
        <v>2018</v>
      </c>
      <c r="E1252" s="6" t="s">
        <v>48</v>
      </c>
      <c r="F1252" t="str">
        <f>IFERROR(YEAR(Table1[[#This Row],[Exit Date]]), " ")</f>
        <v xml:space="preserve"> </v>
      </c>
      <c r="G1252" t="str">
        <f>IFERROR((Table1[[#This Row],[Exit Year]]-Table1[[#This Row],[Join Year]])+1," ")</f>
        <v xml:space="preserve"> </v>
      </c>
      <c r="H1252" t="s">
        <v>48</v>
      </c>
      <c r="I1252" t="s">
        <v>11</v>
      </c>
      <c r="J1252" t="s">
        <v>12</v>
      </c>
      <c r="K1252">
        <v>27</v>
      </c>
      <c r="L1252" t="str">
        <f>IF(Table1[[#This Row],[Age]]&lt;30,"20-29",
IF(Table1[[#This Row],[Age]]&lt;40,"30-39",
IF(Table1[[#This Row],[Age]]&lt;50,"40-49",
IF(Table1[[#This Row],[Age]]&lt;60,"50-59","60+"))))</f>
        <v>20-29</v>
      </c>
      <c r="M1252" t="s">
        <v>16</v>
      </c>
      <c r="N1252" t="s">
        <v>19</v>
      </c>
    </row>
    <row r="1253" spans="1:14" x14ac:dyDescent="0.35">
      <c r="A1253">
        <v>1352</v>
      </c>
      <c r="B1253" t="s">
        <v>15</v>
      </c>
      <c r="C1253" s="6">
        <v>44121</v>
      </c>
      <c r="D1253">
        <f>YEAR(Table1[[#This Row],[Join Date]])</f>
        <v>2020</v>
      </c>
      <c r="E1253" s="6" t="s">
        <v>48</v>
      </c>
      <c r="F1253" t="str">
        <f>IFERROR(YEAR(Table1[[#This Row],[Exit Date]]), " ")</f>
        <v xml:space="preserve"> </v>
      </c>
      <c r="G1253" t="str">
        <f>IFERROR((Table1[[#This Row],[Exit Year]]-Table1[[#This Row],[Join Year]])+1," ")</f>
        <v xml:space="preserve"> </v>
      </c>
      <c r="H1253" t="s">
        <v>48</v>
      </c>
      <c r="I1253" t="s">
        <v>11</v>
      </c>
      <c r="J1253" t="s">
        <v>12</v>
      </c>
      <c r="K1253">
        <v>22</v>
      </c>
      <c r="L1253" t="str">
        <f>IF(Table1[[#This Row],[Age]]&lt;30,"20-29",
IF(Table1[[#This Row],[Age]]&lt;40,"30-39",
IF(Table1[[#This Row],[Age]]&lt;50,"40-49",
IF(Table1[[#This Row],[Age]]&lt;60,"50-59","60+"))))</f>
        <v>20-29</v>
      </c>
      <c r="M1253" t="s">
        <v>20</v>
      </c>
      <c r="N1253" t="s">
        <v>21</v>
      </c>
    </row>
    <row r="1254" spans="1:14" x14ac:dyDescent="0.35">
      <c r="A1254">
        <v>1353</v>
      </c>
      <c r="B1254" t="s">
        <v>15</v>
      </c>
      <c r="C1254" s="6">
        <v>44423</v>
      </c>
      <c r="D1254">
        <f>YEAR(Table1[[#This Row],[Join Date]])</f>
        <v>2021</v>
      </c>
      <c r="E1254" s="6" t="s">
        <v>48</v>
      </c>
      <c r="F1254" t="str">
        <f>IFERROR(YEAR(Table1[[#This Row],[Exit Date]]), " ")</f>
        <v xml:space="preserve"> </v>
      </c>
      <c r="G1254" t="str">
        <f>IFERROR((Table1[[#This Row],[Exit Year]]-Table1[[#This Row],[Join Year]])+1," ")</f>
        <v xml:space="preserve"> </v>
      </c>
      <c r="H1254" t="s">
        <v>48</v>
      </c>
      <c r="I1254" t="s">
        <v>11</v>
      </c>
      <c r="J1254" t="s">
        <v>18</v>
      </c>
      <c r="K1254">
        <v>50</v>
      </c>
      <c r="L1254" t="str">
        <f>IF(Table1[[#This Row],[Age]]&lt;30,"20-29",
IF(Table1[[#This Row],[Age]]&lt;40,"30-39",
IF(Table1[[#This Row],[Age]]&lt;50,"40-49",
IF(Table1[[#This Row],[Age]]&lt;60,"50-59","60+"))))</f>
        <v>50-59</v>
      </c>
      <c r="M1254" t="s">
        <v>24</v>
      </c>
      <c r="N1254" t="s">
        <v>37</v>
      </c>
    </row>
    <row r="1255" spans="1:14" x14ac:dyDescent="0.35">
      <c r="A1255">
        <v>1354</v>
      </c>
      <c r="B1255" t="s">
        <v>15</v>
      </c>
      <c r="C1255" s="6">
        <v>45087</v>
      </c>
      <c r="D1255">
        <f>YEAR(Table1[[#This Row],[Join Date]])</f>
        <v>2023</v>
      </c>
      <c r="E1255" s="6" t="s">
        <v>48</v>
      </c>
      <c r="F1255" t="str">
        <f>IFERROR(YEAR(Table1[[#This Row],[Exit Date]]), " ")</f>
        <v xml:space="preserve"> </v>
      </c>
      <c r="G1255" t="str">
        <f>IFERROR((Table1[[#This Row],[Exit Year]]-Table1[[#This Row],[Join Year]])+1," ")</f>
        <v xml:space="preserve"> </v>
      </c>
      <c r="H1255" t="s">
        <v>48</v>
      </c>
      <c r="I1255" t="s">
        <v>11</v>
      </c>
      <c r="J1255" t="s">
        <v>18</v>
      </c>
      <c r="K1255">
        <v>24</v>
      </c>
      <c r="L1255" t="str">
        <f>IF(Table1[[#This Row],[Age]]&lt;30,"20-29",
IF(Table1[[#This Row],[Age]]&lt;40,"30-39",
IF(Table1[[#This Row],[Age]]&lt;50,"40-49",
IF(Table1[[#This Row],[Age]]&lt;60,"50-59","60+"))))</f>
        <v>20-29</v>
      </c>
      <c r="M1255" t="s">
        <v>13</v>
      </c>
      <c r="N1255" t="s">
        <v>25</v>
      </c>
    </row>
    <row r="1256" spans="1:14" x14ac:dyDescent="0.35">
      <c r="A1256">
        <v>1355</v>
      </c>
      <c r="B1256" t="s">
        <v>15</v>
      </c>
      <c r="C1256" s="6">
        <v>43479</v>
      </c>
      <c r="D1256">
        <f>YEAR(Table1[[#This Row],[Join Date]])</f>
        <v>2019</v>
      </c>
      <c r="E1256" s="6">
        <v>44449</v>
      </c>
      <c r="F1256">
        <f>IFERROR(YEAR(Table1[[#This Row],[Exit Date]]), " ")</f>
        <v>2021</v>
      </c>
      <c r="G1256">
        <f>IFERROR((Table1[[#This Row],[Exit Year]]-Table1[[#This Row],[Join Year]])+1," ")</f>
        <v>3</v>
      </c>
      <c r="H1256" t="s">
        <v>22</v>
      </c>
      <c r="I1256" t="s">
        <v>23</v>
      </c>
      <c r="J1256" t="s">
        <v>18</v>
      </c>
      <c r="K1256">
        <v>50</v>
      </c>
      <c r="L1256" t="str">
        <f>IF(Table1[[#This Row],[Age]]&lt;30,"20-29",
IF(Table1[[#This Row],[Age]]&lt;40,"30-39",
IF(Table1[[#This Row],[Age]]&lt;50,"40-49",
IF(Table1[[#This Row],[Age]]&lt;60,"50-59","60+"))))</f>
        <v>50-59</v>
      </c>
      <c r="M1256" t="s">
        <v>42</v>
      </c>
      <c r="N1256" t="s">
        <v>35</v>
      </c>
    </row>
    <row r="1257" spans="1:14" x14ac:dyDescent="0.35">
      <c r="A1257">
        <v>1356</v>
      </c>
      <c r="B1257" t="s">
        <v>26</v>
      </c>
      <c r="C1257" s="6">
        <v>44749</v>
      </c>
      <c r="D1257">
        <f>YEAR(Table1[[#This Row],[Join Date]])</f>
        <v>2022</v>
      </c>
      <c r="E1257" s="6">
        <v>44972</v>
      </c>
      <c r="F1257">
        <f>IFERROR(YEAR(Table1[[#This Row],[Exit Date]]), " ")</f>
        <v>2023</v>
      </c>
      <c r="G1257">
        <f>IFERROR((Table1[[#This Row],[Exit Year]]-Table1[[#This Row],[Join Year]])+1," ")</f>
        <v>2</v>
      </c>
      <c r="H1257" t="s">
        <v>46</v>
      </c>
      <c r="I1257" t="s">
        <v>23</v>
      </c>
      <c r="J1257" t="s">
        <v>18</v>
      </c>
      <c r="K1257">
        <v>28</v>
      </c>
      <c r="L1257" t="str">
        <f>IF(Table1[[#This Row],[Age]]&lt;30,"20-29",
IF(Table1[[#This Row],[Age]]&lt;40,"30-39",
IF(Table1[[#This Row],[Age]]&lt;50,"40-49",
IF(Table1[[#This Row],[Age]]&lt;60,"50-59","60+"))))</f>
        <v>20-29</v>
      </c>
      <c r="M1257" t="s">
        <v>13</v>
      </c>
      <c r="N1257" t="s">
        <v>14</v>
      </c>
    </row>
    <row r="1258" spans="1:14" x14ac:dyDescent="0.35">
      <c r="A1258">
        <v>1357</v>
      </c>
      <c r="B1258" t="s">
        <v>29</v>
      </c>
      <c r="C1258" s="6">
        <v>45457</v>
      </c>
      <c r="D1258">
        <f>YEAR(Table1[[#This Row],[Join Date]])</f>
        <v>2024</v>
      </c>
      <c r="E1258" s="6" t="s">
        <v>48</v>
      </c>
      <c r="F1258" t="str">
        <f>IFERROR(YEAR(Table1[[#This Row],[Exit Date]]), " ")</f>
        <v xml:space="preserve"> </v>
      </c>
      <c r="G1258" t="str">
        <f>IFERROR((Table1[[#This Row],[Exit Year]]-Table1[[#This Row],[Join Year]])+1," ")</f>
        <v xml:space="preserve"> </v>
      </c>
      <c r="H1258" t="s">
        <v>48</v>
      </c>
      <c r="I1258" t="s">
        <v>11</v>
      </c>
      <c r="J1258" t="s">
        <v>18</v>
      </c>
      <c r="K1258">
        <v>40</v>
      </c>
      <c r="L1258" t="str">
        <f>IF(Table1[[#This Row],[Age]]&lt;30,"20-29",
IF(Table1[[#This Row],[Age]]&lt;40,"30-39",
IF(Table1[[#This Row],[Age]]&lt;50,"40-49",
IF(Table1[[#This Row],[Age]]&lt;60,"50-59","60+"))))</f>
        <v>40-49</v>
      </c>
      <c r="M1258" t="s">
        <v>13</v>
      </c>
      <c r="N1258" t="s">
        <v>17</v>
      </c>
    </row>
    <row r="1259" spans="1:14" x14ac:dyDescent="0.35">
      <c r="A1259">
        <v>1358</v>
      </c>
      <c r="B1259" t="s">
        <v>10</v>
      </c>
      <c r="C1259" s="6">
        <v>43304</v>
      </c>
      <c r="D1259">
        <f>YEAR(Table1[[#This Row],[Join Date]])</f>
        <v>2018</v>
      </c>
      <c r="E1259" s="6" t="s">
        <v>48</v>
      </c>
      <c r="F1259" t="str">
        <f>IFERROR(YEAR(Table1[[#This Row],[Exit Date]]), " ")</f>
        <v xml:space="preserve"> </v>
      </c>
      <c r="G1259" t="str">
        <f>IFERROR((Table1[[#This Row],[Exit Year]]-Table1[[#This Row],[Join Year]])+1," ")</f>
        <v xml:space="preserve"> </v>
      </c>
      <c r="H1259" t="s">
        <v>48</v>
      </c>
      <c r="I1259" t="s">
        <v>11</v>
      </c>
      <c r="J1259" t="s">
        <v>12</v>
      </c>
      <c r="K1259">
        <v>32</v>
      </c>
      <c r="L1259" t="str">
        <f>IF(Table1[[#This Row],[Age]]&lt;30,"20-29",
IF(Table1[[#This Row],[Age]]&lt;40,"30-39",
IF(Table1[[#This Row],[Age]]&lt;50,"40-49",
IF(Table1[[#This Row],[Age]]&lt;60,"50-59","60+"))))</f>
        <v>30-39</v>
      </c>
      <c r="M1259" t="s">
        <v>16</v>
      </c>
      <c r="N1259" t="s">
        <v>19</v>
      </c>
    </row>
    <row r="1260" spans="1:14" x14ac:dyDescent="0.35">
      <c r="A1260">
        <v>1359</v>
      </c>
      <c r="B1260" t="s">
        <v>15</v>
      </c>
      <c r="C1260" s="6">
        <v>44987</v>
      </c>
      <c r="D1260">
        <f>YEAR(Table1[[#This Row],[Join Date]])</f>
        <v>2023</v>
      </c>
      <c r="E1260" s="6" t="s">
        <v>48</v>
      </c>
      <c r="F1260" t="str">
        <f>IFERROR(YEAR(Table1[[#This Row],[Exit Date]]), " ")</f>
        <v xml:space="preserve"> </v>
      </c>
      <c r="G1260" t="str">
        <f>IFERROR((Table1[[#This Row],[Exit Year]]-Table1[[#This Row],[Join Year]])+1," ")</f>
        <v xml:space="preserve"> </v>
      </c>
      <c r="H1260" t="s">
        <v>48</v>
      </c>
      <c r="I1260" t="s">
        <v>11</v>
      </c>
      <c r="J1260" t="s">
        <v>18</v>
      </c>
      <c r="K1260">
        <v>50</v>
      </c>
      <c r="L1260" t="str">
        <f>IF(Table1[[#This Row],[Age]]&lt;30,"20-29",
IF(Table1[[#This Row],[Age]]&lt;40,"30-39",
IF(Table1[[#This Row],[Age]]&lt;50,"40-49",
IF(Table1[[#This Row],[Age]]&lt;60,"50-59","60+"))))</f>
        <v>50-59</v>
      </c>
      <c r="M1260" t="s">
        <v>13</v>
      </c>
      <c r="N1260" t="s">
        <v>21</v>
      </c>
    </row>
    <row r="1261" spans="1:14" x14ac:dyDescent="0.35">
      <c r="A1261">
        <v>1360</v>
      </c>
      <c r="B1261" t="s">
        <v>34</v>
      </c>
      <c r="C1261" s="6">
        <v>45326</v>
      </c>
      <c r="D1261">
        <f>YEAR(Table1[[#This Row],[Join Date]])</f>
        <v>2024</v>
      </c>
      <c r="E1261" s="6" t="s">
        <v>48</v>
      </c>
      <c r="F1261" t="str">
        <f>IFERROR(YEAR(Table1[[#This Row],[Exit Date]]), " ")</f>
        <v xml:space="preserve"> </v>
      </c>
      <c r="G1261" t="str">
        <f>IFERROR((Table1[[#This Row],[Exit Year]]-Table1[[#This Row],[Join Year]])+1," ")</f>
        <v xml:space="preserve"> </v>
      </c>
      <c r="H1261" t="s">
        <v>48</v>
      </c>
      <c r="I1261" t="s">
        <v>11</v>
      </c>
      <c r="J1261" t="s">
        <v>18</v>
      </c>
      <c r="K1261">
        <v>24</v>
      </c>
      <c r="L1261" t="str">
        <f>IF(Table1[[#This Row],[Age]]&lt;30,"20-29",
IF(Table1[[#This Row],[Age]]&lt;40,"30-39",
IF(Table1[[#This Row],[Age]]&lt;50,"40-49",
IF(Table1[[#This Row],[Age]]&lt;60,"50-59","60+"))))</f>
        <v>20-29</v>
      </c>
      <c r="M1261" t="s">
        <v>20</v>
      </c>
      <c r="N1261" t="s">
        <v>25</v>
      </c>
    </row>
    <row r="1262" spans="1:14" x14ac:dyDescent="0.35">
      <c r="A1262">
        <v>1361</v>
      </c>
      <c r="B1262" t="s">
        <v>36</v>
      </c>
      <c r="C1262" s="6">
        <v>45474</v>
      </c>
      <c r="D1262">
        <f>YEAR(Table1[[#This Row],[Join Date]])</f>
        <v>2024</v>
      </c>
      <c r="E1262" s="6" t="s">
        <v>48</v>
      </c>
      <c r="F1262" t="str">
        <f>IFERROR(YEAR(Table1[[#This Row],[Exit Date]]), " ")</f>
        <v xml:space="preserve"> </v>
      </c>
      <c r="G1262" t="str">
        <f>IFERROR((Table1[[#This Row],[Exit Year]]-Table1[[#This Row],[Join Year]])+1," ")</f>
        <v xml:space="preserve"> </v>
      </c>
      <c r="H1262" t="s">
        <v>48</v>
      </c>
      <c r="I1262" t="s">
        <v>11</v>
      </c>
      <c r="J1262" t="s">
        <v>18</v>
      </c>
      <c r="K1262">
        <v>36</v>
      </c>
      <c r="L1262" t="str">
        <f>IF(Table1[[#This Row],[Age]]&lt;30,"20-29",
IF(Table1[[#This Row],[Age]]&lt;40,"30-39",
IF(Table1[[#This Row],[Age]]&lt;50,"40-49",
IF(Table1[[#This Row],[Age]]&lt;60,"50-59","60+"))))</f>
        <v>30-39</v>
      </c>
      <c r="M1262" t="s">
        <v>39</v>
      </c>
      <c r="N1262" t="s">
        <v>28</v>
      </c>
    </row>
    <row r="1263" spans="1:14" x14ac:dyDescent="0.35">
      <c r="A1263">
        <v>1362</v>
      </c>
      <c r="B1263" t="s">
        <v>29</v>
      </c>
      <c r="C1263" s="6">
        <v>44227</v>
      </c>
      <c r="D1263">
        <f>YEAR(Table1[[#This Row],[Join Date]])</f>
        <v>2021</v>
      </c>
      <c r="E1263" s="6">
        <v>45322</v>
      </c>
      <c r="F1263">
        <f>IFERROR(YEAR(Table1[[#This Row],[Exit Date]]), " ")</f>
        <v>2024</v>
      </c>
      <c r="G1263">
        <f>IFERROR((Table1[[#This Row],[Exit Year]]-Table1[[#This Row],[Join Year]])+1," ")</f>
        <v>4</v>
      </c>
      <c r="H1263" t="s">
        <v>46</v>
      </c>
      <c r="I1263" t="s">
        <v>23</v>
      </c>
      <c r="J1263" t="s">
        <v>12</v>
      </c>
      <c r="K1263">
        <v>49</v>
      </c>
      <c r="L1263" t="str">
        <f>IF(Table1[[#This Row],[Age]]&lt;30,"20-29",
IF(Table1[[#This Row],[Age]]&lt;40,"30-39",
IF(Table1[[#This Row],[Age]]&lt;50,"40-49",
IF(Table1[[#This Row],[Age]]&lt;60,"50-59","60+"))))</f>
        <v>40-49</v>
      </c>
      <c r="M1263" t="s">
        <v>13</v>
      </c>
      <c r="N1263" t="s">
        <v>31</v>
      </c>
    </row>
    <row r="1264" spans="1:14" x14ac:dyDescent="0.35">
      <c r="A1264">
        <v>1363</v>
      </c>
      <c r="B1264" t="s">
        <v>10</v>
      </c>
      <c r="C1264" s="6">
        <v>43446</v>
      </c>
      <c r="D1264">
        <f>YEAR(Table1[[#This Row],[Join Date]])</f>
        <v>2018</v>
      </c>
      <c r="E1264" s="6">
        <v>43936</v>
      </c>
      <c r="F1264">
        <f>IFERROR(YEAR(Table1[[#This Row],[Exit Date]]), " ")</f>
        <v>2020</v>
      </c>
      <c r="G1264">
        <f>IFERROR((Table1[[#This Row],[Exit Year]]-Table1[[#This Row],[Join Year]])+1," ")</f>
        <v>3</v>
      </c>
      <c r="H1264" t="s">
        <v>46</v>
      </c>
      <c r="I1264" t="s">
        <v>23</v>
      </c>
      <c r="J1264" t="s">
        <v>12</v>
      </c>
      <c r="K1264">
        <v>43</v>
      </c>
      <c r="L1264" t="str">
        <f>IF(Table1[[#This Row],[Age]]&lt;30,"20-29",
IF(Table1[[#This Row],[Age]]&lt;40,"30-39",
IF(Table1[[#This Row],[Age]]&lt;50,"40-49",
IF(Table1[[#This Row],[Age]]&lt;60,"50-59","60+"))))</f>
        <v>40-49</v>
      </c>
      <c r="M1264" t="s">
        <v>16</v>
      </c>
      <c r="N1264" t="s">
        <v>32</v>
      </c>
    </row>
    <row r="1265" spans="1:14" x14ac:dyDescent="0.35">
      <c r="A1265">
        <v>1364</v>
      </c>
      <c r="B1265" t="s">
        <v>15</v>
      </c>
      <c r="C1265" s="6">
        <v>45314</v>
      </c>
      <c r="D1265">
        <f>YEAR(Table1[[#This Row],[Join Date]])</f>
        <v>2024</v>
      </c>
      <c r="E1265" s="6" t="s">
        <v>48</v>
      </c>
      <c r="F1265" t="str">
        <f>IFERROR(YEAR(Table1[[#This Row],[Exit Date]]), " ")</f>
        <v xml:space="preserve"> </v>
      </c>
      <c r="G1265" t="str">
        <f>IFERROR((Table1[[#This Row],[Exit Year]]-Table1[[#This Row],[Join Year]])+1," ")</f>
        <v xml:space="preserve"> </v>
      </c>
      <c r="H1265" t="s">
        <v>48</v>
      </c>
      <c r="I1265" t="s">
        <v>11</v>
      </c>
      <c r="J1265" t="s">
        <v>18</v>
      </c>
      <c r="K1265">
        <v>40</v>
      </c>
      <c r="L1265" t="str">
        <f>IF(Table1[[#This Row],[Age]]&lt;30,"20-29",
IF(Table1[[#This Row],[Age]]&lt;40,"30-39",
IF(Table1[[#This Row],[Age]]&lt;50,"40-49",
IF(Table1[[#This Row],[Age]]&lt;60,"50-59","60+"))))</f>
        <v>40-49</v>
      </c>
      <c r="M1265" t="s">
        <v>16</v>
      </c>
      <c r="N1265" t="s">
        <v>33</v>
      </c>
    </row>
    <row r="1266" spans="1:14" x14ac:dyDescent="0.35">
      <c r="A1266">
        <v>1365</v>
      </c>
      <c r="B1266" t="s">
        <v>15</v>
      </c>
      <c r="C1266" s="6">
        <v>43123</v>
      </c>
      <c r="D1266">
        <f>YEAR(Table1[[#This Row],[Join Date]])</f>
        <v>2018</v>
      </c>
      <c r="E1266" s="6" t="s">
        <v>48</v>
      </c>
      <c r="F1266" t="str">
        <f>IFERROR(YEAR(Table1[[#This Row],[Exit Date]]), " ")</f>
        <v xml:space="preserve"> </v>
      </c>
      <c r="G1266" t="str">
        <f>IFERROR((Table1[[#This Row],[Exit Year]]-Table1[[#This Row],[Join Year]])+1," ")</f>
        <v xml:space="preserve"> </v>
      </c>
      <c r="H1266" t="s">
        <v>48</v>
      </c>
      <c r="I1266" t="s">
        <v>11</v>
      </c>
      <c r="J1266" t="s">
        <v>12</v>
      </c>
      <c r="K1266">
        <v>42</v>
      </c>
      <c r="L1266" t="str">
        <f>IF(Table1[[#This Row],[Age]]&lt;30,"20-29",
IF(Table1[[#This Row],[Age]]&lt;40,"30-39",
IF(Table1[[#This Row],[Age]]&lt;50,"40-49",
IF(Table1[[#This Row],[Age]]&lt;60,"50-59","60+"))))</f>
        <v>40-49</v>
      </c>
      <c r="M1266" t="s">
        <v>20</v>
      </c>
      <c r="N1266" t="s">
        <v>35</v>
      </c>
    </row>
    <row r="1267" spans="1:14" x14ac:dyDescent="0.35">
      <c r="A1267">
        <v>1366</v>
      </c>
      <c r="B1267" t="s">
        <v>10</v>
      </c>
      <c r="C1267" s="6">
        <v>43717</v>
      </c>
      <c r="D1267">
        <f>YEAR(Table1[[#This Row],[Join Date]])</f>
        <v>2019</v>
      </c>
      <c r="E1267" s="6">
        <v>44677</v>
      </c>
      <c r="F1267">
        <f>IFERROR(YEAR(Table1[[#This Row],[Exit Date]]), " ")</f>
        <v>2022</v>
      </c>
      <c r="G1267">
        <f>IFERROR((Table1[[#This Row],[Exit Year]]-Table1[[#This Row],[Join Year]])+1," ")</f>
        <v>4</v>
      </c>
      <c r="H1267" t="s">
        <v>40</v>
      </c>
      <c r="I1267" t="s">
        <v>23</v>
      </c>
      <c r="J1267" t="s">
        <v>12</v>
      </c>
      <c r="K1267">
        <v>35</v>
      </c>
      <c r="L1267" t="str">
        <f>IF(Table1[[#This Row],[Age]]&lt;30,"20-29",
IF(Table1[[#This Row],[Age]]&lt;40,"30-39",
IF(Table1[[#This Row],[Age]]&lt;50,"40-49",
IF(Table1[[#This Row],[Age]]&lt;60,"50-59","60+"))))</f>
        <v>30-39</v>
      </c>
      <c r="M1267" t="s">
        <v>24</v>
      </c>
      <c r="N1267" t="s">
        <v>37</v>
      </c>
    </row>
    <row r="1268" spans="1:14" x14ac:dyDescent="0.35">
      <c r="A1268">
        <v>1367</v>
      </c>
      <c r="B1268" t="s">
        <v>29</v>
      </c>
      <c r="C1268" s="6">
        <v>43534</v>
      </c>
      <c r="D1268">
        <f>YEAR(Table1[[#This Row],[Join Date]])</f>
        <v>2019</v>
      </c>
      <c r="E1268" s="6">
        <v>44117</v>
      </c>
      <c r="F1268">
        <f>IFERROR(YEAR(Table1[[#This Row],[Exit Date]]), " ")</f>
        <v>2020</v>
      </c>
      <c r="G1268">
        <f>IFERROR((Table1[[#This Row],[Exit Year]]-Table1[[#This Row],[Join Year]])+1," ")</f>
        <v>2</v>
      </c>
      <c r="H1268" t="s">
        <v>38</v>
      </c>
      <c r="I1268" t="s">
        <v>23</v>
      </c>
      <c r="J1268" t="s">
        <v>18</v>
      </c>
      <c r="K1268">
        <v>31</v>
      </c>
      <c r="L1268" t="str">
        <f>IF(Table1[[#This Row],[Age]]&lt;30,"20-29",
IF(Table1[[#This Row],[Age]]&lt;40,"30-39",
IF(Table1[[#This Row],[Age]]&lt;50,"40-49",
IF(Table1[[#This Row],[Age]]&lt;60,"50-59","60+"))))</f>
        <v>30-39</v>
      </c>
      <c r="M1268" t="s">
        <v>13</v>
      </c>
      <c r="N1268" t="s">
        <v>19</v>
      </c>
    </row>
    <row r="1269" spans="1:14" x14ac:dyDescent="0.35">
      <c r="A1269">
        <v>1368</v>
      </c>
      <c r="B1269" t="s">
        <v>36</v>
      </c>
      <c r="C1269" s="6">
        <v>44619</v>
      </c>
      <c r="D1269">
        <f>YEAR(Table1[[#This Row],[Join Date]])</f>
        <v>2022</v>
      </c>
      <c r="E1269" s="6" t="s">
        <v>48</v>
      </c>
      <c r="F1269" t="str">
        <f>IFERROR(YEAR(Table1[[#This Row],[Exit Date]]), " ")</f>
        <v xml:space="preserve"> </v>
      </c>
      <c r="G1269" t="str">
        <f>IFERROR((Table1[[#This Row],[Exit Year]]-Table1[[#This Row],[Join Year]])+1," ")</f>
        <v xml:space="preserve"> </v>
      </c>
      <c r="H1269" t="s">
        <v>48</v>
      </c>
      <c r="I1269" t="s">
        <v>11</v>
      </c>
      <c r="J1269" t="s">
        <v>12</v>
      </c>
      <c r="K1269">
        <v>51</v>
      </c>
      <c r="L1269" t="str">
        <f>IF(Table1[[#This Row],[Age]]&lt;30,"20-29",
IF(Table1[[#This Row],[Age]]&lt;40,"30-39",
IF(Table1[[#This Row],[Age]]&lt;50,"40-49",
IF(Table1[[#This Row],[Age]]&lt;60,"50-59","60+"))))</f>
        <v>50-59</v>
      </c>
      <c r="M1269" t="s">
        <v>42</v>
      </c>
      <c r="N1269" t="s">
        <v>25</v>
      </c>
    </row>
    <row r="1270" spans="1:14" x14ac:dyDescent="0.35">
      <c r="A1270">
        <v>1369</v>
      </c>
      <c r="B1270" t="s">
        <v>10</v>
      </c>
      <c r="C1270" s="6">
        <v>45485</v>
      </c>
      <c r="D1270">
        <f>YEAR(Table1[[#This Row],[Join Date]])</f>
        <v>2024</v>
      </c>
      <c r="E1270" s="6" t="s">
        <v>48</v>
      </c>
      <c r="F1270" t="str">
        <f>IFERROR(YEAR(Table1[[#This Row],[Exit Date]]), " ")</f>
        <v xml:space="preserve"> </v>
      </c>
      <c r="G1270" t="str">
        <f>IFERROR((Table1[[#This Row],[Exit Year]]-Table1[[#This Row],[Join Year]])+1," ")</f>
        <v xml:space="preserve"> </v>
      </c>
      <c r="H1270" t="s">
        <v>48</v>
      </c>
      <c r="I1270" t="s">
        <v>11</v>
      </c>
      <c r="J1270" t="s">
        <v>12</v>
      </c>
      <c r="K1270">
        <v>48</v>
      </c>
      <c r="L1270" t="str">
        <f>IF(Table1[[#This Row],[Age]]&lt;30,"20-29",
IF(Table1[[#This Row],[Age]]&lt;40,"30-39",
IF(Table1[[#This Row],[Age]]&lt;50,"40-49",
IF(Table1[[#This Row],[Age]]&lt;60,"50-59","60+"))))</f>
        <v>40-49</v>
      </c>
      <c r="M1270" t="s">
        <v>13</v>
      </c>
      <c r="N1270" t="s">
        <v>35</v>
      </c>
    </row>
    <row r="1271" spans="1:14" x14ac:dyDescent="0.35">
      <c r="A1271">
        <v>1370</v>
      </c>
      <c r="B1271" t="s">
        <v>29</v>
      </c>
      <c r="C1271" s="6">
        <v>43588</v>
      </c>
      <c r="D1271">
        <f>YEAR(Table1[[#This Row],[Join Date]])</f>
        <v>2019</v>
      </c>
      <c r="E1271" s="6">
        <v>44896</v>
      </c>
      <c r="F1271">
        <f>IFERROR(YEAR(Table1[[#This Row],[Exit Date]]), " ")</f>
        <v>2022</v>
      </c>
      <c r="G1271">
        <f>IFERROR((Table1[[#This Row],[Exit Year]]-Table1[[#This Row],[Join Year]])+1," ")</f>
        <v>4</v>
      </c>
      <c r="H1271" t="s">
        <v>41</v>
      </c>
      <c r="I1271" t="s">
        <v>23</v>
      </c>
      <c r="J1271" t="s">
        <v>12</v>
      </c>
      <c r="K1271">
        <v>41</v>
      </c>
      <c r="L1271" t="str">
        <f>IF(Table1[[#This Row],[Age]]&lt;30,"20-29",
IF(Table1[[#This Row],[Age]]&lt;40,"30-39",
IF(Table1[[#This Row],[Age]]&lt;50,"40-49",
IF(Table1[[#This Row],[Age]]&lt;60,"50-59","60+"))))</f>
        <v>40-49</v>
      </c>
      <c r="M1271" t="s">
        <v>13</v>
      </c>
      <c r="N1271" t="s">
        <v>17</v>
      </c>
    </row>
    <row r="1272" spans="1:14" x14ac:dyDescent="0.35">
      <c r="A1272">
        <v>1371</v>
      </c>
      <c r="B1272" t="s">
        <v>36</v>
      </c>
      <c r="C1272" s="6">
        <v>44250</v>
      </c>
      <c r="D1272">
        <f>YEAR(Table1[[#This Row],[Join Date]])</f>
        <v>2021</v>
      </c>
      <c r="E1272" s="6">
        <v>45392</v>
      </c>
      <c r="F1272">
        <f>IFERROR(YEAR(Table1[[#This Row],[Exit Date]]), " ")</f>
        <v>2024</v>
      </c>
      <c r="G1272">
        <f>IFERROR((Table1[[#This Row],[Exit Year]]-Table1[[#This Row],[Join Year]])+1," ")</f>
        <v>4</v>
      </c>
      <c r="H1272" t="s">
        <v>46</v>
      </c>
      <c r="I1272" t="s">
        <v>23</v>
      </c>
      <c r="J1272" t="s">
        <v>18</v>
      </c>
      <c r="K1272">
        <v>35</v>
      </c>
      <c r="L1272" t="str">
        <f>IF(Table1[[#This Row],[Age]]&lt;30,"20-29",
IF(Table1[[#This Row],[Age]]&lt;40,"30-39",
IF(Table1[[#This Row],[Age]]&lt;50,"40-49",
IF(Table1[[#This Row],[Age]]&lt;60,"50-59","60+"))))</f>
        <v>30-39</v>
      </c>
      <c r="M1272" t="s">
        <v>16</v>
      </c>
      <c r="N1272" t="s">
        <v>19</v>
      </c>
    </row>
    <row r="1273" spans="1:14" x14ac:dyDescent="0.35">
      <c r="A1273">
        <v>1372</v>
      </c>
      <c r="B1273" t="s">
        <v>26</v>
      </c>
      <c r="C1273" s="6">
        <v>45244</v>
      </c>
      <c r="D1273">
        <f>YEAR(Table1[[#This Row],[Join Date]])</f>
        <v>2023</v>
      </c>
      <c r="E1273" s="6">
        <v>45446</v>
      </c>
      <c r="F1273">
        <f>IFERROR(YEAR(Table1[[#This Row],[Exit Date]]), " ")</f>
        <v>2024</v>
      </c>
      <c r="G1273">
        <f>IFERROR((Table1[[#This Row],[Exit Year]]-Table1[[#This Row],[Join Year]])+1," ")</f>
        <v>2</v>
      </c>
      <c r="H1273" t="s">
        <v>40</v>
      </c>
      <c r="I1273" t="s">
        <v>23</v>
      </c>
      <c r="J1273" t="s">
        <v>12</v>
      </c>
      <c r="K1273">
        <v>24</v>
      </c>
      <c r="L1273" t="str">
        <f>IF(Table1[[#This Row],[Age]]&lt;30,"20-29",
IF(Table1[[#This Row],[Age]]&lt;40,"30-39",
IF(Table1[[#This Row],[Age]]&lt;50,"40-49",
IF(Table1[[#This Row],[Age]]&lt;60,"50-59","60+"))))</f>
        <v>20-29</v>
      </c>
      <c r="M1273" t="s">
        <v>13</v>
      </c>
      <c r="N1273" t="s">
        <v>21</v>
      </c>
    </row>
    <row r="1274" spans="1:14" x14ac:dyDescent="0.35">
      <c r="A1274">
        <v>1373</v>
      </c>
      <c r="B1274" t="s">
        <v>15</v>
      </c>
      <c r="C1274" s="6">
        <v>45256</v>
      </c>
      <c r="D1274">
        <f>YEAR(Table1[[#This Row],[Join Date]])</f>
        <v>2023</v>
      </c>
      <c r="E1274" s="6" t="s">
        <v>48</v>
      </c>
      <c r="F1274" t="str">
        <f>IFERROR(YEAR(Table1[[#This Row],[Exit Date]]), " ")</f>
        <v xml:space="preserve"> </v>
      </c>
      <c r="G1274" t="str">
        <f>IFERROR((Table1[[#This Row],[Exit Year]]-Table1[[#This Row],[Join Year]])+1," ")</f>
        <v xml:space="preserve"> </v>
      </c>
      <c r="H1274" t="s">
        <v>48</v>
      </c>
      <c r="I1274" t="s">
        <v>11</v>
      </c>
      <c r="J1274" t="s">
        <v>18</v>
      </c>
      <c r="K1274">
        <v>41</v>
      </c>
      <c r="L1274" t="str">
        <f>IF(Table1[[#This Row],[Age]]&lt;30,"20-29",
IF(Table1[[#This Row],[Age]]&lt;40,"30-39",
IF(Table1[[#This Row],[Age]]&lt;50,"40-49",
IF(Table1[[#This Row],[Age]]&lt;60,"50-59","60+"))))</f>
        <v>40-49</v>
      </c>
      <c r="M1274" t="s">
        <v>20</v>
      </c>
      <c r="N1274" t="s">
        <v>25</v>
      </c>
    </row>
    <row r="1275" spans="1:14" x14ac:dyDescent="0.35">
      <c r="A1275">
        <v>1374</v>
      </c>
      <c r="B1275" t="s">
        <v>26</v>
      </c>
      <c r="C1275" s="6">
        <v>45465</v>
      </c>
      <c r="D1275">
        <f>YEAR(Table1[[#This Row],[Join Date]])</f>
        <v>2024</v>
      </c>
      <c r="E1275" s="6" t="s">
        <v>48</v>
      </c>
      <c r="F1275" t="str">
        <f>IFERROR(YEAR(Table1[[#This Row],[Exit Date]]), " ")</f>
        <v xml:space="preserve"> </v>
      </c>
      <c r="G1275" t="str">
        <f>IFERROR((Table1[[#This Row],[Exit Year]]-Table1[[#This Row],[Join Year]])+1," ")</f>
        <v xml:space="preserve"> </v>
      </c>
      <c r="H1275" t="s">
        <v>48</v>
      </c>
      <c r="I1275" t="s">
        <v>11</v>
      </c>
      <c r="J1275" t="s">
        <v>18</v>
      </c>
      <c r="K1275">
        <v>40</v>
      </c>
      <c r="L1275" t="str">
        <f>IF(Table1[[#This Row],[Age]]&lt;30,"20-29",
IF(Table1[[#This Row],[Age]]&lt;40,"30-39",
IF(Table1[[#This Row],[Age]]&lt;50,"40-49",
IF(Table1[[#This Row],[Age]]&lt;60,"50-59","60+"))))</f>
        <v>40-49</v>
      </c>
      <c r="M1275" t="s">
        <v>39</v>
      </c>
      <c r="N1275" t="s">
        <v>35</v>
      </c>
    </row>
    <row r="1276" spans="1:14" x14ac:dyDescent="0.35">
      <c r="A1276">
        <v>1375</v>
      </c>
      <c r="B1276" t="s">
        <v>10</v>
      </c>
      <c r="C1276" s="6">
        <v>43597</v>
      </c>
      <c r="D1276">
        <f>YEAR(Table1[[#This Row],[Join Date]])</f>
        <v>2019</v>
      </c>
      <c r="E1276" s="6" t="s">
        <v>48</v>
      </c>
      <c r="F1276" t="str">
        <f>IFERROR(YEAR(Table1[[#This Row],[Exit Date]]), " ")</f>
        <v xml:space="preserve"> </v>
      </c>
      <c r="G1276" t="str">
        <f>IFERROR((Table1[[#This Row],[Exit Year]]-Table1[[#This Row],[Join Year]])+1," ")</f>
        <v xml:space="preserve"> </v>
      </c>
      <c r="H1276" t="s">
        <v>48</v>
      </c>
      <c r="I1276" t="s">
        <v>11</v>
      </c>
      <c r="J1276" t="s">
        <v>18</v>
      </c>
      <c r="K1276">
        <v>48</v>
      </c>
      <c r="L1276" t="str">
        <f>IF(Table1[[#This Row],[Age]]&lt;30,"20-29",
IF(Table1[[#This Row],[Age]]&lt;40,"30-39",
IF(Table1[[#This Row],[Age]]&lt;50,"40-49",
IF(Table1[[#This Row],[Age]]&lt;60,"50-59","60+"))))</f>
        <v>40-49</v>
      </c>
      <c r="M1276" t="s">
        <v>13</v>
      </c>
      <c r="N1276" t="s">
        <v>14</v>
      </c>
    </row>
    <row r="1277" spans="1:14" x14ac:dyDescent="0.35">
      <c r="A1277">
        <v>1376</v>
      </c>
      <c r="B1277" t="s">
        <v>15</v>
      </c>
      <c r="C1277" s="6">
        <v>44866</v>
      </c>
      <c r="D1277">
        <f>YEAR(Table1[[#This Row],[Join Date]])</f>
        <v>2022</v>
      </c>
      <c r="E1277" s="6" t="s">
        <v>48</v>
      </c>
      <c r="F1277" t="str">
        <f>IFERROR(YEAR(Table1[[#This Row],[Exit Date]]), " ")</f>
        <v xml:space="preserve"> </v>
      </c>
      <c r="G1277" t="str">
        <f>IFERROR((Table1[[#This Row],[Exit Year]]-Table1[[#This Row],[Join Year]])+1," ")</f>
        <v xml:space="preserve"> </v>
      </c>
      <c r="H1277" t="s">
        <v>48</v>
      </c>
      <c r="I1277" t="s">
        <v>11</v>
      </c>
      <c r="J1277" t="s">
        <v>12</v>
      </c>
      <c r="K1277">
        <v>52</v>
      </c>
      <c r="L1277" t="str">
        <f>IF(Table1[[#This Row],[Age]]&lt;30,"20-29",
IF(Table1[[#This Row],[Age]]&lt;40,"30-39",
IF(Table1[[#This Row],[Age]]&lt;50,"40-49",
IF(Table1[[#This Row],[Age]]&lt;60,"50-59","60+"))))</f>
        <v>50-59</v>
      </c>
      <c r="M1277" t="s">
        <v>16</v>
      </c>
      <c r="N1277" t="s">
        <v>19</v>
      </c>
    </row>
    <row r="1278" spans="1:14" x14ac:dyDescent="0.35">
      <c r="A1278">
        <v>1377</v>
      </c>
      <c r="B1278" t="s">
        <v>34</v>
      </c>
      <c r="C1278" s="6">
        <v>44006</v>
      </c>
      <c r="D1278">
        <f>YEAR(Table1[[#This Row],[Join Date]])</f>
        <v>2020</v>
      </c>
      <c r="E1278" s="6">
        <v>44463</v>
      </c>
      <c r="F1278">
        <f>IFERROR(YEAR(Table1[[#This Row],[Exit Date]]), " ")</f>
        <v>2021</v>
      </c>
      <c r="G1278">
        <f>IFERROR((Table1[[#This Row],[Exit Year]]-Table1[[#This Row],[Join Year]])+1," ")</f>
        <v>2</v>
      </c>
      <c r="H1278" t="s">
        <v>43</v>
      </c>
      <c r="I1278" t="s">
        <v>23</v>
      </c>
      <c r="J1278" t="s">
        <v>12</v>
      </c>
      <c r="K1278">
        <v>33</v>
      </c>
      <c r="L1278" t="str">
        <f>IF(Table1[[#This Row],[Age]]&lt;30,"20-29",
IF(Table1[[#This Row],[Age]]&lt;40,"30-39",
IF(Table1[[#This Row],[Age]]&lt;50,"40-49",
IF(Table1[[#This Row],[Age]]&lt;60,"50-59","60+"))))</f>
        <v>30-39</v>
      </c>
      <c r="M1278" t="s">
        <v>16</v>
      </c>
      <c r="N1278" t="s">
        <v>21</v>
      </c>
    </row>
    <row r="1279" spans="1:14" x14ac:dyDescent="0.35">
      <c r="A1279">
        <v>1378</v>
      </c>
      <c r="B1279" t="s">
        <v>26</v>
      </c>
      <c r="C1279" s="6">
        <v>45095</v>
      </c>
      <c r="D1279">
        <f>YEAR(Table1[[#This Row],[Join Date]])</f>
        <v>2023</v>
      </c>
      <c r="E1279" s="6" t="s">
        <v>48</v>
      </c>
      <c r="F1279" t="str">
        <f>IFERROR(YEAR(Table1[[#This Row],[Exit Date]]), " ")</f>
        <v xml:space="preserve"> </v>
      </c>
      <c r="G1279" t="str">
        <f>IFERROR((Table1[[#This Row],[Exit Year]]-Table1[[#This Row],[Join Year]])+1," ")</f>
        <v xml:space="preserve"> </v>
      </c>
      <c r="H1279" t="s">
        <v>48</v>
      </c>
      <c r="I1279" t="s">
        <v>11</v>
      </c>
      <c r="J1279" t="s">
        <v>18</v>
      </c>
      <c r="K1279">
        <v>51</v>
      </c>
      <c r="L1279" t="str">
        <f>IF(Table1[[#This Row],[Age]]&lt;30,"20-29",
IF(Table1[[#This Row],[Age]]&lt;40,"30-39",
IF(Table1[[#This Row],[Age]]&lt;50,"40-49",
IF(Table1[[#This Row],[Age]]&lt;60,"50-59","60+"))))</f>
        <v>50-59</v>
      </c>
      <c r="M1279" t="s">
        <v>20</v>
      </c>
      <c r="N1279" t="s">
        <v>37</v>
      </c>
    </row>
    <row r="1280" spans="1:14" x14ac:dyDescent="0.35">
      <c r="A1280">
        <v>1379</v>
      </c>
      <c r="B1280" t="s">
        <v>10</v>
      </c>
      <c r="C1280" s="6">
        <v>44360</v>
      </c>
      <c r="D1280">
        <f>YEAR(Table1[[#This Row],[Join Date]])</f>
        <v>2021</v>
      </c>
      <c r="E1280" s="6">
        <v>44755</v>
      </c>
      <c r="F1280">
        <f>IFERROR(YEAR(Table1[[#This Row],[Exit Date]]), " ")</f>
        <v>2022</v>
      </c>
      <c r="G1280">
        <f>IFERROR((Table1[[#This Row],[Exit Year]]-Table1[[#This Row],[Join Year]])+1," ")</f>
        <v>2</v>
      </c>
      <c r="H1280" t="s">
        <v>46</v>
      </c>
      <c r="I1280" t="s">
        <v>23</v>
      </c>
      <c r="J1280" t="s">
        <v>18</v>
      </c>
      <c r="K1280">
        <v>46</v>
      </c>
      <c r="L1280" t="str">
        <f>IF(Table1[[#This Row],[Age]]&lt;30,"20-29",
IF(Table1[[#This Row],[Age]]&lt;40,"30-39",
IF(Table1[[#This Row],[Age]]&lt;50,"40-49",
IF(Table1[[#This Row],[Age]]&lt;60,"50-59","60+"))))</f>
        <v>40-49</v>
      </c>
      <c r="M1280" t="s">
        <v>24</v>
      </c>
      <c r="N1280" t="s">
        <v>25</v>
      </c>
    </row>
    <row r="1281" spans="1:14" x14ac:dyDescent="0.35">
      <c r="A1281">
        <v>1380</v>
      </c>
      <c r="B1281" t="s">
        <v>26</v>
      </c>
      <c r="C1281" s="6">
        <v>43419</v>
      </c>
      <c r="D1281">
        <f>YEAR(Table1[[#This Row],[Join Date]])</f>
        <v>2018</v>
      </c>
      <c r="E1281" s="6">
        <v>44303</v>
      </c>
      <c r="F1281">
        <f>IFERROR(YEAR(Table1[[#This Row],[Exit Date]]), " ")</f>
        <v>2021</v>
      </c>
      <c r="G1281">
        <f>IFERROR((Table1[[#This Row],[Exit Year]]-Table1[[#This Row],[Join Year]])+1," ")</f>
        <v>4</v>
      </c>
      <c r="H1281" t="s">
        <v>22</v>
      </c>
      <c r="I1281" t="s">
        <v>23</v>
      </c>
      <c r="J1281" t="s">
        <v>12</v>
      </c>
      <c r="K1281">
        <v>53</v>
      </c>
      <c r="L1281" t="str">
        <f>IF(Table1[[#This Row],[Age]]&lt;30,"20-29",
IF(Table1[[#This Row],[Age]]&lt;40,"30-39",
IF(Table1[[#This Row],[Age]]&lt;50,"40-49",
IF(Table1[[#This Row],[Age]]&lt;60,"50-59","60+"))))</f>
        <v>50-59</v>
      </c>
      <c r="M1281" t="s">
        <v>13</v>
      </c>
      <c r="N1281" t="s">
        <v>35</v>
      </c>
    </row>
    <row r="1282" spans="1:14" x14ac:dyDescent="0.35">
      <c r="A1282">
        <v>1381</v>
      </c>
      <c r="B1282" t="s">
        <v>36</v>
      </c>
      <c r="C1282" s="6">
        <v>44249</v>
      </c>
      <c r="D1282">
        <f>YEAR(Table1[[#This Row],[Join Date]])</f>
        <v>2021</v>
      </c>
      <c r="E1282" s="6" t="s">
        <v>48</v>
      </c>
      <c r="F1282" t="str">
        <f>IFERROR(YEAR(Table1[[#This Row],[Exit Date]]), " ")</f>
        <v xml:space="preserve"> </v>
      </c>
      <c r="G1282" t="str">
        <f>IFERROR((Table1[[#This Row],[Exit Year]]-Table1[[#This Row],[Join Year]])+1," ")</f>
        <v xml:space="preserve"> </v>
      </c>
      <c r="H1282" t="s">
        <v>48</v>
      </c>
      <c r="I1282" t="s">
        <v>11</v>
      </c>
      <c r="J1282" t="s">
        <v>12</v>
      </c>
      <c r="K1282">
        <v>35</v>
      </c>
      <c r="L1282" t="str">
        <f>IF(Table1[[#This Row],[Age]]&lt;30,"20-29",
IF(Table1[[#This Row],[Age]]&lt;40,"30-39",
IF(Table1[[#This Row],[Age]]&lt;50,"40-49",
IF(Table1[[#This Row],[Age]]&lt;60,"50-59","60+"))))</f>
        <v>30-39</v>
      </c>
      <c r="M1282" t="s">
        <v>30</v>
      </c>
      <c r="N1282" t="s">
        <v>14</v>
      </c>
    </row>
    <row r="1283" spans="1:14" x14ac:dyDescent="0.35">
      <c r="A1283">
        <v>1382</v>
      </c>
      <c r="B1283" t="s">
        <v>10</v>
      </c>
      <c r="C1283" s="6">
        <v>45533</v>
      </c>
      <c r="D1283">
        <f>YEAR(Table1[[#This Row],[Join Date]])</f>
        <v>2024</v>
      </c>
      <c r="E1283" s="6" t="s">
        <v>48</v>
      </c>
      <c r="F1283" t="str">
        <f>IFERROR(YEAR(Table1[[#This Row],[Exit Date]]), " ")</f>
        <v xml:space="preserve"> </v>
      </c>
      <c r="G1283" t="str">
        <f>IFERROR((Table1[[#This Row],[Exit Year]]-Table1[[#This Row],[Join Year]])+1," ")</f>
        <v xml:space="preserve"> </v>
      </c>
      <c r="H1283" t="s">
        <v>48</v>
      </c>
      <c r="I1283" t="s">
        <v>11</v>
      </c>
      <c r="J1283" t="s">
        <v>12</v>
      </c>
      <c r="K1283">
        <v>32</v>
      </c>
      <c r="L1283" t="str">
        <f>IF(Table1[[#This Row],[Age]]&lt;30,"20-29",
IF(Table1[[#This Row],[Age]]&lt;40,"30-39",
IF(Table1[[#This Row],[Age]]&lt;50,"40-49",
IF(Table1[[#This Row],[Age]]&lt;60,"50-59","60+"))))</f>
        <v>30-39</v>
      </c>
      <c r="M1283" t="s">
        <v>13</v>
      </c>
      <c r="N1283" t="s">
        <v>17</v>
      </c>
    </row>
    <row r="1284" spans="1:14" x14ac:dyDescent="0.35">
      <c r="A1284">
        <v>1383</v>
      </c>
      <c r="B1284" t="s">
        <v>36</v>
      </c>
      <c r="C1284" s="6">
        <v>44377</v>
      </c>
      <c r="D1284">
        <f>YEAR(Table1[[#This Row],[Join Date]])</f>
        <v>2021</v>
      </c>
      <c r="E1284" s="6" t="s">
        <v>48</v>
      </c>
      <c r="F1284" t="str">
        <f>IFERROR(YEAR(Table1[[#This Row],[Exit Date]]), " ")</f>
        <v xml:space="preserve"> </v>
      </c>
      <c r="G1284" t="str">
        <f>IFERROR((Table1[[#This Row],[Exit Year]]-Table1[[#This Row],[Join Year]])+1," ")</f>
        <v xml:space="preserve"> </v>
      </c>
      <c r="H1284" t="s">
        <v>48</v>
      </c>
      <c r="I1284" t="s">
        <v>11</v>
      </c>
      <c r="J1284" t="s">
        <v>12</v>
      </c>
      <c r="K1284">
        <v>46</v>
      </c>
      <c r="L1284" t="str">
        <f>IF(Table1[[#This Row],[Age]]&lt;30,"20-29",
IF(Table1[[#This Row],[Age]]&lt;40,"30-39",
IF(Table1[[#This Row],[Age]]&lt;50,"40-49",
IF(Table1[[#This Row],[Age]]&lt;60,"50-59","60+"))))</f>
        <v>40-49</v>
      </c>
      <c r="M1284" t="s">
        <v>13</v>
      </c>
      <c r="N1284" t="s">
        <v>19</v>
      </c>
    </row>
    <row r="1285" spans="1:14" x14ac:dyDescent="0.35">
      <c r="A1285">
        <v>1384</v>
      </c>
      <c r="B1285" t="s">
        <v>10</v>
      </c>
      <c r="C1285" s="6">
        <v>44088</v>
      </c>
      <c r="D1285">
        <f>YEAR(Table1[[#This Row],[Join Date]])</f>
        <v>2020</v>
      </c>
      <c r="E1285" s="6" t="s">
        <v>48</v>
      </c>
      <c r="F1285" t="str">
        <f>IFERROR(YEAR(Table1[[#This Row],[Exit Date]]), " ")</f>
        <v xml:space="preserve"> </v>
      </c>
      <c r="G1285" t="str">
        <f>IFERROR((Table1[[#This Row],[Exit Year]]-Table1[[#This Row],[Join Year]])+1," ")</f>
        <v xml:space="preserve"> </v>
      </c>
      <c r="H1285" t="s">
        <v>48</v>
      </c>
      <c r="I1285" t="s">
        <v>11</v>
      </c>
      <c r="J1285" t="s">
        <v>18</v>
      </c>
      <c r="K1285">
        <v>50</v>
      </c>
      <c r="L1285" t="str">
        <f>IF(Table1[[#This Row],[Age]]&lt;30,"20-29",
IF(Table1[[#This Row],[Age]]&lt;40,"30-39",
IF(Table1[[#This Row],[Age]]&lt;50,"40-49",
IF(Table1[[#This Row],[Age]]&lt;60,"50-59","60+"))))</f>
        <v>50-59</v>
      </c>
      <c r="M1285" t="s">
        <v>16</v>
      </c>
      <c r="N1285" t="s">
        <v>21</v>
      </c>
    </row>
    <row r="1286" spans="1:14" x14ac:dyDescent="0.35">
      <c r="A1286">
        <v>1385</v>
      </c>
      <c r="B1286" t="s">
        <v>26</v>
      </c>
      <c r="C1286" s="6">
        <v>43373</v>
      </c>
      <c r="D1286">
        <f>YEAR(Table1[[#This Row],[Join Date]])</f>
        <v>2018</v>
      </c>
      <c r="E1286" s="6">
        <v>44825</v>
      </c>
      <c r="F1286">
        <f>IFERROR(YEAR(Table1[[#This Row],[Exit Date]]), " ")</f>
        <v>2022</v>
      </c>
      <c r="G1286">
        <f>IFERROR((Table1[[#This Row],[Exit Year]]-Table1[[#This Row],[Join Year]])+1," ")</f>
        <v>5</v>
      </c>
      <c r="H1286" t="s">
        <v>27</v>
      </c>
      <c r="I1286" t="s">
        <v>23</v>
      </c>
      <c r="J1286" t="s">
        <v>12</v>
      </c>
      <c r="K1286">
        <v>64</v>
      </c>
      <c r="L1286" t="str">
        <f>IF(Table1[[#This Row],[Age]]&lt;30,"20-29",
IF(Table1[[#This Row],[Age]]&lt;40,"30-39",
IF(Table1[[#This Row],[Age]]&lt;50,"40-49",
IF(Table1[[#This Row],[Age]]&lt;60,"50-59","60+"))))</f>
        <v>60+</v>
      </c>
      <c r="M1286" t="s">
        <v>13</v>
      </c>
      <c r="N1286" t="s">
        <v>25</v>
      </c>
    </row>
    <row r="1287" spans="1:14" x14ac:dyDescent="0.35">
      <c r="A1287">
        <v>1386</v>
      </c>
      <c r="B1287" t="s">
        <v>26</v>
      </c>
      <c r="C1287" s="6">
        <v>43314</v>
      </c>
      <c r="D1287">
        <f>YEAR(Table1[[#This Row],[Join Date]])</f>
        <v>2018</v>
      </c>
      <c r="E1287" s="6" t="s">
        <v>48</v>
      </c>
      <c r="F1287" t="str">
        <f>IFERROR(YEAR(Table1[[#This Row],[Exit Date]]), " ")</f>
        <v xml:space="preserve"> </v>
      </c>
      <c r="G1287" t="str">
        <f>IFERROR((Table1[[#This Row],[Exit Year]]-Table1[[#This Row],[Join Year]])+1," ")</f>
        <v xml:space="preserve"> </v>
      </c>
      <c r="H1287" t="s">
        <v>48</v>
      </c>
      <c r="I1287" t="s">
        <v>11</v>
      </c>
      <c r="J1287" t="s">
        <v>18</v>
      </c>
      <c r="K1287">
        <v>29</v>
      </c>
      <c r="L1287" t="str">
        <f>IF(Table1[[#This Row],[Age]]&lt;30,"20-29",
IF(Table1[[#This Row],[Age]]&lt;40,"30-39",
IF(Table1[[#This Row],[Age]]&lt;50,"40-49",
IF(Table1[[#This Row],[Age]]&lt;60,"50-59","60+"))))</f>
        <v>20-29</v>
      </c>
      <c r="M1287" t="s">
        <v>20</v>
      </c>
      <c r="N1287" t="s">
        <v>28</v>
      </c>
    </row>
    <row r="1288" spans="1:14" x14ac:dyDescent="0.35">
      <c r="A1288">
        <v>1387</v>
      </c>
      <c r="B1288" t="s">
        <v>26</v>
      </c>
      <c r="C1288" s="6">
        <v>44418</v>
      </c>
      <c r="D1288">
        <f>YEAR(Table1[[#This Row],[Join Date]])</f>
        <v>2021</v>
      </c>
      <c r="E1288" s="6">
        <v>45628</v>
      </c>
      <c r="F1288">
        <f>IFERROR(YEAR(Table1[[#This Row],[Exit Date]]), " ")</f>
        <v>2024</v>
      </c>
      <c r="G1288">
        <f>IFERROR((Table1[[#This Row],[Exit Year]]-Table1[[#This Row],[Join Year]])+1," ")</f>
        <v>4</v>
      </c>
      <c r="H1288" t="s">
        <v>22</v>
      </c>
      <c r="I1288" t="s">
        <v>23</v>
      </c>
      <c r="J1288" t="s">
        <v>18</v>
      </c>
      <c r="K1288">
        <v>27</v>
      </c>
      <c r="L1288" t="str">
        <f>IF(Table1[[#This Row],[Age]]&lt;30,"20-29",
IF(Table1[[#This Row],[Age]]&lt;40,"30-39",
IF(Table1[[#This Row],[Age]]&lt;50,"40-49",
IF(Table1[[#This Row],[Age]]&lt;60,"50-59","60+"))))</f>
        <v>20-29</v>
      </c>
      <c r="M1288" t="s">
        <v>44</v>
      </c>
      <c r="N1288" t="s">
        <v>31</v>
      </c>
    </row>
    <row r="1289" spans="1:14" x14ac:dyDescent="0.35">
      <c r="A1289">
        <v>1388</v>
      </c>
      <c r="B1289" t="s">
        <v>34</v>
      </c>
      <c r="C1289" s="6">
        <v>44324</v>
      </c>
      <c r="D1289">
        <f>YEAR(Table1[[#This Row],[Join Date]])</f>
        <v>2021</v>
      </c>
      <c r="E1289" s="6">
        <v>45076</v>
      </c>
      <c r="F1289">
        <f>IFERROR(YEAR(Table1[[#This Row],[Exit Date]]), " ")</f>
        <v>2023</v>
      </c>
      <c r="G1289">
        <f>IFERROR((Table1[[#This Row],[Exit Year]]-Table1[[#This Row],[Join Year]])+1," ")</f>
        <v>3</v>
      </c>
      <c r="H1289" t="s">
        <v>40</v>
      </c>
      <c r="I1289" t="s">
        <v>23</v>
      </c>
      <c r="J1289" t="s">
        <v>12</v>
      </c>
      <c r="K1289">
        <v>31</v>
      </c>
      <c r="L1289" t="str">
        <f>IF(Table1[[#This Row],[Age]]&lt;30,"20-29",
IF(Table1[[#This Row],[Age]]&lt;40,"30-39",
IF(Table1[[#This Row],[Age]]&lt;50,"40-49",
IF(Table1[[#This Row],[Age]]&lt;60,"50-59","60+"))))</f>
        <v>30-39</v>
      </c>
      <c r="M1289" t="s">
        <v>13</v>
      </c>
      <c r="N1289" t="s">
        <v>32</v>
      </c>
    </row>
    <row r="1290" spans="1:14" x14ac:dyDescent="0.35">
      <c r="A1290">
        <v>1389</v>
      </c>
      <c r="B1290" t="s">
        <v>10</v>
      </c>
      <c r="C1290" s="6">
        <v>43513</v>
      </c>
      <c r="D1290">
        <f>YEAR(Table1[[#This Row],[Join Date]])</f>
        <v>2019</v>
      </c>
      <c r="E1290" s="6">
        <v>44923</v>
      </c>
      <c r="F1290">
        <f>IFERROR(YEAR(Table1[[#This Row],[Exit Date]]), " ")</f>
        <v>2022</v>
      </c>
      <c r="G1290">
        <f>IFERROR((Table1[[#This Row],[Exit Year]]-Table1[[#This Row],[Join Year]])+1," ")</f>
        <v>4</v>
      </c>
      <c r="H1290" t="s">
        <v>46</v>
      </c>
      <c r="I1290" t="s">
        <v>23</v>
      </c>
      <c r="J1290" t="s">
        <v>12</v>
      </c>
      <c r="K1290">
        <v>24</v>
      </c>
      <c r="L1290" t="str">
        <f>IF(Table1[[#This Row],[Age]]&lt;30,"20-29",
IF(Table1[[#This Row],[Age]]&lt;40,"30-39",
IF(Table1[[#This Row],[Age]]&lt;50,"40-49",
IF(Table1[[#This Row],[Age]]&lt;60,"50-59","60+"))))</f>
        <v>20-29</v>
      </c>
      <c r="M1290" t="s">
        <v>16</v>
      </c>
      <c r="N1290" t="s">
        <v>33</v>
      </c>
    </row>
    <row r="1291" spans="1:14" x14ac:dyDescent="0.35">
      <c r="A1291">
        <v>1390</v>
      </c>
      <c r="B1291" t="s">
        <v>36</v>
      </c>
      <c r="C1291" s="6">
        <v>44180</v>
      </c>
      <c r="D1291">
        <f>YEAR(Table1[[#This Row],[Join Date]])</f>
        <v>2020</v>
      </c>
      <c r="E1291" s="6" t="s">
        <v>48</v>
      </c>
      <c r="F1291" t="str">
        <f>IFERROR(YEAR(Table1[[#This Row],[Exit Date]]), " ")</f>
        <v xml:space="preserve"> </v>
      </c>
      <c r="G1291" t="str">
        <f>IFERROR((Table1[[#This Row],[Exit Year]]-Table1[[#This Row],[Join Year]])+1," ")</f>
        <v xml:space="preserve"> </v>
      </c>
      <c r="H1291" t="s">
        <v>48</v>
      </c>
      <c r="I1291" t="s">
        <v>11</v>
      </c>
      <c r="J1291" t="s">
        <v>12</v>
      </c>
      <c r="K1291">
        <v>37</v>
      </c>
      <c r="L1291" t="str">
        <f>IF(Table1[[#This Row],[Age]]&lt;30,"20-29",
IF(Table1[[#This Row],[Age]]&lt;40,"30-39",
IF(Table1[[#This Row],[Age]]&lt;50,"40-49",
IF(Table1[[#This Row],[Age]]&lt;60,"50-59","60+"))))</f>
        <v>30-39</v>
      </c>
      <c r="M1291" t="s">
        <v>16</v>
      </c>
      <c r="N1291" t="s">
        <v>35</v>
      </c>
    </row>
    <row r="1292" spans="1:14" x14ac:dyDescent="0.35">
      <c r="A1292">
        <v>1391</v>
      </c>
      <c r="B1292" t="s">
        <v>34</v>
      </c>
      <c r="C1292" s="6">
        <v>44099</v>
      </c>
      <c r="D1292">
        <f>YEAR(Table1[[#This Row],[Join Date]])</f>
        <v>2020</v>
      </c>
      <c r="E1292" s="6" t="s">
        <v>48</v>
      </c>
      <c r="F1292" t="str">
        <f>IFERROR(YEAR(Table1[[#This Row],[Exit Date]]), " ")</f>
        <v xml:space="preserve"> </v>
      </c>
      <c r="G1292" t="str">
        <f>IFERROR((Table1[[#This Row],[Exit Year]]-Table1[[#This Row],[Join Year]])+1," ")</f>
        <v xml:space="preserve"> </v>
      </c>
      <c r="H1292" t="s">
        <v>48</v>
      </c>
      <c r="I1292" t="s">
        <v>11</v>
      </c>
      <c r="J1292" t="s">
        <v>18</v>
      </c>
      <c r="K1292">
        <v>23</v>
      </c>
      <c r="L1292" t="str">
        <f>IF(Table1[[#This Row],[Age]]&lt;30,"20-29",
IF(Table1[[#This Row],[Age]]&lt;40,"30-39",
IF(Table1[[#This Row],[Age]]&lt;50,"40-49",
IF(Table1[[#This Row],[Age]]&lt;60,"50-59","60+"))))</f>
        <v>20-29</v>
      </c>
      <c r="M1292" t="s">
        <v>20</v>
      </c>
      <c r="N1292" t="s">
        <v>37</v>
      </c>
    </row>
    <row r="1293" spans="1:14" x14ac:dyDescent="0.35">
      <c r="A1293">
        <v>1392</v>
      </c>
      <c r="B1293" t="s">
        <v>34</v>
      </c>
      <c r="C1293" s="6">
        <v>45632</v>
      </c>
      <c r="D1293">
        <f>YEAR(Table1[[#This Row],[Join Date]])</f>
        <v>2024</v>
      </c>
      <c r="E1293" s="6" t="s">
        <v>48</v>
      </c>
      <c r="F1293" t="str">
        <f>IFERROR(YEAR(Table1[[#This Row],[Exit Date]]), " ")</f>
        <v xml:space="preserve"> </v>
      </c>
      <c r="G1293" t="str">
        <f>IFERROR((Table1[[#This Row],[Exit Year]]-Table1[[#This Row],[Join Year]])+1," ")</f>
        <v xml:space="preserve"> </v>
      </c>
      <c r="H1293" t="s">
        <v>48</v>
      </c>
      <c r="I1293" t="s">
        <v>11</v>
      </c>
      <c r="J1293" t="s">
        <v>12</v>
      </c>
      <c r="K1293">
        <v>31</v>
      </c>
      <c r="L1293" t="str">
        <f>IF(Table1[[#This Row],[Age]]&lt;30,"20-29",
IF(Table1[[#This Row],[Age]]&lt;40,"30-39",
IF(Table1[[#This Row],[Age]]&lt;50,"40-49",
IF(Table1[[#This Row],[Age]]&lt;60,"50-59","60+"))))</f>
        <v>30-39</v>
      </c>
      <c r="M1293" t="s">
        <v>24</v>
      </c>
      <c r="N1293" t="s">
        <v>19</v>
      </c>
    </row>
    <row r="1294" spans="1:14" x14ac:dyDescent="0.35">
      <c r="A1294">
        <v>1393</v>
      </c>
      <c r="B1294" t="s">
        <v>36</v>
      </c>
      <c r="C1294" s="6">
        <v>45294</v>
      </c>
      <c r="D1294">
        <f>YEAR(Table1[[#This Row],[Join Date]])</f>
        <v>2024</v>
      </c>
      <c r="E1294" s="6" t="s">
        <v>48</v>
      </c>
      <c r="F1294" t="str">
        <f>IFERROR(YEAR(Table1[[#This Row],[Exit Date]]), " ")</f>
        <v xml:space="preserve"> </v>
      </c>
      <c r="G1294" t="str">
        <f>IFERROR((Table1[[#This Row],[Exit Year]]-Table1[[#This Row],[Join Year]])+1," ")</f>
        <v xml:space="preserve"> </v>
      </c>
      <c r="H1294" t="s">
        <v>48</v>
      </c>
      <c r="I1294" t="s">
        <v>11</v>
      </c>
      <c r="J1294" t="s">
        <v>18</v>
      </c>
      <c r="K1294">
        <v>52</v>
      </c>
      <c r="L1294" t="str">
        <f>IF(Table1[[#This Row],[Age]]&lt;30,"20-29",
IF(Table1[[#This Row],[Age]]&lt;40,"30-39",
IF(Table1[[#This Row],[Age]]&lt;50,"40-49",
IF(Table1[[#This Row],[Age]]&lt;60,"50-59","60+"))))</f>
        <v>50-59</v>
      </c>
      <c r="M1294" t="s">
        <v>13</v>
      </c>
      <c r="N1294" t="s">
        <v>25</v>
      </c>
    </row>
    <row r="1295" spans="1:14" x14ac:dyDescent="0.35">
      <c r="A1295">
        <v>1394</v>
      </c>
      <c r="B1295" t="s">
        <v>26</v>
      </c>
      <c r="C1295" s="6">
        <v>44590</v>
      </c>
      <c r="D1295">
        <f>YEAR(Table1[[#This Row],[Join Date]])</f>
        <v>2022</v>
      </c>
      <c r="E1295" s="6" t="s">
        <v>48</v>
      </c>
      <c r="F1295" t="str">
        <f>IFERROR(YEAR(Table1[[#This Row],[Exit Date]]), " ")</f>
        <v xml:space="preserve"> </v>
      </c>
      <c r="G1295" t="str">
        <f>IFERROR((Table1[[#This Row],[Exit Year]]-Table1[[#This Row],[Join Year]])+1," ")</f>
        <v xml:space="preserve"> </v>
      </c>
      <c r="H1295" t="s">
        <v>48</v>
      </c>
      <c r="I1295" t="s">
        <v>11</v>
      </c>
      <c r="J1295" t="s">
        <v>12</v>
      </c>
      <c r="K1295">
        <v>25</v>
      </c>
      <c r="L1295" t="str">
        <f>IF(Table1[[#This Row],[Age]]&lt;30,"20-29",
IF(Table1[[#This Row],[Age]]&lt;40,"30-39",
IF(Table1[[#This Row],[Age]]&lt;50,"40-49",
IF(Table1[[#This Row],[Age]]&lt;60,"50-59","60+"))))</f>
        <v>20-29</v>
      </c>
      <c r="M1295" t="s">
        <v>30</v>
      </c>
      <c r="N1295" t="s">
        <v>35</v>
      </c>
    </row>
    <row r="1296" spans="1:14" x14ac:dyDescent="0.35">
      <c r="A1296">
        <v>1395</v>
      </c>
      <c r="B1296" t="s">
        <v>15</v>
      </c>
      <c r="C1296" s="6">
        <v>45215</v>
      </c>
      <c r="D1296">
        <f>YEAR(Table1[[#This Row],[Join Date]])</f>
        <v>2023</v>
      </c>
      <c r="E1296" s="6" t="s">
        <v>48</v>
      </c>
      <c r="F1296" t="str">
        <f>IFERROR(YEAR(Table1[[#This Row],[Exit Date]]), " ")</f>
        <v xml:space="preserve"> </v>
      </c>
      <c r="G1296" t="str">
        <f>IFERROR((Table1[[#This Row],[Exit Year]]-Table1[[#This Row],[Join Year]])+1," ")</f>
        <v xml:space="preserve"> </v>
      </c>
      <c r="H1296" t="s">
        <v>48</v>
      </c>
      <c r="I1296" t="s">
        <v>11</v>
      </c>
      <c r="J1296" t="s">
        <v>12</v>
      </c>
      <c r="K1296">
        <v>46</v>
      </c>
      <c r="L1296" t="str">
        <f>IF(Table1[[#This Row],[Age]]&lt;30,"20-29",
IF(Table1[[#This Row],[Age]]&lt;40,"30-39",
IF(Table1[[#This Row],[Age]]&lt;50,"40-49",
IF(Table1[[#This Row],[Age]]&lt;60,"50-59","60+"))))</f>
        <v>40-49</v>
      </c>
      <c r="M1296" t="s">
        <v>13</v>
      </c>
      <c r="N1296" t="s">
        <v>17</v>
      </c>
    </row>
    <row r="1297" spans="1:14" x14ac:dyDescent="0.35">
      <c r="A1297">
        <v>1396</v>
      </c>
      <c r="B1297" t="s">
        <v>15</v>
      </c>
      <c r="C1297" s="6">
        <v>43624</v>
      </c>
      <c r="D1297">
        <f>YEAR(Table1[[#This Row],[Join Date]])</f>
        <v>2019</v>
      </c>
      <c r="E1297" s="6">
        <v>44228</v>
      </c>
      <c r="F1297">
        <f>IFERROR(YEAR(Table1[[#This Row],[Exit Date]]), " ")</f>
        <v>2021</v>
      </c>
      <c r="G1297">
        <f>IFERROR((Table1[[#This Row],[Exit Year]]-Table1[[#This Row],[Join Year]])+1," ")</f>
        <v>3</v>
      </c>
      <c r="H1297" t="s">
        <v>41</v>
      </c>
      <c r="I1297" t="s">
        <v>23</v>
      </c>
      <c r="J1297" t="s">
        <v>18</v>
      </c>
      <c r="K1297">
        <v>24</v>
      </c>
      <c r="L1297" t="str">
        <f>IF(Table1[[#This Row],[Age]]&lt;30,"20-29",
IF(Table1[[#This Row],[Age]]&lt;40,"30-39",
IF(Table1[[#This Row],[Age]]&lt;50,"40-49",
IF(Table1[[#This Row],[Age]]&lt;60,"50-59","60+"))))</f>
        <v>20-29</v>
      </c>
      <c r="M1297" t="s">
        <v>13</v>
      </c>
      <c r="N1297" t="s">
        <v>19</v>
      </c>
    </row>
    <row r="1298" spans="1:14" x14ac:dyDescent="0.35">
      <c r="A1298">
        <v>1397</v>
      </c>
      <c r="B1298" t="s">
        <v>15</v>
      </c>
      <c r="C1298" s="6">
        <v>44514</v>
      </c>
      <c r="D1298">
        <f>YEAR(Table1[[#This Row],[Join Date]])</f>
        <v>2021</v>
      </c>
      <c r="E1298" s="6">
        <v>45529</v>
      </c>
      <c r="F1298">
        <f>IFERROR(YEAR(Table1[[#This Row],[Exit Date]]), " ")</f>
        <v>2024</v>
      </c>
      <c r="G1298">
        <f>IFERROR((Table1[[#This Row],[Exit Year]]-Table1[[#This Row],[Join Year]])+1," ")</f>
        <v>4</v>
      </c>
      <c r="H1298" t="s">
        <v>41</v>
      </c>
      <c r="I1298" t="s">
        <v>23</v>
      </c>
      <c r="J1298" t="s">
        <v>18</v>
      </c>
      <c r="K1298">
        <v>38</v>
      </c>
      <c r="L1298" t="str">
        <f>IF(Table1[[#This Row],[Age]]&lt;30,"20-29",
IF(Table1[[#This Row],[Age]]&lt;40,"30-39",
IF(Table1[[#This Row],[Age]]&lt;50,"40-49",
IF(Table1[[#This Row],[Age]]&lt;60,"50-59","60+"))))</f>
        <v>30-39</v>
      </c>
      <c r="M1298" t="s">
        <v>16</v>
      </c>
      <c r="N1298" t="s">
        <v>21</v>
      </c>
    </row>
    <row r="1299" spans="1:14" x14ac:dyDescent="0.35">
      <c r="A1299">
        <v>1398</v>
      </c>
      <c r="B1299" t="s">
        <v>29</v>
      </c>
      <c r="C1299" s="6">
        <v>43700</v>
      </c>
      <c r="D1299">
        <f>YEAR(Table1[[#This Row],[Join Date]])</f>
        <v>2019</v>
      </c>
      <c r="E1299" s="6" t="s">
        <v>48</v>
      </c>
      <c r="F1299" t="str">
        <f>IFERROR(YEAR(Table1[[#This Row],[Exit Date]]), " ")</f>
        <v xml:space="preserve"> </v>
      </c>
      <c r="G1299" t="str">
        <f>IFERROR((Table1[[#This Row],[Exit Year]]-Table1[[#This Row],[Join Year]])+1," ")</f>
        <v xml:space="preserve"> </v>
      </c>
      <c r="H1299" t="s">
        <v>48</v>
      </c>
      <c r="I1299" t="s">
        <v>11</v>
      </c>
      <c r="J1299" t="s">
        <v>12</v>
      </c>
      <c r="K1299">
        <v>49</v>
      </c>
      <c r="L1299" t="str">
        <f>IF(Table1[[#This Row],[Age]]&lt;30,"20-29",
IF(Table1[[#This Row],[Age]]&lt;40,"30-39",
IF(Table1[[#This Row],[Age]]&lt;50,"40-49",
IF(Table1[[#This Row],[Age]]&lt;60,"50-59","60+"))))</f>
        <v>40-49</v>
      </c>
      <c r="M1299" t="s">
        <v>13</v>
      </c>
      <c r="N1299" t="s">
        <v>25</v>
      </c>
    </row>
    <row r="1300" spans="1:14" x14ac:dyDescent="0.35">
      <c r="A1300">
        <v>1399</v>
      </c>
      <c r="B1300" t="s">
        <v>34</v>
      </c>
      <c r="C1300" s="6">
        <v>45540</v>
      </c>
      <c r="D1300">
        <f>YEAR(Table1[[#This Row],[Join Date]])</f>
        <v>2024</v>
      </c>
      <c r="E1300" s="6" t="s">
        <v>48</v>
      </c>
      <c r="F1300" t="str">
        <f>IFERROR(YEAR(Table1[[#This Row],[Exit Date]]), " ")</f>
        <v xml:space="preserve"> </v>
      </c>
      <c r="G1300" t="str">
        <f>IFERROR((Table1[[#This Row],[Exit Year]]-Table1[[#This Row],[Join Year]])+1," ")</f>
        <v xml:space="preserve"> </v>
      </c>
      <c r="H1300" t="s">
        <v>48</v>
      </c>
      <c r="I1300" t="s">
        <v>11</v>
      </c>
      <c r="J1300" t="s">
        <v>18</v>
      </c>
      <c r="K1300">
        <v>31</v>
      </c>
      <c r="L1300" t="str">
        <f>IF(Table1[[#This Row],[Age]]&lt;30,"20-29",
IF(Table1[[#This Row],[Age]]&lt;40,"30-39",
IF(Table1[[#This Row],[Age]]&lt;50,"40-49",
IF(Table1[[#This Row],[Age]]&lt;60,"50-59","60+"))))</f>
        <v>30-39</v>
      </c>
      <c r="M1300" t="s">
        <v>20</v>
      </c>
      <c r="N1300" t="s">
        <v>35</v>
      </c>
    </row>
    <row r="1301" spans="1:14" x14ac:dyDescent="0.35">
      <c r="A1301">
        <v>1400</v>
      </c>
      <c r="B1301" t="s">
        <v>10</v>
      </c>
      <c r="C1301" s="6">
        <v>43297</v>
      </c>
      <c r="D1301">
        <f>YEAR(Table1[[#This Row],[Join Date]])</f>
        <v>2018</v>
      </c>
      <c r="E1301" s="6">
        <v>44682</v>
      </c>
      <c r="F1301">
        <f>IFERROR(YEAR(Table1[[#This Row],[Exit Date]]), " ")</f>
        <v>2022</v>
      </c>
      <c r="G1301">
        <f>IFERROR((Table1[[#This Row],[Exit Year]]-Table1[[#This Row],[Join Year]])+1," ")</f>
        <v>5</v>
      </c>
      <c r="H1301" t="s">
        <v>40</v>
      </c>
      <c r="I1301" t="s">
        <v>23</v>
      </c>
      <c r="J1301" t="s">
        <v>12</v>
      </c>
      <c r="K1301">
        <v>51</v>
      </c>
      <c r="L1301" t="str">
        <f>IF(Table1[[#This Row],[Age]]&lt;30,"20-29",
IF(Table1[[#This Row],[Age]]&lt;40,"30-39",
IF(Table1[[#This Row],[Age]]&lt;50,"40-49",
IF(Table1[[#This Row],[Age]]&lt;60,"50-59","60+"))))</f>
        <v>50-59</v>
      </c>
      <c r="M1301" t="s">
        <v>39</v>
      </c>
      <c r="N1301" t="s">
        <v>14</v>
      </c>
    </row>
    <row r="1302" spans="1:14" x14ac:dyDescent="0.35">
      <c r="A1302">
        <v>1401</v>
      </c>
      <c r="B1302" t="s">
        <v>10</v>
      </c>
      <c r="C1302" s="6">
        <v>43407</v>
      </c>
      <c r="D1302">
        <f>YEAR(Table1[[#This Row],[Join Date]])</f>
        <v>2018</v>
      </c>
      <c r="E1302" s="6" t="s">
        <v>48</v>
      </c>
      <c r="F1302" t="str">
        <f>IFERROR(YEAR(Table1[[#This Row],[Exit Date]]), " ")</f>
        <v xml:space="preserve"> </v>
      </c>
      <c r="G1302" t="str">
        <f>IFERROR((Table1[[#This Row],[Exit Year]]-Table1[[#This Row],[Join Year]])+1," ")</f>
        <v xml:space="preserve"> </v>
      </c>
      <c r="H1302" t="s">
        <v>48</v>
      </c>
      <c r="I1302" t="s">
        <v>11</v>
      </c>
      <c r="J1302" t="s">
        <v>12</v>
      </c>
      <c r="K1302">
        <v>27</v>
      </c>
      <c r="L1302" t="str">
        <f>IF(Table1[[#This Row],[Age]]&lt;30,"20-29",
IF(Table1[[#This Row],[Age]]&lt;40,"30-39",
IF(Table1[[#This Row],[Age]]&lt;50,"40-49",
IF(Table1[[#This Row],[Age]]&lt;60,"50-59","60+"))))</f>
        <v>20-29</v>
      </c>
      <c r="M1302" t="s">
        <v>13</v>
      </c>
      <c r="N1302" t="s">
        <v>19</v>
      </c>
    </row>
    <row r="1303" spans="1:14" x14ac:dyDescent="0.35">
      <c r="A1303">
        <v>1402</v>
      </c>
      <c r="B1303" t="s">
        <v>15</v>
      </c>
      <c r="C1303" s="6">
        <v>44121</v>
      </c>
      <c r="D1303">
        <f>YEAR(Table1[[#This Row],[Join Date]])</f>
        <v>2020</v>
      </c>
      <c r="E1303" s="6" t="s">
        <v>48</v>
      </c>
      <c r="F1303" t="str">
        <f>IFERROR(YEAR(Table1[[#This Row],[Exit Date]]), " ")</f>
        <v xml:space="preserve"> </v>
      </c>
      <c r="G1303" t="str">
        <f>IFERROR((Table1[[#This Row],[Exit Year]]-Table1[[#This Row],[Join Year]])+1," ")</f>
        <v xml:space="preserve"> </v>
      </c>
      <c r="H1303" t="s">
        <v>48</v>
      </c>
      <c r="I1303" t="s">
        <v>11</v>
      </c>
      <c r="J1303" t="s">
        <v>12</v>
      </c>
      <c r="K1303">
        <v>22</v>
      </c>
      <c r="L1303" t="str">
        <f>IF(Table1[[#This Row],[Age]]&lt;30,"20-29",
IF(Table1[[#This Row],[Age]]&lt;40,"30-39",
IF(Table1[[#This Row],[Age]]&lt;50,"40-49",
IF(Table1[[#This Row],[Age]]&lt;60,"50-59","60+"))))</f>
        <v>20-29</v>
      </c>
      <c r="M1303" t="s">
        <v>16</v>
      </c>
      <c r="N1303" t="s">
        <v>21</v>
      </c>
    </row>
    <row r="1304" spans="1:14" x14ac:dyDescent="0.35">
      <c r="A1304">
        <v>1403</v>
      </c>
      <c r="B1304" t="s">
        <v>15</v>
      </c>
      <c r="C1304" s="6">
        <v>44423</v>
      </c>
      <c r="D1304">
        <f>YEAR(Table1[[#This Row],[Join Date]])</f>
        <v>2021</v>
      </c>
      <c r="E1304" s="6" t="s">
        <v>48</v>
      </c>
      <c r="F1304" t="str">
        <f>IFERROR(YEAR(Table1[[#This Row],[Exit Date]]), " ")</f>
        <v xml:space="preserve"> </v>
      </c>
      <c r="G1304" t="str">
        <f>IFERROR((Table1[[#This Row],[Exit Year]]-Table1[[#This Row],[Join Year]])+1," ")</f>
        <v xml:space="preserve"> </v>
      </c>
      <c r="H1304" t="s">
        <v>48</v>
      </c>
      <c r="I1304" t="s">
        <v>11</v>
      </c>
      <c r="J1304" t="s">
        <v>18</v>
      </c>
      <c r="K1304">
        <v>50</v>
      </c>
      <c r="L1304" t="str">
        <f>IF(Table1[[#This Row],[Age]]&lt;30,"20-29",
IF(Table1[[#This Row],[Age]]&lt;40,"30-39",
IF(Table1[[#This Row],[Age]]&lt;50,"40-49",
IF(Table1[[#This Row],[Age]]&lt;60,"50-59","60+"))))</f>
        <v>50-59</v>
      </c>
      <c r="M1304" t="s">
        <v>16</v>
      </c>
      <c r="N1304" t="s">
        <v>37</v>
      </c>
    </row>
    <row r="1305" spans="1:14" x14ac:dyDescent="0.35">
      <c r="A1305">
        <v>1404</v>
      </c>
      <c r="B1305" t="s">
        <v>15</v>
      </c>
      <c r="C1305" s="6">
        <v>45087</v>
      </c>
      <c r="D1305">
        <f>YEAR(Table1[[#This Row],[Join Date]])</f>
        <v>2023</v>
      </c>
      <c r="E1305" s="6" t="s">
        <v>48</v>
      </c>
      <c r="F1305" t="str">
        <f>IFERROR(YEAR(Table1[[#This Row],[Exit Date]]), " ")</f>
        <v xml:space="preserve"> </v>
      </c>
      <c r="G1305" t="str">
        <f>IFERROR((Table1[[#This Row],[Exit Year]]-Table1[[#This Row],[Join Year]])+1," ")</f>
        <v xml:space="preserve"> </v>
      </c>
      <c r="H1305" t="s">
        <v>48</v>
      </c>
      <c r="I1305" t="s">
        <v>11</v>
      </c>
      <c r="J1305" t="s">
        <v>12</v>
      </c>
      <c r="K1305">
        <v>24</v>
      </c>
      <c r="L1305" t="str">
        <f>IF(Table1[[#This Row],[Age]]&lt;30,"20-29",
IF(Table1[[#This Row],[Age]]&lt;40,"30-39",
IF(Table1[[#This Row],[Age]]&lt;50,"40-49",
IF(Table1[[#This Row],[Age]]&lt;60,"50-59","60+"))))</f>
        <v>20-29</v>
      </c>
      <c r="M1305" t="s">
        <v>20</v>
      </c>
      <c r="N1305" t="s">
        <v>25</v>
      </c>
    </row>
    <row r="1306" spans="1:14" x14ac:dyDescent="0.35">
      <c r="A1306">
        <v>1405</v>
      </c>
      <c r="B1306" t="s">
        <v>15</v>
      </c>
      <c r="C1306" s="6">
        <v>43479</v>
      </c>
      <c r="D1306">
        <f>YEAR(Table1[[#This Row],[Join Date]])</f>
        <v>2019</v>
      </c>
      <c r="E1306" s="6">
        <v>44449</v>
      </c>
      <c r="F1306">
        <f>IFERROR(YEAR(Table1[[#This Row],[Exit Date]]), " ")</f>
        <v>2021</v>
      </c>
      <c r="G1306">
        <f>IFERROR((Table1[[#This Row],[Exit Year]]-Table1[[#This Row],[Join Year]])+1," ")</f>
        <v>3</v>
      </c>
      <c r="H1306" t="s">
        <v>46</v>
      </c>
      <c r="I1306" t="s">
        <v>23</v>
      </c>
      <c r="J1306" t="s">
        <v>18</v>
      </c>
      <c r="K1306">
        <v>50</v>
      </c>
      <c r="L1306" t="str">
        <f>IF(Table1[[#This Row],[Age]]&lt;30,"20-29",
IF(Table1[[#This Row],[Age]]&lt;40,"30-39",
IF(Table1[[#This Row],[Age]]&lt;50,"40-49",
IF(Table1[[#This Row],[Age]]&lt;60,"50-59","60+"))))</f>
        <v>50-59</v>
      </c>
      <c r="M1306" t="s">
        <v>24</v>
      </c>
      <c r="N1306" t="s">
        <v>35</v>
      </c>
    </row>
    <row r="1307" spans="1:14" x14ac:dyDescent="0.35">
      <c r="A1307">
        <v>1406</v>
      </c>
      <c r="B1307" t="s">
        <v>26</v>
      </c>
      <c r="C1307" s="6">
        <v>44749</v>
      </c>
      <c r="D1307">
        <f>YEAR(Table1[[#This Row],[Join Date]])</f>
        <v>2022</v>
      </c>
      <c r="E1307" s="6">
        <v>44972</v>
      </c>
      <c r="F1307">
        <f>IFERROR(YEAR(Table1[[#This Row],[Exit Date]]), " ")</f>
        <v>2023</v>
      </c>
      <c r="G1307">
        <f>IFERROR((Table1[[#This Row],[Exit Year]]-Table1[[#This Row],[Join Year]])+1," ")</f>
        <v>2</v>
      </c>
      <c r="H1307" t="s">
        <v>46</v>
      </c>
      <c r="I1307" t="s">
        <v>23</v>
      </c>
      <c r="J1307" t="s">
        <v>12</v>
      </c>
      <c r="K1307">
        <v>28</v>
      </c>
      <c r="L1307" t="str">
        <f>IF(Table1[[#This Row],[Age]]&lt;30,"20-29",
IF(Table1[[#This Row],[Age]]&lt;40,"30-39",
IF(Table1[[#This Row],[Age]]&lt;50,"40-49",
IF(Table1[[#This Row],[Age]]&lt;60,"50-59","60+"))))</f>
        <v>20-29</v>
      </c>
      <c r="M1307" t="s">
        <v>13</v>
      </c>
      <c r="N1307" t="s">
        <v>14</v>
      </c>
    </row>
    <row r="1308" spans="1:14" x14ac:dyDescent="0.35">
      <c r="A1308">
        <v>1407</v>
      </c>
      <c r="B1308" t="s">
        <v>29</v>
      </c>
      <c r="C1308" s="6">
        <v>45457</v>
      </c>
      <c r="D1308">
        <f>YEAR(Table1[[#This Row],[Join Date]])</f>
        <v>2024</v>
      </c>
      <c r="E1308" s="6" t="s">
        <v>48</v>
      </c>
      <c r="F1308" t="str">
        <f>IFERROR(YEAR(Table1[[#This Row],[Exit Date]]), " ")</f>
        <v xml:space="preserve"> </v>
      </c>
      <c r="G1308" t="str">
        <f>IFERROR((Table1[[#This Row],[Exit Year]]-Table1[[#This Row],[Join Year]])+1," ")</f>
        <v xml:space="preserve"> </v>
      </c>
      <c r="H1308" t="s">
        <v>48</v>
      </c>
      <c r="I1308" t="s">
        <v>11</v>
      </c>
      <c r="J1308" t="s">
        <v>18</v>
      </c>
      <c r="K1308">
        <v>40</v>
      </c>
      <c r="L1308" t="str">
        <f>IF(Table1[[#This Row],[Age]]&lt;30,"20-29",
IF(Table1[[#This Row],[Age]]&lt;40,"30-39",
IF(Table1[[#This Row],[Age]]&lt;50,"40-49",
IF(Table1[[#This Row],[Age]]&lt;60,"50-59","60+"))))</f>
        <v>40-49</v>
      </c>
      <c r="M1308" t="s">
        <v>30</v>
      </c>
      <c r="N1308" t="s">
        <v>17</v>
      </c>
    </row>
    <row r="1309" spans="1:14" x14ac:dyDescent="0.35">
      <c r="A1309">
        <v>1408</v>
      </c>
      <c r="B1309" t="s">
        <v>10</v>
      </c>
      <c r="C1309" s="6">
        <v>43304</v>
      </c>
      <c r="D1309">
        <f>YEAR(Table1[[#This Row],[Join Date]])</f>
        <v>2018</v>
      </c>
      <c r="E1309" s="6" t="s">
        <v>48</v>
      </c>
      <c r="F1309" t="str">
        <f>IFERROR(YEAR(Table1[[#This Row],[Exit Date]]), " ")</f>
        <v xml:space="preserve"> </v>
      </c>
      <c r="G1309" t="str">
        <f>IFERROR((Table1[[#This Row],[Exit Year]]-Table1[[#This Row],[Join Year]])+1," ")</f>
        <v xml:space="preserve"> </v>
      </c>
      <c r="H1309" t="s">
        <v>48</v>
      </c>
      <c r="I1309" t="s">
        <v>11</v>
      </c>
      <c r="J1309" t="s">
        <v>18</v>
      </c>
      <c r="K1309">
        <v>32</v>
      </c>
      <c r="L1309" t="str">
        <f>IF(Table1[[#This Row],[Age]]&lt;30,"20-29",
IF(Table1[[#This Row],[Age]]&lt;40,"30-39",
IF(Table1[[#This Row],[Age]]&lt;50,"40-49",
IF(Table1[[#This Row],[Age]]&lt;60,"50-59","60+"))))</f>
        <v>30-39</v>
      </c>
      <c r="M1309" t="s">
        <v>13</v>
      </c>
      <c r="N1309" t="s">
        <v>19</v>
      </c>
    </row>
    <row r="1310" spans="1:14" x14ac:dyDescent="0.35">
      <c r="A1310">
        <v>1409</v>
      </c>
      <c r="B1310" t="s">
        <v>15</v>
      </c>
      <c r="C1310" s="6">
        <v>44987</v>
      </c>
      <c r="D1310">
        <f>YEAR(Table1[[#This Row],[Join Date]])</f>
        <v>2023</v>
      </c>
      <c r="E1310" s="6" t="s">
        <v>48</v>
      </c>
      <c r="F1310" t="str">
        <f>IFERROR(YEAR(Table1[[#This Row],[Exit Date]]), " ")</f>
        <v xml:space="preserve"> </v>
      </c>
      <c r="G1310" t="str">
        <f>IFERROR((Table1[[#This Row],[Exit Year]]-Table1[[#This Row],[Join Year]])+1," ")</f>
        <v xml:space="preserve"> </v>
      </c>
      <c r="H1310" t="s">
        <v>48</v>
      </c>
      <c r="I1310" t="s">
        <v>11</v>
      </c>
      <c r="J1310" t="s">
        <v>12</v>
      </c>
      <c r="K1310">
        <v>50</v>
      </c>
      <c r="L1310" t="str">
        <f>IF(Table1[[#This Row],[Age]]&lt;30,"20-29",
IF(Table1[[#This Row],[Age]]&lt;40,"30-39",
IF(Table1[[#This Row],[Age]]&lt;50,"40-49",
IF(Table1[[#This Row],[Age]]&lt;60,"50-59","60+"))))</f>
        <v>50-59</v>
      </c>
      <c r="M1310" t="s">
        <v>13</v>
      </c>
      <c r="N1310" t="s">
        <v>21</v>
      </c>
    </row>
    <row r="1311" spans="1:14" x14ac:dyDescent="0.35">
      <c r="A1311">
        <v>1410</v>
      </c>
      <c r="B1311" t="s">
        <v>34</v>
      </c>
      <c r="C1311" s="6">
        <v>45326</v>
      </c>
      <c r="D1311">
        <f>YEAR(Table1[[#This Row],[Join Date]])</f>
        <v>2024</v>
      </c>
      <c r="E1311" s="6" t="s">
        <v>48</v>
      </c>
      <c r="F1311" t="str">
        <f>IFERROR(YEAR(Table1[[#This Row],[Exit Date]]), " ")</f>
        <v xml:space="preserve"> </v>
      </c>
      <c r="G1311" t="str">
        <f>IFERROR((Table1[[#This Row],[Exit Year]]-Table1[[#This Row],[Join Year]])+1," ")</f>
        <v xml:space="preserve"> </v>
      </c>
      <c r="H1311" t="s">
        <v>48</v>
      </c>
      <c r="I1311" t="s">
        <v>11</v>
      </c>
      <c r="J1311" t="s">
        <v>18</v>
      </c>
      <c r="K1311">
        <v>24</v>
      </c>
      <c r="L1311" t="str">
        <f>IF(Table1[[#This Row],[Age]]&lt;30,"20-29",
IF(Table1[[#This Row],[Age]]&lt;40,"30-39",
IF(Table1[[#This Row],[Age]]&lt;50,"40-49",
IF(Table1[[#This Row],[Age]]&lt;60,"50-59","60+"))))</f>
        <v>20-29</v>
      </c>
      <c r="M1311" t="s">
        <v>16</v>
      </c>
      <c r="N1311" t="s">
        <v>25</v>
      </c>
    </row>
    <row r="1312" spans="1:14" x14ac:dyDescent="0.35">
      <c r="A1312">
        <v>1411</v>
      </c>
      <c r="B1312" t="s">
        <v>36</v>
      </c>
      <c r="C1312" s="6">
        <v>45474</v>
      </c>
      <c r="D1312">
        <f>YEAR(Table1[[#This Row],[Join Date]])</f>
        <v>2024</v>
      </c>
      <c r="E1312" s="6" t="s">
        <v>48</v>
      </c>
      <c r="F1312" t="str">
        <f>IFERROR(YEAR(Table1[[#This Row],[Exit Date]]), " ")</f>
        <v xml:space="preserve"> </v>
      </c>
      <c r="G1312" t="str">
        <f>IFERROR((Table1[[#This Row],[Exit Year]]-Table1[[#This Row],[Join Year]])+1," ")</f>
        <v xml:space="preserve"> </v>
      </c>
      <c r="H1312" t="s">
        <v>48</v>
      </c>
      <c r="I1312" t="s">
        <v>11</v>
      </c>
      <c r="J1312" t="s">
        <v>18</v>
      </c>
      <c r="K1312">
        <v>36</v>
      </c>
      <c r="L1312" t="str">
        <f>IF(Table1[[#This Row],[Age]]&lt;30,"20-29",
IF(Table1[[#This Row],[Age]]&lt;40,"30-39",
IF(Table1[[#This Row],[Age]]&lt;50,"40-49",
IF(Table1[[#This Row],[Age]]&lt;60,"50-59","60+"))))</f>
        <v>30-39</v>
      </c>
      <c r="M1312" t="s">
        <v>13</v>
      </c>
      <c r="N1312" t="s">
        <v>28</v>
      </c>
    </row>
    <row r="1313" spans="1:14" x14ac:dyDescent="0.35">
      <c r="A1313">
        <v>1412</v>
      </c>
      <c r="B1313" t="s">
        <v>29</v>
      </c>
      <c r="C1313" s="6">
        <v>44227</v>
      </c>
      <c r="D1313">
        <f>YEAR(Table1[[#This Row],[Join Date]])</f>
        <v>2021</v>
      </c>
      <c r="E1313" s="6">
        <v>45322</v>
      </c>
      <c r="F1313">
        <f>IFERROR(YEAR(Table1[[#This Row],[Exit Date]]), " ")</f>
        <v>2024</v>
      </c>
      <c r="G1313">
        <f>IFERROR((Table1[[#This Row],[Exit Year]]-Table1[[#This Row],[Join Year]])+1," ")</f>
        <v>4</v>
      </c>
      <c r="H1313" t="s">
        <v>46</v>
      </c>
      <c r="I1313" t="s">
        <v>23</v>
      </c>
      <c r="J1313" t="s">
        <v>12</v>
      </c>
      <c r="K1313">
        <v>49</v>
      </c>
      <c r="L1313" t="str">
        <f>IF(Table1[[#This Row],[Age]]&lt;30,"20-29",
IF(Table1[[#This Row],[Age]]&lt;40,"30-39",
IF(Table1[[#This Row],[Age]]&lt;50,"40-49",
IF(Table1[[#This Row],[Age]]&lt;60,"50-59","60+"))))</f>
        <v>40-49</v>
      </c>
      <c r="M1313" t="s">
        <v>20</v>
      </c>
      <c r="N1313" t="s">
        <v>31</v>
      </c>
    </row>
    <row r="1314" spans="1:14" x14ac:dyDescent="0.35">
      <c r="A1314">
        <v>1413</v>
      </c>
      <c r="B1314" t="s">
        <v>10</v>
      </c>
      <c r="C1314" s="6">
        <v>43446</v>
      </c>
      <c r="D1314">
        <f>YEAR(Table1[[#This Row],[Join Date]])</f>
        <v>2018</v>
      </c>
      <c r="E1314" s="6">
        <v>43936</v>
      </c>
      <c r="F1314">
        <f>IFERROR(YEAR(Table1[[#This Row],[Exit Date]]), " ")</f>
        <v>2020</v>
      </c>
      <c r="G1314">
        <f>IFERROR((Table1[[#This Row],[Exit Year]]-Table1[[#This Row],[Join Year]])+1," ")</f>
        <v>3</v>
      </c>
      <c r="H1314" t="s">
        <v>38</v>
      </c>
      <c r="I1314" t="s">
        <v>23</v>
      </c>
      <c r="J1314" t="s">
        <v>12</v>
      </c>
      <c r="K1314">
        <v>43</v>
      </c>
      <c r="L1314" t="str">
        <f>IF(Table1[[#This Row],[Age]]&lt;30,"20-29",
IF(Table1[[#This Row],[Age]]&lt;40,"30-39",
IF(Table1[[#This Row],[Age]]&lt;50,"40-49",
IF(Table1[[#This Row],[Age]]&lt;60,"50-59","60+"))))</f>
        <v>40-49</v>
      </c>
      <c r="M1314" t="s">
        <v>39</v>
      </c>
      <c r="N1314" t="s">
        <v>32</v>
      </c>
    </row>
    <row r="1315" spans="1:14" x14ac:dyDescent="0.35">
      <c r="A1315">
        <v>1414</v>
      </c>
      <c r="B1315" t="s">
        <v>15</v>
      </c>
      <c r="C1315" s="6">
        <v>45314</v>
      </c>
      <c r="D1315">
        <f>YEAR(Table1[[#This Row],[Join Date]])</f>
        <v>2024</v>
      </c>
      <c r="E1315" s="6" t="s">
        <v>48</v>
      </c>
      <c r="F1315" t="str">
        <f>IFERROR(YEAR(Table1[[#This Row],[Exit Date]]), " ")</f>
        <v xml:space="preserve"> </v>
      </c>
      <c r="G1315" t="str">
        <f>IFERROR((Table1[[#This Row],[Exit Year]]-Table1[[#This Row],[Join Year]])+1," ")</f>
        <v xml:space="preserve"> </v>
      </c>
      <c r="H1315" t="s">
        <v>48</v>
      </c>
      <c r="I1315" t="s">
        <v>11</v>
      </c>
      <c r="J1315" t="s">
        <v>18</v>
      </c>
      <c r="K1315">
        <v>40</v>
      </c>
      <c r="L1315" t="str">
        <f>IF(Table1[[#This Row],[Age]]&lt;30,"20-29",
IF(Table1[[#This Row],[Age]]&lt;40,"30-39",
IF(Table1[[#This Row],[Age]]&lt;50,"40-49",
IF(Table1[[#This Row],[Age]]&lt;60,"50-59","60+"))))</f>
        <v>40-49</v>
      </c>
      <c r="M1315" t="s">
        <v>13</v>
      </c>
      <c r="N1315" t="s">
        <v>33</v>
      </c>
    </row>
    <row r="1316" spans="1:14" x14ac:dyDescent="0.35">
      <c r="A1316">
        <v>1415</v>
      </c>
      <c r="B1316" t="s">
        <v>15</v>
      </c>
      <c r="C1316" s="6">
        <v>43123</v>
      </c>
      <c r="D1316">
        <f>YEAR(Table1[[#This Row],[Join Date]])</f>
        <v>2018</v>
      </c>
      <c r="E1316" s="6" t="s">
        <v>48</v>
      </c>
      <c r="F1316" t="str">
        <f>IFERROR(YEAR(Table1[[#This Row],[Exit Date]]), " ")</f>
        <v xml:space="preserve"> </v>
      </c>
      <c r="G1316" t="str">
        <f>IFERROR((Table1[[#This Row],[Exit Year]]-Table1[[#This Row],[Join Year]])+1," ")</f>
        <v xml:space="preserve"> </v>
      </c>
      <c r="H1316" t="s">
        <v>48</v>
      </c>
      <c r="I1316" t="s">
        <v>11</v>
      </c>
      <c r="J1316" t="s">
        <v>18</v>
      </c>
      <c r="K1316">
        <v>42</v>
      </c>
      <c r="L1316" t="str">
        <f>IF(Table1[[#This Row],[Age]]&lt;30,"20-29",
IF(Table1[[#This Row],[Age]]&lt;40,"30-39",
IF(Table1[[#This Row],[Age]]&lt;50,"40-49",
IF(Table1[[#This Row],[Age]]&lt;60,"50-59","60+"))))</f>
        <v>40-49</v>
      </c>
      <c r="M1316" t="s">
        <v>16</v>
      </c>
      <c r="N1316" t="s">
        <v>35</v>
      </c>
    </row>
    <row r="1317" spans="1:14" x14ac:dyDescent="0.35">
      <c r="A1317">
        <v>1416</v>
      </c>
      <c r="B1317" t="s">
        <v>10</v>
      </c>
      <c r="C1317" s="6">
        <v>43717</v>
      </c>
      <c r="D1317">
        <f>YEAR(Table1[[#This Row],[Join Date]])</f>
        <v>2019</v>
      </c>
      <c r="E1317" s="6">
        <v>44677</v>
      </c>
      <c r="F1317">
        <f>IFERROR(YEAR(Table1[[#This Row],[Exit Date]]), " ")</f>
        <v>2022</v>
      </c>
      <c r="G1317">
        <f>IFERROR((Table1[[#This Row],[Exit Year]]-Table1[[#This Row],[Join Year]])+1," ")</f>
        <v>4</v>
      </c>
      <c r="H1317" t="s">
        <v>40</v>
      </c>
      <c r="I1317" t="s">
        <v>23</v>
      </c>
      <c r="J1317" t="s">
        <v>12</v>
      </c>
      <c r="K1317">
        <v>35</v>
      </c>
      <c r="L1317" t="str">
        <f>IF(Table1[[#This Row],[Age]]&lt;30,"20-29",
IF(Table1[[#This Row],[Age]]&lt;40,"30-39",
IF(Table1[[#This Row],[Age]]&lt;50,"40-49",
IF(Table1[[#This Row],[Age]]&lt;60,"50-59","60+"))))</f>
        <v>30-39</v>
      </c>
      <c r="M1317" t="s">
        <v>16</v>
      </c>
      <c r="N1317" t="s">
        <v>37</v>
      </c>
    </row>
    <row r="1318" spans="1:14" x14ac:dyDescent="0.35">
      <c r="A1318">
        <v>1417</v>
      </c>
      <c r="B1318" t="s">
        <v>29</v>
      </c>
      <c r="C1318" s="6">
        <v>43534</v>
      </c>
      <c r="D1318">
        <f>YEAR(Table1[[#This Row],[Join Date]])</f>
        <v>2019</v>
      </c>
      <c r="E1318" s="6">
        <v>44117</v>
      </c>
      <c r="F1318">
        <f>IFERROR(YEAR(Table1[[#This Row],[Exit Date]]), " ")</f>
        <v>2020</v>
      </c>
      <c r="G1318">
        <f>IFERROR((Table1[[#This Row],[Exit Year]]-Table1[[#This Row],[Join Year]])+1," ")</f>
        <v>2</v>
      </c>
      <c r="H1318" t="s">
        <v>38</v>
      </c>
      <c r="I1318" t="s">
        <v>23</v>
      </c>
      <c r="J1318" t="s">
        <v>18</v>
      </c>
      <c r="K1318">
        <v>31</v>
      </c>
      <c r="L1318" t="str">
        <f>IF(Table1[[#This Row],[Age]]&lt;30,"20-29",
IF(Table1[[#This Row],[Age]]&lt;40,"30-39",
IF(Table1[[#This Row],[Age]]&lt;50,"40-49",
IF(Table1[[#This Row],[Age]]&lt;60,"50-59","60+"))))</f>
        <v>30-39</v>
      </c>
      <c r="M1318" t="s">
        <v>20</v>
      </c>
      <c r="N1318" t="s">
        <v>19</v>
      </c>
    </row>
    <row r="1319" spans="1:14" x14ac:dyDescent="0.35">
      <c r="A1319">
        <v>1418</v>
      </c>
      <c r="B1319" t="s">
        <v>36</v>
      </c>
      <c r="C1319" s="6">
        <v>44619</v>
      </c>
      <c r="D1319">
        <f>YEAR(Table1[[#This Row],[Join Date]])</f>
        <v>2022</v>
      </c>
      <c r="E1319" s="6" t="s">
        <v>48</v>
      </c>
      <c r="F1319" t="str">
        <f>IFERROR(YEAR(Table1[[#This Row],[Exit Date]]), " ")</f>
        <v xml:space="preserve"> </v>
      </c>
      <c r="G1319" t="str">
        <f>IFERROR((Table1[[#This Row],[Exit Year]]-Table1[[#This Row],[Join Year]])+1," ")</f>
        <v xml:space="preserve"> </v>
      </c>
      <c r="H1319" t="s">
        <v>48</v>
      </c>
      <c r="I1319" t="s">
        <v>11</v>
      </c>
      <c r="J1319" t="s">
        <v>12</v>
      </c>
      <c r="K1319">
        <v>51</v>
      </c>
      <c r="L1319" t="str">
        <f>IF(Table1[[#This Row],[Age]]&lt;30,"20-29",
IF(Table1[[#This Row],[Age]]&lt;40,"30-39",
IF(Table1[[#This Row],[Age]]&lt;50,"40-49",
IF(Table1[[#This Row],[Age]]&lt;60,"50-59","60+"))))</f>
        <v>50-59</v>
      </c>
      <c r="M1319" t="s">
        <v>24</v>
      </c>
      <c r="N1319" t="s">
        <v>25</v>
      </c>
    </row>
    <row r="1320" spans="1:14" x14ac:dyDescent="0.35">
      <c r="A1320">
        <v>1419</v>
      </c>
      <c r="B1320" t="s">
        <v>10</v>
      </c>
      <c r="C1320" s="6">
        <v>45485</v>
      </c>
      <c r="D1320">
        <f>YEAR(Table1[[#This Row],[Join Date]])</f>
        <v>2024</v>
      </c>
      <c r="E1320" s="6" t="s">
        <v>48</v>
      </c>
      <c r="F1320" t="str">
        <f>IFERROR(YEAR(Table1[[#This Row],[Exit Date]]), " ")</f>
        <v xml:space="preserve"> </v>
      </c>
      <c r="G1320" t="str">
        <f>IFERROR((Table1[[#This Row],[Exit Year]]-Table1[[#This Row],[Join Year]])+1," ")</f>
        <v xml:space="preserve"> </v>
      </c>
      <c r="H1320" t="s">
        <v>48</v>
      </c>
      <c r="I1320" t="s">
        <v>11</v>
      </c>
      <c r="J1320" t="s">
        <v>12</v>
      </c>
      <c r="K1320">
        <v>48</v>
      </c>
      <c r="L1320" t="str">
        <f>IF(Table1[[#This Row],[Age]]&lt;30,"20-29",
IF(Table1[[#This Row],[Age]]&lt;40,"30-39",
IF(Table1[[#This Row],[Age]]&lt;50,"40-49",
IF(Table1[[#This Row],[Age]]&lt;60,"50-59","60+"))))</f>
        <v>40-49</v>
      </c>
      <c r="M1320" t="s">
        <v>13</v>
      </c>
      <c r="N1320" t="s">
        <v>35</v>
      </c>
    </row>
    <row r="1321" spans="1:14" x14ac:dyDescent="0.35">
      <c r="A1321">
        <v>1420</v>
      </c>
      <c r="B1321" t="s">
        <v>29</v>
      </c>
      <c r="C1321" s="6">
        <v>43588</v>
      </c>
      <c r="D1321">
        <f>YEAR(Table1[[#This Row],[Join Date]])</f>
        <v>2019</v>
      </c>
      <c r="E1321" s="6">
        <v>44896</v>
      </c>
      <c r="F1321">
        <f>IFERROR(YEAR(Table1[[#This Row],[Exit Date]]), " ")</f>
        <v>2022</v>
      </c>
      <c r="G1321">
        <f>IFERROR((Table1[[#This Row],[Exit Year]]-Table1[[#This Row],[Join Year]])+1," ")</f>
        <v>4</v>
      </c>
      <c r="H1321" t="s">
        <v>41</v>
      </c>
      <c r="I1321" t="s">
        <v>23</v>
      </c>
      <c r="J1321" t="s">
        <v>12</v>
      </c>
      <c r="K1321">
        <v>41</v>
      </c>
      <c r="L1321" t="str">
        <f>IF(Table1[[#This Row],[Age]]&lt;30,"20-29",
IF(Table1[[#This Row],[Age]]&lt;40,"30-39",
IF(Table1[[#This Row],[Age]]&lt;50,"40-49",
IF(Table1[[#This Row],[Age]]&lt;60,"50-59","60+"))))</f>
        <v>40-49</v>
      </c>
      <c r="M1321" t="s">
        <v>42</v>
      </c>
      <c r="N1321" t="s">
        <v>17</v>
      </c>
    </row>
    <row r="1322" spans="1:14" x14ac:dyDescent="0.35">
      <c r="A1322">
        <v>1421</v>
      </c>
      <c r="B1322" t="s">
        <v>36</v>
      </c>
      <c r="C1322" s="6">
        <v>44250</v>
      </c>
      <c r="D1322">
        <f>YEAR(Table1[[#This Row],[Join Date]])</f>
        <v>2021</v>
      </c>
      <c r="E1322" s="6">
        <v>45392</v>
      </c>
      <c r="F1322">
        <f>IFERROR(YEAR(Table1[[#This Row],[Exit Date]]), " ")</f>
        <v>2024</v>
      </c>
      <c r="G1322">
        <f>IFERROR((Table1[[#This Row],[Exit Year]]-Table1[[#This Row],[Join Year]])+1," ")</f>
        <v>4</v>
      </c>
      <c r="H1322" t="s">
        <v>46</v>
      </c>
      <c r="I1322" t="s">
        <v>23</v>
      </c>
      <c r="J1322" t="s">
        <v>18</v>
      </c>
      <c r="K1322">
        <v>35</v>
      </c>
      <c r="L1322" t="str">
        <f>IF(Table1[[#This Row],[Age]]&lt;30,"20-29",
IF(Table1[[#This Row],[Age]]&lt;40,"30-39",
IF(Table1[[#This Row],[Age]]&lt;50,"40-49",
IF(Table1[[#This Row],[Age]]&lt;60,"50-59","60+"))))</f>
        <v>30-39</v>
      </c>
      <c r="M1322" t="s">
        <v>13</v>
      </c>
      <c r="N1322" t="s">
        <v>19</v>
      </c>
    </row>
    <row r="1323" spans="1:14" x14ac:dyDescent="0.35">
      <c r="A1323">
        <v>1422</v>
      </c>
      <c r="B1323" t="s">
        <v>26</v>
      </c>
      <c r="C1323" s="6">
        <v>45244</v>
      </c>
      <c r="D1323">
        <f>YEAR(Table1[[#This Row],[Join Date]])</f>
        <v>2023</v>
      </c>
      <c r="E1323" s="6">
        <v>45446</v>
      </c>
      <c r="F1323">
        <f>IFERROR(YEAR(Table1[[#This Row],[Exit Date]]), " ")</f>
        <v>2024</v>
      </c>
      <c r="G1323">
        <f>IFERROR((Table1[[#This Row],[Exit Year]]-Table1[[#This Row],[Join Year]])+1," ")</f>
        <v>2</v>
      </c>
      <c r="H1323" t="s">
        <v>40</v>
      </c>
      <c r="I1323" t="s">
        <v>23</v>
      </c>
      <c r="J1323" t="s">
        <v>12</v>
      </c>
      <c r="K1323">
        <v>24</v>
      </c>
      <c r="L1323" t="str">
        <f>IF(Table1[[#This Row],[Age]]&lt;30,"20-29",
IF(Table1[[#This Row],[Age]]&lt;40,"30-39",
IF(Table1[[#This Row],[Age]]&lt;50,"40-49",
IF(Table1[[#This Row],[Age]]&lt;60,"50-59","60+"))))</f>
        <v>20-29</v>
      </c>
      <c r="M1323" t="s">
        <v>13</v>
      </c>
      <c r="N1323" t="s">
        <v>21</v>
      </c>
    </row>
    <row r="1324" spans="1:14" x14ac:dyDescent="0.35">
      <c r="A1324">
        <v>1423</v>
      </c>
      <c r="B1324" t="s">
        <v>15</v>
      </c>
      <c r="C1324" s="6">
        <v>45256</v>
      </c>
      <c r="D1324">
        <f>YEAR(Table1[[#This Row],[Join Date]])</f>
        <v>2023</v>
      </c>
      <c r="E1324" s="6" t="s">
        <v>48</v>
      </c>
      <c r="F1324" t="str">
        <f>IFERROR(YEAR(Table1[[#This Row],[Exit Date]]), " ")</f>
        <v xml:space="preserve"> </v>
      </c>
      <c r="G1324" t="str">
        <f>IFERROR((Table1[[#This Row],[Exit Year]]-Table1[[#This Row],[Join Year]])+1," ")</f>
        <v xml:space="preserve"> </v>
      </c>
      <c r="H1324" t="s">
        <v>48</v>
      </c>
      <c r="I1324" t="s">
        <v>11</v>
      </c>
      <c r="J1324" t="s">
        <v>18</v>
      </c>
      <c r="K1324">
        <v>41</v>
      </c>
      <c r="L1324" t="str">
        <f>IF(Table1[[#This Row],[Age]]&lt;30,"20-29",
IF(Table1[[#This Row],[Age]]&lt;40,"30-39",
IF(Table1[[#This Row],[Age]]&lt;50,"40-49",
IF(Table1[[#This Row],[Age]]&lt;60,"50-59","60+"))))</f>
        <v>40-49</v>
      </c>
      <c r="M1324" t="s">
        <v>16</v>
      </c>
      <c r="N1324" t="s">
        <v>25</v>
      </c>
    </row>
    <row r="1325" spans="1:14" x14ac:dyDescent="0.35">
      <c r="A1325">
        <v>1424</v>
      </c>
      <c r="B1325" t="s">
        <v>26</v>
      </c>
      <c r="C1325" s="6">
        <v>45465</v>
      </c>
      <c r="D1325">
        <f>YEAR(Table1[[#This Row],[Join Date]])</f>
        <v>2024</v>
      </c>
      <c r="E1325" s="6" t="s">
        <v>48</v>
      </c>
      <c r="F1325" t="str">
        <f>IFERROR(YEAR(Table1[[#This Row],[Exit Date]]), " ")</f>
        <v xml:space="preserve"> </v>
      </c>
      <c r="G1325" t="str">
        <f>IFERROR((Table1[[#This Row],[Exit Year]]-Table1[[#This Row],[Join Year]])+1," ")</f>
        <v xml:space="preserve"> </v>
      </c>
      <c r="H1325" t="s">
        <v>48</v>
      </c>
      <c r="I1325" t="s">
        <v>11</v>
      </c>
      <c r="J1325" t="s">
        <v>12</v>
      </c>
      <c r="K1325">
        <v>40</v>
      </c>
      <c r="L1325" t="str">
        <f>IF(Table1[[#This Row],[Age]]&lt;30,"20-29",
IF(Table1[[#This Row],[Age]]&lt;40,"30-39",
IF(Table1[[#This Row],[Age]]&lt;50,"40-49",
IF(Table1[[#This Row],[Age]]&lt;60,"50-59","60+"))))</f>
        <v>40-49</v>
      </c>
      <c r="M1325" t="s">
        <v>13</v>
      </c>
      <c r="N1325" t="s">
        <v>35</v>
      </c>
    </row>
    <row r="1326" spans="1:14" x14ac:dyDescent="0.35">
      <c r="A1326">
        <v>1425</v>
      </c>
      <c r="B1326" t="s">
        <v>10</v>
      </c>
      <c r="C1326" s="6">
        <v>43597</v>
      </c>
      <c r="D1326">
        <f>YEAR(Table1[[#This Row],[Join Date]])</f>
        <v>2019</v>
      </c>
      <c r="E1326" s="6" t="s">
        <v>48</v>
      </c>
      <c r="F1326" t="str">
        <f>IFERROR(YEAR(Table1[[#This Row],[Exit Date]]), " ")</f>
        <v xml:space="preserve"> </v>
      </c>
      <c r="G1326" t="str">
        <f>IFERROR((Table1[[#This Row],[Exit Year]]-Table1[[#This Row],[Join Year]])+1," ")</f>
        <v xml:space="preserve"> </v>
      </c>
      <c r="H1326" t="s">
        <v>48</v>
      </c>
      <c r="I1326" t="s">
        <v>11</v>
      </c>
      <c r="J1326" t="s">
        <v>18</v>
      </c>
      <c r="K1326">
        <v>48</v>
      </c>
      <c r="L1326" t="str">
        <f>IF(Table1[[#This Row],[Age]]&lt;30,"20-29",
IF(Table1[[#This Row],[Age]]&lt;40,"30-39",
IF(Table1[[#This Row],[Age]]&lt;50,"40-49",
IF(Table1[[#This Row],[Age]]&lt;60,"50-59","60+"))))</f>
        <v>40-49</v>
      </c>
      <c r="M1326" t="s">
        <v>20</v>
      </c>
      <c r="N1326" t="s">
        <v>14</v>
      </c>
    </row>
    <row r="1327" spans="1:14" x14ac:dyDescent="0.35">
      <c r="A1327">
        <v>1426</v>
      </c>
      <c r="B1327" t="s">
        <v>15</v>
      </c>
      <c r="C1327" s="6">
        <v>44866</v>
      </c>
      <c r="D1327">
        <f>YEAR(Table1[[#This Row],[Join Date]])</f>
        <v>2022</v>
      </c>
      <c r="E1327" s="6" t="s">
        <v>48</v>
      </c>
      <c r="F1327" t="str">
        <f>IFERROR(YEAR(Table1[[#This Row],[Exit Date]]), " ")</f>
        <v xml:space="preserve"> </v>
      </c>
      <c r="G1327" t="str">
        <f>IFERROR((Table1[[#This Row],[Exit Year]]-Table1[[#This Row],[Join Year]])+1," ")</f>
        <v xml:space="preserve"> </v>
      </c>
      <c r="H1327" t="s">
        <v>48</v>
      </c>
      <c r="I1327" t="s">
        <v>11</v>
      </c>
      <c r="J1327" t="s">
        <v>18</v>
      </c>
      <c r="K1327">
        <v>52</v>
      </c>
      <c r="L1327" t="str">
        <f>IF(Table1[[#This Row],[Age]]&lt;30,"20-29",
IF(Table1[[#This Row],[Age]]&lt;40,"30-39",
IF(Table1[[#This Row],[Age]]&lt;50,"40-49",
IF(Table1[[#This Row],[Age]]&lt;60,"50-59","60+"))))</f>
        <v>50-59</v>
      </c>
      <c r="M1327" t="s">
        <v>39</v>
      </c>
      <c r="N1327" t="s">
        <v>19</v>
      </c>
    </row>
    <row r="1328" spans="1:14" x14ac:dyDescent="0.35">
      <c r="A1328">
        <v>1427</v>
      </c>
      <c r="B1328" t="s">
        <v>34</v>
      </c>
      <c r="C1328" s="6">
        <v>44006</v>
      </c>
      <c r="D1328">
        <f>YEAR(Table1[[#This Row],[Join Date]])</f>
        <v>2020</v>
      </c>
      <c r="E1328" s="6">
        <v>44463</v>
      </c>
      <c r="F1328">
        <f>IFERROR(YEAR(Table1[[#This Row],[Exit Date]]), " ")</f>
        <v>2021</v>
      </c>
      <c r="G1328">
        <f>IFERROR((Table1[[#This Row],[Exit Year]]-Table1[[#This Row],[Join Year]])+1," ")</f>
        <v>2</v>
      </c>
      <c r="H1328" t="s">
        <v>46</v>
      </c>
      <c r="I1328" t="s">
        <v>23</v>
      </c>
      <c r="J1328" t="s">
        <v>12</v>
      </c>
      <c r="K1328">
        <v>33</v>
      </c>
      <c r="L1328" t="str">
        <f>IF(Table1[[#This Row],[Age]]&lt;30,"20-29",
IF(Table1[[#This Row],[Age]]&lt;40,"30-39",
IF(Table1[[#This Row],[Age]]&lt;50,"40-49",
IF(Table1[[#This Row],[Age]]&lt;60,"50-59","60+"))))</f>
        <v>30-39</v>
      </c>
      <c r="M1328" t="s">
        <v>13</v>
      </c>
      <c r="N1328" t="s">
        <v>21</v>
      </c>
    </row>
    <row r="1329" spans="1:14" x14ac:dyDescent="0.35">
      <c r="A1329">
        <v>1428</v>
      </c>
      <c r="B1329" t="s">
        <v>26</v>
      </c>
      <c r="C1329" s="6">
        <v>45095</v>
      </c>
      <c r="D1329">
        <f>YEAR(Table1[[#This Row],[Join Date]])</f>
        <v>2023</v>
      </c>
      <c r="E1329" s="6" t="s">
        <v>48</v>
      </c>
      <c r="F1329" t="str">
        <f>IFERROR(YEAR(Table1[[#This Row],[Exit Date]]), " ")</f>
        <v xml:space="preserve"> </v>
      </c>
      <c r="G1329" t="str">
        <f>IFERROR((Table1[[#This Row],[Exit Year]]-Table1[[#This Row],[Join Year]])+1," ")</f>
        <v xml:space="preserve"> </v>
      </c>
      <c r="H1329" t="s">
        <v>48</v>
      </c>
      <c r="I1329" t="s">
        <v>11</v>
      </c>
      <c r="J1329" t="s">
        <v>18</v>
      </c>
      <c r="K1329">
        <v>51</v>
      </c>
      <c r="L1329" t="str">
        <f>IF(Table1[[#This Row],[Age]]&lt;30,"20-29",
IF(Table1[[#This Row],[Age]]&lt;40,"30-39",
IF(Table1[[#This Row],[Age]]&lt;50,"40-49",
IF(Table1[[#This Row],[Age]]&lt;60,"50-59","60+"))))</f>
        <v>50-59</v>
      </c>
      <c r="M1329" t="s">
        <v>16</v>
      </c>
      <c r="N1329" t="s">
        <v>37</v>
      </c>
    </row>
    <row r="1330" spans="1:14" x14ac:dyDescent="0.35">
      <c r="A1330">
        <v>1429</v>
      </c>
      <c r="B1330" t="s">
        <v>10</v>
      </c>
      <c r="C1330" s="6">
        <v>44360</v>
      </c>
      <c r="D1330">
        <f>YEAR(Table1[[#This Row],[Join Date]])</f>
        <v>2021</v>
      </c>
      <c r="E1330" s="6">
        <v>44755</v>
      </c>
      <c r="F1330">
        <f>IFERROR(YEAR(Table1[[#This Row],[Exit Date]]), " ")</f>
        <v>2022</v>
      </c>
      <c r="G1330">
        <f>IFERROR((Table1[[#This Row],[Exit Year]]-Table1[[#This Row],[Join Year]])+1," ")</f>
        <v>2</v>
      </c>
      <c r="H1330" t="s">
        <v>38</v>
      </c>
      <c r="I1330" t="s">
        <v>23</v>
      </c>
      <c r="J1330" t="s">
        <v>18</v>
      </c>
      <c r="K1330">
        <v>46</v>
      </c>
      <c r="L1330" t="str">
        <f>IF(Table1[[#This Row],[Age]]&lt;30,"20-29",
IF(Table1[[#This Row],[Age]]&lt;40,"30-39",
IF(Table1[[#This Row],[Age]]&lt;50,"40-49",
IF(Table1[[#This Row],[Age]]&lt;60,"50-59","60+"))))</f>
        <v>40-49</v>
      </c>
      <c r="M1330" t="s">
        <v>16</v>
      </c>
      <c r="N1330" t="s">
        <v>25</v>
      </c>
    </row>
    <row r="1331" spans="1:14" x14ac:dyDescent="0.35">
      <c r="A1331">
        <v>1430</v>
      </c>
      <c r="B1331" t="s">
        <v>26</v>
      </c>
      <c r="C1331" s="6">
        <v>43419</v>
      </c>
      <c r="D1331">
        <f>YEAR(Table1[[#This Row],[Join Date]])</f>
        <v>2018</v>
      </c>
      <c r="E1331" s="6">
        <v>44303</v>
      </c>
      <c r="F1331">
        <f>IFERROR(YEAR(Table1[[#This Row],[Exit Date]]), " ")</f>
        <v>2021</v>
      </c>
      <c r="G1331">
        <f>IFERROR((Table1[[#This Row],[Exit Year]]-Table1[[#This Row],[Join Year]])+1," ")</f>
        <v>4</v>
      </c>
      <c r="H1331" t="s">
        <v>22</v>
      </c>
      <c r="I1331" t="s">
        <v>23</v>
      </c>
      <c r="J1331" t="s">
        <v>12</v>
      </c>
      <c r="K1331">
        <v>53</v>
      </c>
      <c r="L1331" t="str">
        <f>IF(Table1[[#This Row],[Age]]&lt;30,"20-29",
IF(Table1[[#This Row],[Age]]&lt;40,"30-39",
IF(Table1[[#This Row],[Age]]&lt;50,"40-49",
IF(Table1[[#This Row],[Age]]&lt;60,"50-59","60+"))))</f>
        <v>50-59</v>
      </c>
      <c r="M1331" t="s">
        <v>20</v>
      </c>
      <c r="N1331" t="s">
        <v>35</v>
      </c>
    </row>
    <row r="1332" spans="1:14" x14ac:dyDescent="0.35">
      <c r="A1332">
        <v>1431</v>
      </c>
      <c r="B1332" t="s">
        <v>36</v>
      </c>
      <c r="C1332" s="6">
        <v>44249</v>
      </c>
      <c r="D1332">
        <f>YEAR(Table1[[#This Row],[Join Date]])</f>
        <v>2021</v>
      </c>
      <c r="E1332" s="6" t="s">
        <v>48</v>
      </c>
      <c r="F1332" t="str">
        <f>IFERROR(YEAR(Table1[[#This Row],[Exit Date]]), " ")</f>
        <v xml:space="preserve"> </v>
      </c>
      <c r="G1332" t="str">
        <f>IFERROR((Table1[[#This Row],[Exit Year]]-Table1[[#This Row],[Join Year]])+1," ")</f>
        <v xml:space="preserve"> </v>
      </c>
      <c r="H1332" t="s">
        <v>48</v>
      </c>
      <c r="I1332" t="s">
        <v>11</v>
      </c>
      <c r="J1332" t="s">
        <v>12</v>
      </c>
      <c r="K1332">
        <v>35</v>
      </c>
      <c r="L1332" t="str">
        <f>IF(Table1[[#This Row],[Age]]&lt;30,"20-29",
IF(Table1[[#This Row],[Age]]&lt;40,"30-39",
IF(Table1[[#This Row],[Age]]&lt;50,"40-49",
IF(Table1[[#This Row],[Age]]&lt;60,"50-59","60+"))))</f>
        <v>30-39</v>
      </c>
      <c r="M1332" t="s">
        <v>24</v>
      </c>
      <c r="N1332" t="s">
        <v>14</v>
      </c>
    </row>
    <row r="1333" spans="1:14" x14ac:dyDescent="0.35">
      <c r="A1333">
        <v>1432</v>
      </c>
      <c r="B1333" t="s">
        <v>10</v>
      </c>
      <c r="C1333" s="6">
        <v>45533</v>
      </c>
      <c r="D1333">
        <f>YEAR(Table1[[#This Row],[Join Date]])</f>
        <v>2024</v>
      </c>
      <c r="E1333" s="6" t="s">
        <v>48</v>
      </c>
      <c r="F1333" t="str">
        <f>IFERROR(YEAR(Table1[[#This Row],[Exit Date]]), " ")</f>
        <v xml:space="preserve"> </v>
      </c>
      <c r="G1333" t="str">
        <f>IFERROR((Table1[[#This Row],[Exit Year]]-Table1[[#This Row],[Join Year]])+1," ")</f>
        <v xml:space="preserve"> </v>
      </c>
      <c r="H1333" t="s">
        <v>48</v>
      </c>
      <c r="I1333" t="s">
        <v>11</v>
      </c>
      <c r="J1333" t="s">
        <v>12</v>
      </c>
      <c r="K1333">
        <v>32</v>
      </c>
      <c r="L1333" t="str">
        <f>IF(Table1[[#This Row],[Age]]&lt;30,"20-29",
IF(Table1[[#This Row],[Age]]&lt;40,"30-39",
IF(Table1[[#This Row],[Age]]&lt;50,"40-49",
IF(Table1[[#This Row],[Age]]&lt;60,"50-59","60+"))))</f>
        <v>30-39</v>
      </c>
      <c r="M1333" t="s">
        <v>13</v>
      </c>
      <c r="N1333" t="s">
        <v>17</v>
      </c>
    </row>
    <row r="1334" spans="1:14" x14ac:dyDescent="0.35">
      <c r="A1334">
        <v>1433</v>
      </c>
      <c r="B1334" t="s">
        <v>36</v>
      </c>
      <c r="C1334" s="6">
        <v>44377</v>
      </c>
      <c r="D1334">
        <f>YEAR(Table1[[#This Row],[Join Date]])</f>
        <v>2021</v>
      </c>
      <c r="E1334" s="6" t="s">
        <v>48</v>
      </c>
      <c r="F1334" t="str">
        <f>IFERROR(YEAR(Table1[[#This Row],[Exit Date]]), " ")</f>
        <v xml:space="preserve"> </v>
      </c>
      <c r="G1334" t="str">
        <f>IFERROR((Table1[[#This Row],[Exit Year]]-Table1[[#This Row],[Join Year]])+1," ")</f>
        <v xml:space="preserve"> </v>
      </c>
      <c r="H1334" t="s">
        <v>48</v>
      </c>
      <c r="I1334" t="s">
        <v>11</v>
      </c>
      <c r="J1334" t="s">
        <v>18</v>
      </c>
      <c r="K1334">
        <v>46</v>
      </c>
      <c r="L1334" t="str">
        <f>IF(Table1[[#This Row],[Age]]&lt;30,"20-29",
IF(Table1[[#This Row],[Age]]&lt;40,"30-39",
IF(Table1[[#This Row],[Age]]&lt;50,"40-49",
IF(Table1[[#This Row],[Age]]&lt;60,"50-59","60+"))))</f>
        <v>40-49</v>
      </c>
      <c r="M1334" t="s">
        <v>42</v>
      </c>
      <c r="N1334" t="s">
        <v>19</v>
      </c>
    </row>
    <row r="1335" spans="1:14" x14ac:dyDescent="0.35">
      <c r="A1335">
        <v>1434</v>
      </c>
      <c r="B1335" t="s">
        <v>10</v>
      </c>
      <c r="C1335" s="6">
        <v>44088</v>
      </c>
      <c r="D1335">
        <f>YEAR(Table1[[#This Row],[Join Date]])</f>
        <v>2020</v>
      </c>
      <c r="E1335" s="6" t="s">
        <v>48</v>
      </c>
      <c r="F1335" t="str">
        <f>IFERROR(YEAR(Table1[[#This Row],[Exit Date]]), " ")</f>
        <v xml:space="preserve"> </v>
      </c>
      <c r="G1335" t="str">
        <f>IFERROR((Table1[[#This Row],[Exit Year]]-Table1[[#This Row],[Join Year]])+1," ")</f>
        <v xml:space="preserve"> </v>
      </c>
      <c r="H1335" t="s">
        <v>48</v>
      </c>
      <c r="I1335" t="s">
        <v>11</v>
      </c>
      <c r="J1335" t="s">
        <v>18</v>
      </c>
      <c r="K1335">
        <v>50</v>
      </c>
      <c r="L1335" t="str">
        <f>IF(Table1[[#This Row],[Age]]&lt;30,"20-29",
IF(Table1[[#This Row],[Age]]&lt;40,"30-39",
IF(Table1[[#This Row],[Age]]&lt;50,"40-49",
IF(Table1[[#This Row],[Age]]&lt;60,"50-59","60+"))))</f>
        <v>50-59</v>
      </c>
      <c r="M1335" t="s">
        <v>13</v>
      </c>
      <c r="N1335" t="s">
        <v>21</v>
      </c>
    </row>
    <row r="1336" spans="1:14" x14ac:dyDescent="0.35">
      <c r="A1336">
        <v>1435</v>
      </c>
      <c r="B1336" t="s">
        <v>26</v>
      </c>
      <c r="C1336" s="6">
        <v>43373</v>
      </c>
      <c r="D1336">
        <f>YEAR(Table1[[#This Row],[Join Date]])</f>
        <v>2018</v>
      </c>
      <c r="E1336" s="6">
        <v>44825</v>
      </c>
      <c r="F1336">
        <f>IFERROR(YEAR(Table1[[#This Row],[Exit Date]]), " ")</f>
        <v>2022</v>
      </c>
      <c r="G1336">
        <f>IFERROR((Table1[[#This Row],[Exit Year]]-Table1[[#This Row],[Join Year]])+1," ")</f>
        <v>5</v>
      </c>
      <c r="H1336" t="s">
        <v>27</v>
      </c>
      <c r="I1336" t="s">
        <v>23</v>
      </c>
      <c r="J1336" t="s">
        <v>12</v>
      </c>
      <c r="K1336">
        <v>63</v>
      </c>
      <c r="L1336" t="str">
        <f>IF(Table1[[#This Row],[Age]]&lt;30,"20-29",
IF(Table1[[#This Row],[Age]]&lt;40,"30-39",
IF(Table1[[#This Row],[Age]]&lt;50,"40-49",
IF(Table1[[#This Row],[Age]]&lt;60,"50-59","60+"))))</f>
        <v>60+</v>
      </c>
      <c r="M1336" t="s">
        <v>13</v>
      </c>
      <c r="N1336" t="s">
        <v>25</v>
      </c>
    </row>
    <row r="1337" spans="1:14" x14ac:dyDescent="0.35">
      <c r="A1337">
        <v>1436</v>
      </c>
      <c r="B1337" t="s">
        <v>26</v>
      </c>
      <c r="C1337" s="6">
        <v>43314</v>
      </c>
      <c r="D1337">
        <f>YEAR(Table1[[#This Row],[Join Date]])</f>
        <v>2018</v>
      </c>
      <c r="E1337" s="6" t="s">
        <v>48</v>
      </c>
      <c r="F1337" t="str">
        <f>IFERROR(YEAR(Table1[[#This Row],[Exit Date]]), " ")</f>
        <v xml:space="preserve"> </v>
      </c>
      <c r="G1337" t="str">
        <f>IFERROR((Table1[[#This Row],[Exit Year]]-Table1[[#This Row],[Join Year]])+1," ")</f>
        <v xml:space="preserve"> </v>
      </c>
      <c r="H1337" t="s">
        <v>48</v>
      </c>
      <c r="I1337" t="s">
        <v>11</v>
      </c>
      <c r="J1337" t="s">
        <v>18</v>
      </c>
      <c r="K1337">
        <v>29</v>
      </c>
      <c r="L1337" t="str">
        <f>IF(Table1[[#This Row],[Age]]&lt;30,"20-29",
IF(Table1[[#This Row],[Age]]&lt;40,"30-39",
IF(Table1[[#This Row],[Age]]&lt;50,"40-49",
IF(Table1[[#This Row],[Age]]&lt;60,"50-59","60+"))))</f>
        <v>20-29</v>
      </c>
      <c r="M1337" t="s">
        <v>16</v>
      </c>
      <c r="N1337" t="s">
        <v>28</v>
      </c>
    </row>
    <row r="1338" spans="1:14" x14ac:dyDescent="0.35">
      <c r="A1338">
        <v>1437</v>
      </c>
      <c r="B1338" t="s">
        <v>26</v>
      </c>
      <c r="C1338" s="6">
        <v>44418</v>
      </c>
      <c r="D1338">
        <f>YEAR(Table1[[#This Row],[Join Date]])</f>
        <v>2021</v>
      </c>
      <c r="E1338" s="6">
        <v>45628</v>
      </c>
      <c r="F1338">
        <f>IFERROR(YEAR(Table1[[#This Row],[Exit Date]]), " ")</f>
        <v>2024</v>
      </c>
      <c r="G1338">
        <f>IFERROR((Table1[[#This Row],[Exit Year]]-Table1[[#This Row],[Join Year]])+1," ")</f>
        <v>4</v>
      </c>
      <c r="H1338" t="s">
        <v>46</v>
      </c>
      <c r="I1338" t="s">
        <v>23</v>
      </c>
      <c r="J1338" t="s">
        <v>12</v>
      </c>
      <c r="K1338">
        <v>27</v>
      </c>
      <c r="L1338" t="str">
        <f>IF(Table1[[#This Row],[Age]]&lt;30,"20-29",
IF(Table1[[#This Row],[Age]]&lt;40,"30-39",
IF(Table1[[#This Row],[Age]]&lt;50,"40-49",
IF(Table1[[#This Row],[Age]]&lt;60,"50-59","60+"))))</f>
        <v>20-29</v>
      </c>
      <c r="M1338" t="s">
        <v>13</v>
      </c>
      <c r="N1338" t="s">
        <v>31</v>
      </c>
    </row>
    <row r="1339" spans="1:14" x14ac:dyDescent="0.35">
      <c r="A1339">
        <v>1438</v>
      </c>
      <c r="B1339" t="s">
        <v>34</v>
      </c>
      <c r="C1339" s="6">
        <v>44324</v>
      </c>
      <c r="D1339">
        <f>YEAR(Table1[[#This Row],[Join Date]])</f>
        <v>2021</v>
      </c>
      <c r="E1339" s="6">
        <v>45076</v>
      </c>
      <c r="F1339">
        <f>IFERROR(YEAR(Table1[[#This Row],[Exit Date]]), " ")</f>
        <v>2023</v>
      </c>
      <c r="G1339">
        <f>IFERROR((Table1[[#This Row],[Exit Year]]-Table1[[#This Row],[Join Year]])+1," ")</f>
        <v>3</v>
      </c>
      <c r="H1339" t="s">
        <v>40</v>
      </c>
      <c r="I1339" t="s">
        <v>23</v>
      </c>
      <c r="J1339" t="s">
        <v>12</v>
      </c>
      <c r="K1339">
        <v>31</v>
      </c>
      <c r="L1339" t="str">
        <f>IF(Table1[[#This Row],[Age]]&lt;30,"20-29",
IF(Table1[[#This Row],[Age]]&lt;40,"30-39",
IF(Table1[[#This Row],[Age]]&lt;50,"40-49",
IF(Table1[[#This Row],[Age]]&lt;60,"50-59","60+"))))</f>
        <v>30-39</v>
      </c>
      <c r="M1339" t="s">
        <v>20</v>
      </c>
      <c r="N1339" t="s">
        <v>32</v>
      </c>
    </row>
    <row r="1340" spans="1:14" x14ac:dyDescent="0.35">
      <c r="A1340">
        <v>1439</v>
      </c>
      <c r="B1340" t="s">
        <v>10</v>
      </c>
      <c r="C1340" s="6">
        <v>43513</v>
      </c>
      <c r="D1340">
        <f>YEAR(Table1[[#This Row],[Join Date]])</f>
        <v>2019</v>
      </c>
      <c r="E1340" s="6">
        <v>44923</v>
      </c>
      <c r="F1340">
        <f>IFERROR(YEAR(Table1[[#This Row],[Exit Date]]), " ")</f>
        <v>2022</v>
      </c>
      <c r="G1340">
        <f>IFERROR((Table1[[#This Row],[Exit Year]]-Table1[[#This Row],[Join Year]])+1," ")</f>
        <v>4</v>
      </c>
      <c r="H1340" t="s">
        <v>38</v>
      </c>
      <c r="I1340" t="s">
        <v>23</v>
      </c>
      <c r="J1340" t="s">
        <v>12</v>
      </c>
      <c r="K1340">
        <v>24</v>
      </c>
      <c r="L1340" t="str">
        <f>IF(Table1[[#This Row],[Age]]&lt;30,"20-29",
IF(Table1[[#This Row],[Age]]&lt;40,"30-39",
IF(Table1[[#This Row],[Age]]&lt;50,"40-49",
IF(Table1[[#This Row],[Age]]&lt;60,"50-59","60+"))))</f>
        <v>20-29</v>
      </c>
      <c r="M1340" t="s">
        <v>44</v>
      </c>
      <c r="N1340" t="s">
        <v>33</v>
      </c>
    </row>
    <row r="1341" spans="1:14" x14ac:dyDescent="0.35">
      <c r="A1341">
        <v>1440</v>
      </c>
      <c r="B1341" t="s">
        <v>36</v>
      </c>
      <c r="C1341" s="6">
        <v>44180</v>
      </c>
      <c r="D1341">
        <f>YEAR(Table1[[#This Row],[Join Date]])</f>
        <v>2020</v>
      </c>
      <c r="E1341" s="6" t="s">
        <v>48</v>
      </c>
      <c r="F1341" t="str">
        <f>IFERROR(YEAR(Table1[[#This Row],[Exit Date]]), " ")</f>
        <v xml:space="preserve"> </v>
      </c>
      <c r="G1341" t="str">
        <f>IFERROR((Table1[[#This Row],[Exit Year]]-Table1[[#This Row],[Join Year]])+1," ")</f>
        <v xml:space="preserve"> </v>
      </c>
      <c r="H1341" t="s">
        <v>48</v>
      </c>
      <c r="I1341" t="s">
        <v>11</v>
      </c>
      <c r="J1341" t="s">
        <v>18</v>
      </c>
      <c r="K1341">
        <v>37</v>
      </c>
      <c r="L1341" t="str">
        <f>IF(Table1[[#This Row],[Age]]&lt;30,"20-29",
IF(Table1[[#This Row],[Age]]&lt;40,"30-39",
IF(Table1[[#This Row],[Age]]&lt;50,"40-49",
IF(Table1[[#This Row],[Age]]&lt;60,"50-59","60+"))))</f>
        <v>30-39</v>
      </c>
      <c r="M1341" t="s">
        <v>13</v>
      </c>
      <c r="N1341" t="s">
        <v>35</v>
      </c>
    </row>
    <row r="1342" spans="1:14" x14ac:dyDescent="0.35">
      <c r="A1342">
        <v>1441</v>
      </c>
      <c r="B1342" t="s">
        <v>34</v>
      </c>
      <c r="C1342" s="6">
        <v>44099</v>
      </c>
      <c r="D1342">
        <f>YEAR(Table1[[#This Row],[Join Date]])</f>
        <v>2020</v>
      </c>
      <c r="E1342" s="6" t="s">
        <v>48</v>
      </c>
      <c r="F1342" t="str">
        <f>IFERROR(YEAR(Table1[[#This Row],[Exit Date]]), " ")</f>
        <v xml:space="preserve"> </v>
      </c>
      <c r="G1342" t="str">
        <f>IFERROR((Table1[[#This Row],[Exit Year]]-Table1[[#This Row],[Join Year]])+1," ")</f>
        <v xml:space="preserve"> </v>
      </c>
      <c r="H1342" t="s">
        <v>48</v>
      </c>
      <c r="I1342" t="s">
        <v>11</v>
      </c>
      <c r="J1342" t="s">
        <v>12</v>
      </c>
      <c r="K1342">
        <v>23</v>
      </c>
      <c r="L1342" t="str">
        <f>IF(Table1[[#This Row],[Age]]&lt;30,"20-29",
IF(Table1[[#This Row],[Age]]&lt;40,"30-39",
IF(Table1[[#This Row],[Age]]&lt;50,"40-49",
IF(Table1[[#This Row],[Age]]&lt;60,"50-59","60+"))))</f>
        <v>20-29</v>
      </c>
      <c r="M1342" t="s">
        <v>16</v>
      </c>
      <c r="N1342" t="s">
        <v>37</v>
      </c>
    </row>
    <row r="1343" spans="1:14" x14ac:dyDescent="0.35">
      <c r="A1343">
        <v>1442</v>
      </c>
      <c r="B1343" t="s">
        <v>34</v>
      </c>
      <c r="C1343" s="6">
        <v>45632</v>
      </c>
      <c r="D1343">
        <f>YEAR(Table1[[#This Row],[Join Date]])</f>
        <v>2024</v>
      </c>
      <c r="E1343" s="6" t="s">
        <v>48</v>
      </c>
      <c r="F1343" t="str">
        <f>IFERROR(YEAR(Table1[[#This Row],[Exit Date]]), " ")</f>
        <v xml:space="preserve"> </v>
      </c>
      <c r="G1343" t="str">
        <f>IFERROR((Table1[[#This Row],[Exit Year]]-Table1[[#This Row],[Join Year]])+1," ")</f>
        <v xml:space="preserve"> </v>
      </c>
      <c r="H1343" t="s">
        <v>48</v>
      </c>
      <c r="I1343" t="s">
        <v>11</v>
      </c>
      <c r="J1343" t="s">
        <v>18</v>
      </c>
      <c r="K1343">
        <v>31</v>
      </c>
      <c r="L1343" t="str">
        <f>IF(Table1[[#This Row],[Age]]&lt;30,"20-29",
IF(Table1[[#This Row],[Age]]&lt;40,"30-39",
IF(Table1[[#This Row],[Age]]&lt;50,"40-49",
IF(Table1[[#This Row],[Age]]&lt;60,"50-59","60+"))))</f>
        <v>30-39</v>
      </c>
      <c r="M1343" t="s">
        <v>16</v>
      </c>
      <c r="N1343" t="s">
        <v>19</v>
      </c>
    </row>
    <row r="1344" spans="1:14" x14ac:dyDescent="0.35">
      <c r="A1344">
        <v>1443</v>
      </c>
      <c r="B1344" t="s">
        <v>36</v>
      </c>
      <c r="C1344" s="6">
        <v>45294</v>
      </c>
      <c r="D1344">
        <f>YEAR(Table1[[#This Row],[Join Date]])</f>
        <v>2024</v>
      </c>
      <c r="E1344" s="6" t="s">
        <v>48</v>
      </c>
      <c r="F1344" t="str">
        <f>IFERROR(YEAR(Table1[[#This Row],[Exit Date]]), " ")</f>
        <v xml:space="preserve"> </v>
      </c>
      <c r="G1344" t="str">
        <f>IFERROR((Table1[[#This Row],[Exit Year]]-Table1[[#This Row],[Join Year]])+1," ")</f>
        <v xml:space="preserve"> </v>
      </c>
      <c r="H1344" t="s">
        <v>48</v>
      </c>
      <c r="I1344" t="s">
        <v>11</v>
      </c>
      <c r="J1344" t="s">
        <v>12</v>
      </c>
      <c r="K1344">
        <v>52</v>
      </c>
      <c r="L1344" t="str">
        <f>IF(Table1[[#This Row],[Age]]&lt;30,"20-29",
IF(Table1[[#This Row],[Age]]&lt;40,"30-39",
IF(Table1[[#This Row],[Age]]&lt;50,"40-49",
IF(Table1[[#This Row],[Age]]&lt;60,"50-59","60+"))))</f>
        <v>50-59</v>
      </c>
      <c r="M1344" t="s">
        <v>20</v>
      </c>
      <c r="N1344" t="s">
        <v>25</v>
      </c>
    </row>
    <row r="1345" spans="1:14" x14ac:dyDescent="0.35">
      <c r="A1345">
        <v>1444</v>
      </c>
      <c r="B1345" t="s">
        <v>26</v>
      </c>
      <c r="C1345" s="6">
        <v>44590</v>
      </c>
      <c r="D1345">
        <f>YEAR(Table1[[#This Row],[Join Date]])</f>
        <v>2022</v>
      </c>
      <c r="E1345" s="6" t="s">
        <v>48</v>
      </c>
      <c r="F1345" t="str">
        <f>IFERROR(YEAR(Table1[[#This Row],[Exit Date]]), " ")</f>
        <v xml:space="preserve"> </v>
      </c>
      <c r="G1345" t="str">
        <f>IFERROR((Table1[[#This Row],[Exit Year]]-Table1[[#This Row],[Join Year]])+1," ")</f>
        <v xml:space="preserve"> </v>
      </c>
      <c r="H1345" t="s">
        <v>48</v>
      </c>
      <c r="I1345" t="s">
        <v>11</v>
      </c>
      <c r="J1345" t="s">
        <v>18</v>
      </c>
      <c r="K1345">
        <v>25</v>
      </c>
      <c r="L1345" t="str">
        <f>IF(Table1[[#This Row],[Age]]&lt;30,"20-29",
IF(Table1[[#This Row],[Age]]&lt;40,"30-39",
IF(Table1[[#This Row],[Age]]&lt;50,"40-49",
IF(Table1[[#This Row],[Age]]&lt;60,"50-59","60+"))))</f>
        <v>20-29</v>
      </c>
      <c r="M1345" t="s">
        <v>24</v>
      </c>
      <c r="N1345" t="s">
        <v>35</v>
      </c>
    </row>
    <row r="1346" spans="1:14" x14ac:dyDescent="0.35">
      <c r="A1346">
        <v>1445</v>
      </c>
      <c r="B1346" t="s">
        <v>15</v>
      </c>
      <c r="C1346" s="6">
        <v>45215</v>
      </c>
      <c r="D1346">
        <f>YEAR(Table1[[#This Row],[Join Date]])</f>
        <v>2023</v>
      </c>
      <c r="E1346" s="6" t="s">
        <v>48</v>
      </c>
      <c r="F1346" t="str">
        <f>IFERROR(YEAR(Table1[[#This Row],[Exit Date]]), " ")</f>
        <v xml:space="preserve"> </v>
      </c>
      <c r="G1346" t="str">
        <f>IFERROR((Table1[[#This Row],[Exit Year]]-Table1[[#This Row],[Join Year]])+1," ")</f>
        <v xml:space="preserve"> </v>
      </c>
      <c r="H1346" t="s">
        <v>48</v>
      </c>
      <c r="I1346" t="s">
        <v>11</v>
      </c>
      <c r="J1346" t="s">
        <v>18</v>
      </c>
      <c r="K1346">
        <v>46</v>
      </c>
      <c r="L1346" t="str">
        <f>IF(Table1[[#This Row],[Age]]&lt;30,"20-29",
IF(Table1[[#This Row],[Age]]&lt;40,"30-39",
IF(Table1[[#This Row],[Age]]&lt;50,"40-49",
IF(Table1[[#This Row],[Age]]&lt;60,"50-59","60+"))))</f>
        <v>40-49</v>
      </c>
      <c r="M1346" t="s">
        <v>13</v>
      </c>
      <c r="N1346" t="s">
        <v>17</v>
      </c>
    </row>
    <row r="1347" spans="1:14" x14ac:dyDescent="0.35">
      <c r="A1347">
        <v>1446</v>
      </c>
      <c r="B1347" t="s">
        <v>15</v>
      </c>
      <c r="C1347" s="6">
        <v>43624</v>
      </c>
      <c r="D1347">
        <f>YEAR(Table1[[#This Row],[Join Date]])</f>
        <v>2019</v>
      </c>
      <c r="E1347" s="6">
        <v>44228</v>
      </c>
      <c r="F1347">
        <f>IFERROR(YEAR(Table1[[#This Row],[Exit Date]]), " ")</f>
        <v>2021</v>
      </c>
      <c r="G1347">
        <f>IFERROR((Table1[[#This Row],[Exit Year]]-Table1[[#This Row],[Join Year]])+1," ")</f>
        <v>3</v>
      </c>
      <c r="H1347" t="s">
        <v>41</v>
      </c>
      <c r="I1347" t="s">
        <v>23</v>
      </c>
      <c r="J1347" t="s">
        <v>12</v>
      </c>
      <c r="K1347">
        <v>24</v>
      </c>
      <c r="L1347" t="str">
        <f>IF(Table1[[#This Row],[Age]]&lt;30,"20-29",
IF(Table1[[#This Row],[Age]]&lt;40,"30-39",
IF(Table1[[#This Row],[Age]]&lt;50,"40-49",
IF(Table1[[#This Row],[Age]]&lt;60,"50-59","60+"))))</f>
        <v>20-29</v>
      </c>
      <c r="M1347" t="s">
        <v>44</v>
      </c>
      <c r="N1347" t="s">
        <v>19</v>
      </c>
    </row>
    <row r="1348" spans="1:14" x14ac:dyDescent="0.35">
      <c r="A1348">
        <v>1447</v>
      </c>
      <c r="B1348" t="s">
        <v>15</v>
      </c>
      <c r="C1348" s="6">
        <v>44514</v>
      </c>
      <c r="D1348">
        <f>YEAR(Table1[[#This Row],[Join Date]])</f>
        <v>2021</v>
      </c>
      <c r="E1348" s="6">
        <v>45529</v>
      </c>
      <c r="F1348">
        <f>IFERROR(YEAR(Table1[[#This Row],[Exit Date]]), " ")</f>
        <v>2024</v>
      </c>
      <c r="G1348">
        <f>IFERROR((Table1[[#This Row],[Exit Year]]-Table1[[#This Row],[Join Year]])+1," ")</f>
        <v>4</v>
      </c>
      <c r="H1348" t="s">
        <v>41</v>
      </c>
      <c r="I1348" t="s">
        <v>23</v>
      </c>
      <c r="J1348" t="s">
        <v>18</v>
      </c>
      <c r="K1348">
        <v>38</v>
      </c>
      <c r="L1348" t="str">
        <f>IF(Table1[[#This Row],[Age]]&lt;30,"20-29",
IF(Table1[[#This Row],[Age]]&lt;40,"30-39",
IF(Table1[[#This Row],[Age]]&lt;50,"40-49",
IF(Table1[[#This Row],[Age]]&lt;60,"50-59","60+"))))</f>
        <v>30-39</v>
      </c>
      <c r="M1348" t="s">
        <v>13</v>
      </c>
      <c r="N1348" t="s">
        <v>21</v>
      </c>
    </row>
    <row r="1349" spans="1:14" x14ac:dyDescent="0.35">
      <c r="A1349">
        <v>1448</v>
      </c>
      <c r="B1349" t="s">
        <v>29</v>
      </c>
      <c r="C1349" s="6">
        <v>43700</v>
      </c>
      <c r="D1349">
        <f>YEAR(Table1[[#This Row],[Join Date]])</f>
        <v>2019</v>
      </c>
      <c r="E1349" s="6" t="s">
        <v>48</v>
      </c>
      <c r="F1349" t="str">
        <f>IFERROR(YEAR(Table1[[#This Row],[Exit Date]]), " ")</f>
        <v xml:space="preserve"> </v>
      </c>
      <c r="G1349" t="str">
        <f>IFERROR((Table1[[#This Row],[Exit Year]]-Table1[[#This Row],[Join Year]])+1," ")</f>
        <v xml:space="preserve"> </v>
      </c>
      <c r="H1349" t="s">
        <v>48</v>
      </c>
      <c r="I1349" t="s">
        <v>11</v>
      </c>
      <c r="J1349" t="s">
        <v>18</v>
      </c>
      <c r="K1349">
        <v>49</v>
      </c>
      <c r="L1349" t="str">
        <f>IF(Table1[[#This Row],[Age]]&lt;30,"20-29",
IF(Table1[[#This Row],[Age]]&lt;40,"30-39",
IF(Table1[[#This Row],[Age]]&lt;50,"40-49",
IF(Table1[[#This Row],[Age]]&lt;60,"50-59","60+"))))</f>
        <v>40-49</v>
      </c>
      <c r="M1349" t="s">
        <v>13</v>
      </c>
      <c r="N1349" t="s">
        <v>25</v>
      </c>
    </row>
    <row r="1350" spans="1:14" x14ac:dyDescent="0.35">
      <c r="A1350">
        <v>1449</v>
      </c>
      <c r="B1350" t="s">
        <v>34</v>
      </c>
      <c r="C1350" s="6">
        <v>45540</v>
      </c>
      <c r="D1350">
        <f>YEAR(Table1[[#This Row],[Join Date]])</f>
        <v>2024</v>
      </c>
      <c r="E1350" s="6" t="s">
        <v>48</v>
      </c>
      <c r="F1350" t="str">
        <f>IFERROR(YEAR(Table1[[#This Row],[Exit Date]]), " ")</f>
        <v xml:space="preserve"> </v>
      </c>
      <c r="G1350" t="str">
        <f>IFERROR((Table1[[#This Row],[Exit Year]]-Table1[[#This Row],[Join Year]])+1," ")</f>
        <v xml:space="preserve"> </v>
      </c>
      <c r="H1350" t="s">
        <v>48</v>
      </c>
      <c r="I1350" t="s">
        <v>11</v>
      </c>
      <c r="J1350" t="s">
        <v>12</v>
      </c>
      <c r="K1350">
        <v>31</v>
      </c>
      <c r="L1350" t="str">
        <f>IF(Table1[[#This Row],[Age]]&lt;30,"20-29",
IF(Table1[[#This Row],[Age]]&lt;40,"30-39",
IF(Table1[[#This Row],[Age]]&lt;50,"40-49",
IF(Table1[[#This Row],[Age]]&lt;60,"50-59","60+"))))</f>
        <v>30-39</v>
      </c>
      <c r="M1350" t="s">
        <v>16</v>
      </c>
      <c r="N1350" t="s">
        <v>35</v>
      </c>
    </row>
    <row r="1351" spans="1:14" x14ac:dyDescent="0.35">
      <c r="A1351">
        <v>1450</v>
      </c>
      <c r="B1351" t="s">
        <v>10</v>
      </c>
      <c r="C1351" s="6">
        <v>43297</v>
      </c>
      <c r="D1351">
        <f>YEAR(Table1[[#This Row],[Join Date]])</f>
        <v>2018</v>
      </c>
      <c r="E1351" s="6">
        <v>44682</v>
      </c>
      <c r="F1351">
        <f>IFERROR(YEAR(Table1[[#This Row],[Exit Date]]), " ")</f>
        <v>2022</v>
      </c>
      <c r="G1351">
        <f>IFERROR((Table1[[#This Row],[Exit Year]]-Table1[[#This Row],[Join Year]])+1," ")</f>
        <v>5</v>
      </c>
      <c r="H1351" t="s">
        <v>40</v>
      </c>
      <c r="I1351" t="s">
        <v>23</v>
      </c>
      <c r="J1351" t="s">
        <v>12</v>
      </c>
      <c r="K1351">
        <v>51</v>
      </c>
      <c r="L1351" t="str">
        <f>IF(Table1[[#This Row],[Age]]&lt;30,"20-29",
IF(Table1[[#This Row],[Age]]&lt;40,"30-39",
IF(Table1[[#This Row],[Age]]&lt;50,"40-49",
IF(Table1[[#This Row],[Age]]&lt;60,"50-59","60+"))))</f>
        <v>50-59</v>
      </c>
      <c r="M1351" t="s">
        <v>13</v>
      </c>
      <c r="N1351" t="s">
        <v>14</v>
      </c>
    </row>
    <row r="1352" spans="1:14" x14ac:dyDescent="0.35">
      <c r="A1352">
        <v>1451</v>
      </c>
      <c r="B1352" t="s">
        <v>10</v>
      </c>
      <c r="C1352" s="6">
        <v>43407</v>
      </c>
      <c r="D1352">
        <f>YEAR(Table1[[#This Row],[Join Date]])</f>
        <v>2018</v>
      </c>
      <c r="E1352" s="6" t="s">
        <v>48</v>
      </c>
      <c r="F1352" t="str">
        <f>IFERROR(YEAR(Table1[[#This Row],[Exit Date]]), " ")</f>
        <v xml:space="preserve"> </v>
      </c>
      <c r="G1352" t="str">
        <f>IFERROR((Table1[[#This Row],[Exit Year]]-Table1[[#This Row],[Join Year]])+1," ")</f>
        <v xml:space="preserve"> </v>
      </c>
      <c r="H1352" t="s">
        <v>48</v>
      </c>
      <c r="I1352" t="s">
        <v>11</v>
      </c>
      <c r="J1352" t="s">
        <v>12</v>
      </c>
      <c r="K1352">
        <v>27</v>
      </c>
      <c r="L1352" t="str">
        <f>IF(Table1[[#This Row],[Age]]&lt;30,"20-29",
IF(Table1[[#This Row],[Age]]&lt;40,"30-39",
IF(Table1[[#This Row],[Age]]&lt;50,"40-49",
IF(Table1[[#This Row],[Age]]&lt;60,"50-59","60+"))))</f>
        <v>20-29</v>
      </c>
      <c r="M1352" t="s">
        <v>20</v>
      </c>
      <c r="N1352" t="s">
        <v>19</v>
      </c>
    </row>
    <row r="1353" spans="1:14" x14ac:dyDescent="0.35">
      <c r="A1353">
        <v>1452</v>
      </c>
      <c r="B1353" t="s">
        <v>15</v>
      </c>
      <c r="C1353" s="6">
        <v>44121</v>
      </c>
      <c r="D1353">
        <f>YEAR(Table1[[#This Row],[Join Date]])</f>
        <v>2020</v>
      </c>
      <c r="E1353" s="6" t="s">
        <v>48</v>
      </c>
      <c r="F1353" t="str">
        <f>IFERROR(YEAR(Table1[[#This Row],[Exit Date]]), " ")</f>
        <v xml:space="preserve"> </v>
      </c>
      <c r="G1353" t="str">
        <f>IFERROR((Table1[[#This Row],[Exit Year]]-Table1[[#This Row],[Join Year]])+1," ")</f>
        <v xml:space="preserve"> </v>
      </c>
      <c r="H1353" t="s">
        <v>48</v>
      </c>
      <c r="I1353" t="s">
        <v>11</v>
      </c>
      <c r="J1353" t="s">
        <v>18</v>
      </c>
      <c r="K1353">
        <v>22</v>
      </c>
      <c r="L1353" t="str">
        <f>IF(Table1[[#This Row],[Age]]&lt;30,"20-29",
IF(Table1[[#This Row],[Age]]&lt;40,"30-39",
IF(Table1[[#This Row],[Age]]&lt;50,"40-49",
IF(Table1[[#This Row],[Age]]&lt;60,"50-59","60+"))))</f>
        <v>20-29</v>
      </c>
      <c r="M1353" t="s">
        <v>44</v>
      </c>
      <c r="N1353" t="s">
        <v>21</v>
      </c>
    </row>
    <row r="1354" spans="1:14" x14ac:dyDescent="0.35">
      <c r="A1354">
        <v>1453</v>
      </c>
      <c r="B1354" t="s">
        <v>15</v>
      </c>
      <c r="C1354" s="6">
        <v>44423</v>
      </c>
      <c r="D1354">
        <f>YEAR(Table1[[#This Row],[Join Date]])</f>
        <v>2021</v>
      </c>
      <c r="E1354" s="6" t="s">
        <v>48</v>
      </c>
      <c r="F1354" t="str">
        <f>IFERROR(YEAR(Table1[[#This Row],[Exit Date]]), " ")</f>
        <v xml:space="preserve"> </v>
      </c>
      <c r="G1354" t="str">
        <f>IFERROR((Table1[[#This Row],[Exit Year]]-Table1[[#This Row],[Join Year]])+1," ")</f>
        <v xml:space="preserve"> </v>
      </c>
      <c r="H1354" t="s">
        <v>48</v>
      </c>
      <c r="I1354" t="s">
        <v>11</v>
      </c>
      <c r="J1354" t="s">
        <v>18</v>
      </c>
      <c r="K1354">
        <v>50</v>
      </c>
      <c r="L1354" t="str">
        <f>IF(Table1[[#This Row],[Age]]&lt;30,"20-29",
IF(Table1[[#This Row],[Age]]&lt;40,"30-39",
IF(Table1[[#This Row],[Age]]&lt;50,"40-49",
IF(Table1[[#This Row],[Age]]&lt;60,"50-59","60+"))))</f>
        <v>50-59</v>
      </c>
      <c r="M1354" t="s">
        <v>13</v>
      </c>
      <c r="N1354" t="s">
        <v>37</v>
      </c>
    </row>
    <row r="1355" spans="1:14" x14ac:dyDescent="0.35">
      <c r="A1355">
        <v>1454</v>
      </c>
      <c r="B1355" t="s">
        <v>15</v>
      </c>
      <c r="C1355" s="6">
        <v>45087</v>
      </c>
      <c r="D1355">
        <f>YEAR(Table1[[#This Row],[Join Date]])</f>
        <v>2023</v>
      </c>
      <c r="E1355" s="6" t="s">
        <v>48</v>
      </c>
      <c r="F1355" t="str">
        <f>IFERROR(YEAR(Table1[[#This Row],[Exit Date]]), " ")</f>
        <v xml:space="preserve"> </v>
      </c>
      <c r="G1355" t="str">
        <f>IFERROR((Table1[[#This Row],[Exit Year]]-Table1[[#This Row],[Join Year]])+1," ")</f>
        <v xml:space="preserve"> </v>
      </c>
      <c r="H1355" t="s">
        <v>48</v>
      </c>
      <c r="I1355" t="s">
        <v>11</v>
      </c>
      <c r="J1355" t="s">
        <v>12</v>
      </c>
      <c r="K1355">
        <v>24</v>
      </c>
      <c r="L1355" t="str">
        <f>IF(Table1[[#This Row],[Age]]&lt;30,"20-29",
IF(Table1[[#This Row],[Age]]&lt;40,"30-39",
IF(Table1[[#This Row],[Age]]&lt;50,"40-49",
IF(Table1[[#This Row],[Age]]&lt;60,"50-59","60+"))))</f>
        <v>20-29</v>
      </c>
      <c r="M1355" t="s">
        <v>16</v>
      </c>
      <c r="N1355" t="s">
        <v>25</v>
      </c>
    </row>
    <row r="1356" spans="1:14" x14ac:dyDescent="0.35">
      <c r="A1356">
        <v>1455</v>
      </c>
      <c r="B1356" t="s">
        <v>15</v>
      </c>
      <c r="C1356" s="6">
        <v>43479</v>
      </c>
      <c r="D1356">
        <f>YEAR(Table1[[#This Row],[Join Date]])</f>
        <v>2019</v>
      </c>
      <c r="E1356" s="6">
        <v>44449</v>
      </c>
      <c r="F1356">
        <f>IFERROR(YEAR(Table1[[#This Row],[Exit Date]]), " ")</f>
        <v>2021</v>
      </c>
      <c r="G1356">
        <f>IFERROR((Table1[[#This Row],[Exit Year]]-Table1[[#This Row],[Join Year]])+1," ")</f>
        <v>3</v>
      </c>
      <c r="H1356" t="s">
        <v>22</v>
      </c>
      <c r="I1356" t="s">
        <v>23</v>
      </c>
      <c r="J1356" t="s">
        <v>18</v>
      </c>
      <c r="K1356">
        <v>50</v>
      </c>
      <c r="L1356" t="str">
        <f>IF(Table1[[#This Row],[Age]]&lt;30,"20-29",
IF(Table1[[#This Row],[Age]]&lt;40,"30-39",
IF(Table1[[#This Row],[Age]]&lt;50,"40-49",
IF(Table1[[#This Row],[Age]]&lt;60,"50-59","60+"))))</f>
        <v>50-59</v>
      </c>
      <c r="M1356" t="s">
        <v>16</v>
      </c>
      <c r="N1356" t="s">
        <v>35</v>
      </c>
    </row>
    <row r="1357" spans="1:14" x14ac:dyDescent="0.35">
      <c r="A1357">
        <v>1456</v>
      </c>
      <c r="B1357" t="s">
        <v>26</v>
      </c>
      <c r="C1357" s="6">
        <v>44749</v>
      </c>
      <c r="D1357">
        <f>YEAR(Table1[[#This Row],[Join Date]])</f>
        <v>2022</v>
      </c>
      <c r="E1357" s="6">
        <v>44972</v>
      </c>
      <c r="F1357">
        <f>IFERROR(YEAR(Table1[[#This Row],[Exit Date]]), " ")</f>
        <v>2023</v>
      </c>
      <c r="G1357">
        <f>IFERROR((Table1[[#This Row],[Exit Year]]-Table1[[#This Row],[Join Year]])+1," ")</f>
        <v>2</v>
      </c>
      <c r="H1357" t="s">
        <v>46</v>
      </c>
      <c r="I1357" t="s">
        <v>23</v>
      </c>
      <c r="J1357" t="s">
        <v>12</v>
      </c>
      <c r="K1357">
        <v>28</v>
      </c>
      <c r="L1357" t="str">
        <f>IF(Table1[[#This Row],[Age]]&lt;30,"20-29",
IF(Table1[[#This Row],[Age]]&lt;40,"30-39",
IF(Table1[[#This Row],[Age]]&lt;50,"40-49",
IF(Table1[[#This Row],[Age]]&lt;60,"50-59","60+"))))</f>
        <v>20-29</v>
      </c>
      <c r="M1357" t="s">
        <v>20</v>
      </c>
      <c r="N1357" t="s">
        <v>14</v>
      </c>
    </row>
    <row r="1358" spans="1:14" x14ac:dyDescent="0.35">
      <c r="A1358">
        <v>1457</v>
      </c>
      <c r="B1358" t="s">
        <v>29</v>
      </c>
      <c r="C1358" s="6">
        <v>45457</v>
      </c>
      <c r="D1358">
        <f>YEAR(Table1[[#This Row],[Join Date]])</f>
        <v>2024</v>
      </c>
      <c r="E1358" s="6" t="s">
        <v>48</v>
      </c>
      <c r="F1358" t="str">
        <f>IFERROR(YEAR(Table1[[#This Row],[Exit Date]]), " ")</f>
        <v xml:space="preserve"> </v>
      </c>
      <c r="G1358" t="str">
        <f>IFERROR((Table1[[#This Row],[Exit Year]]-Table1[[#This Row],[Join Year]])+1," ")</f>
        <v xml:space="preserve"> </v>
      </c>
      <c r="H1358" t="s">
        <v>48</v>
      </c>
      <c r="I1358" t="s">
        <v>11</v>
      </c>
      <c r="J1358" t="s">
        <v>12</v>
      </c>
      <c r="K1358">
        <v>40</v>
      </c>
      <c r="L1358" t="str">
        <f>IF(Table1[[#This Row],[Age]]&lt;30,"20-29",
IF(Table1[[#This Row],[Age]]&lt;40,"30-39",
IF(Table1[[#This Row],[Age]]&lt;50,"40-49",
IF(Table1[[#This Row],[Age]]&lt;60,"50-59","60+"))))</f>
        <v>40-49</v>
      </c>
      <c r="M1358" t="s">
        <v>24</v>
      </c>
      <c r="N1358" t="s">
        <v>17</v>
      </c>
    </row>
    <row r="1359" spans="1:14" x14ac:dyDescent="0.35">
      <c r="A1359">
        <v>1458</v>
      </c>
      <c r="B1359" t="s">
        <v>10</v>
      </c>
      <c r="C1359" s="6">
        <v>43304</v>
      </c>
      <c r="D1359">
        <f>YEAR(Table1[[#This Row],[Join Date]])</f>
        <v>2018</v>
      </c>
      <c r="E1359" s="6" t="s">
        <v>48</v>
      </c>
      <c r="F1359" t="str">
        <f>IFERROR(YEAR(Table1[[#This Row],[Exit Date]]), " ")</f>
        <v xml:space="preserve"> </v>
      </c>
      <c r="G1359" t="str">
        <f>IFERROR((Table1[[#This Row],[Exit Year]]-Table1[[#This Row],[Join Year]])+1," ")</f>
        <v xml:space="preserve"> </v>
      </c>
      <c r="H1359" t="s">
        <v>48</v>
      </c>
      <c r="I1359" t="s">
        <v>11</v>
      </c>
      <c r="J1359" t="s">
        <v>12</v>
      </c>
      <c r="K1359">
        <v>32</v>
      </c>
      <c r="L1359" t="str">
        <f>IF(Table1[[#This Row],[Age]]&lt;30,"20-29",
IF(Table1[[#This Row],[Age]]&lt;40,"30-39",
IF(Table1[[#This Row],[Age]]&lt;50,"40-49",
IF(Table1[[#This Row],[Age]]&lt;60,"50-59","60+"))))</f>
        <v>30-39</v>
      </c>
      <c r="M1359" t="s">
        <v>13</v>
      </c>
      <c r="N1359" t="s">
        <v>19</v>
      </c>
    </row>
    <row r="1360" spans="1:14" x14ac:dyDescent="0.35">
      <c r="A1360">
        <v>1459</v>
      </c>
      <c r="B1360" t="s">
        <v>15</v>
      </c>
      <c r="C1360" s="6">
        <v>44987</v>
      </c>
      <c r="D1360">
        <f>YEAR(Table1[[#This Row],[Join Date]])</f>
        <v>2023</v>
      </c>
      <c r="E1360" s="6" t="s">
        <v>48</v>
      </c>
      <c r="F1360" t="str">
        <f>IFERROR(YEAR(Table1[[#This Row],[Exit Date]]), " ")</f>
        <v xml:space="preserve"> </v>
      </c>
      <c r="G1360" t="str">
        <f>IFERROR((Table1[[#This Row],[Exit Year]]-Table1[[#This Row],[Join Year]])+1," ")</f>
        <v xml:space="preserve"> </v>
      </c>
      <c r="H1360" t="s">
        <v>48</v>
      </c>
      <c r="I1360" t="s">
        <v>11</v>
      </c>
      <c r="J1360" t="s">
        <v>18</v>
      </c>
      <c r="K1360">
        <v>50</v>
      </c>
      <c r="L1360" t="str">
        <f>IF(Table1[[#This Row],[Age]]&lt;30,"20-29",
IF(Table1[[#This Row],[Age]]&lt;40,"30-39",
IF(Table1[[#This Row],[Age]]&lt;50,"40-49",
IF(Table1[[#This Row],[Age]]&lt;60,"50-59","60+"))))</f>
        <v>50-59</v>
      </c>
      <c r="M1360" t="s">
        <v>42</v>
      </c>
      <c r="N1360" t="s">
        <v>21</v>
      </c>
    </row>
    <row r="1361" spans="1:14" x14ac:dyDescent="0.35">
      <c r="A1361">
        <v>1460</v>
      </c>
      <c r="B1361" t="s">
        <v>34</v>
      </c>
      <c r="C1361" s="6">
        <v>45326</v>
      </c>
      <c r="D1361">
        <f>YEAR(Table1[[#This Row],[Join Date]])</f>
        <v>2024</v>
      </c>
      <c r="E1361" s="6" t="s">
        <v>48</v>
      </c>
      <c r="F1361" t="str">
        <f>IFERROR(YEAR(Table1[[#This Row],[Exit Date]]), " ")</f>
        <v xml:space="preserve"> </v>
      </c>
      <c r="G1361" t="str">
        <f>IFERROR((Table1[[#This Row],[Exit Year]]-Table1[[#This Row],[Join Year]])+1," ")</f>
        <v xml:space="preserve"> </v>
      </c>
      <c r="H1361" t="s">
        <v>48</v>
      </c>
      <c r="I1361" t="s">
        <v>11</v>
      </c>
      <c r="J1361" t="s">
        <v>12</v>
      </c>
      <c r="K1361">
        <v>24</v>
      </c>
      <c r="L1361" t="str">
        <f>IF(Table1[[#This Row],[Age]]&lt;30,"20-29",
IF(Table1[[#This Row],[Age]]&lt;40,"30-39",
IF(Table1[[#This Row],[Age]]&lt;50,"40-49",
IF(Table1[[#This Row],[Age]]&lt;60,"50-59","60+"))))</f>
        <v>20-29</v>
      </c>
      <c r="M1361" t="s">
        <v>13</v>
      </c>
      <c r="N1361" t="s">
        <v>25</v>
      </c>
    </row>
    <row r="1362" spans="1:14" x14ac:dyDescent="0.35">
      <c r="A1362">
        <v>1461</v>
      </c>
      <c r="B1362" t="s">
        <v>36</v>
      </c>
      <c r="C1362" s="6">
        <v>45474</v>
      </c>
      <c r="D1362">
        <f>YEAR(Table1[[#This Row],[Join Date]])</f>
        <v>2024</v>
      </c>
      <c r="E1362" s="6" t="s">
        <v>48</v>
      </c>
      <c r="F1362" t="str">
        <f>IFERROR(YEAR(Table1[[#This Row],[Exit Date]]), " ")</f>
        <v xml:space="preserve"> </v>
      </c>
      <c r="G1362" t="str">
        <f>IFERROR((Table1[[#This Row],[Exit Year]]-Table1[[#This Row],[Join Year]])+1," ")</f>
        <v xml:space="preserve"> </v>
      </c>
      <c r="H1362" t="s">
        <v>48</v>
      </c>
      <c r="I1362" t="s">
        <v>11</v>
      </c>
      <c r="J1362" t="s">
        <v>18</v>
      </c>
      <c r="K1362">
        <v>36</v>
      </c>
      <c r="L1362" t="str">
        <f>IF(Table1[[#This Row],[Age]]&lt;30,"20-29",
IF(Table1[[#This Row],[Age]]&lt;40,"30-39",
IF(Table1[[#This Row],[Age]]&lt;50,"40-49",
IF(Table1[[#This Row],[Age]]&lt;60,"50-59","60+"))))</f>
        <v>30-39</v>
      </c>
      <c r="M1362" t="s">
        <v>13</v>
      </c>
      <c r="N1362" t="s">
        <v>28</v>
      </c>
    </row>
    <row r="1363" spans="1:14" x14ac:dyDescent="0.35">
      <c r="A1363">
        <v>1462</v>
      </c>
      <c r="B1363" t="s">
        <v>29</v>
      </c>
      <c r="C1363" s="6">
        <v>44227</v>
      </c>
      <c r="D1363">
        <f>YEAR(Table1[[#This Row],[Join Date]])</f>
        <v>2021</v>
      </c>
      <c r="E1363" s="6">
        <v>45322</v>
      </c>
      <c r="F1363">
        <f>IFERROR(YEAR(Table1[[#This Row],[Exit Date]]), " ")</f>
        <v>2024</v>
      </c>
      <c r="G1363">
        <f>IFERROR((Table1[[#This Row],[Exit Year]]-Table1[[#This Row],[Join Year]])+1," ")</f>
        <v>4</v>
      </c>
      <c r="H1363" t="s">
        <v>46</v>
      </c>
      <c r="I1363" t="s">
        <v>23</v>
      </c>
      <c r="J1363" t="s">
        <v>12</v>
      </c>
      <c r="K1363">
        <v>49</v>
      </c>
      <c r="L1363" t="str">
        <f>IF(Table1[[#This Row],[Age]]&lt;30,"20-29",
IF(Table1[[#This Row],[Age]]&lt;40,"30-39",
IF(Table1[[#This Row],[Age]]&lt;50,"40-49",
IF(Table1[[#This Row],[Age]]&lt;60,"50-59","60+"))))</f>
        <v>40-49</v>
      </c>
      <c r="M1363" t="s">
        <v>16</v>
      </c>
      <c r="N1363" t="s">
        <v>31</v>
      </c>
    </row>
    <row r="1364" spans="1:14" x14ac:dyDescent="0.35">
      <c r="A1364">
        <v>1463</v>
      </c>
      <c r="B1364" t="s">
        <v>10</v>
      </c>
      <c r="C1364" s="6">
        <v>43446</v>
      </c>
      <c r="D1364">
        <f>YEAR(Table1[[#This Row],[Join Date]])</f>
        <v>2018</v>
      </c>
      <c r="E1364" s="6">
        <v>43936</v>
      </c>
      <c r="F1364">
        <f>IFERROR(YEAR(Table1[[#This Row],[Exit Date]]), " ")</f>
        <v>2020</v>
      </c>
      <c r="G1364">
        <f>IFERROR((Table1[[#This Row],[Exit Year]]-Table1[[#This Row],[Join Year]])+1," ")</f>
        <v>3</v>
      </c>
      <c r="H1364" t="s">
        <v>38</v>
      </c>
      <c r="I1364" t="s">
        <v>23</v>
      </c>
      <c r="J1364" t="s">
        <v>18</v>
      </c>
      <c r="K1364">
        <v>43</v>
      </c>
      <c r="L1364" t="str">
        <f>IF(Table1[[#This Row],[Age]]&lt;30,"20-29",
IF(Table1[[#This Row],[Age]]&lt;40,"30-39",
IF(Table1[[#This Row],[Age]]&lt;50,"40-49",
IF(Table1[[#This Row],[Age]]&lt;60,"50-59","60+"))))</f>
        <v>40-49</v>
      </c>
      <c r="M1364" t="s">
        <v>13</v>
      </c>
      <c r="N1364" t="s">
        <v>32</v>
      </c>
    </row>
    <row r="1365" spans="1:14" x14ac:dyDescent="0.35">
      <c r="A1365">
        <v>1464</v>
      </c>
      <c r="B1365" t="s">
        <v>15</v>
      </c>
      <c r="C1365" s="6">
        <v>45314</v>
      </c>
      <c r="D1365">
        <f>YEAR(Table1[[#This Row],[Join Date]])</f>
        <v>2024</v>
      </c>
      <c r="E1365" s="6" t="s">
        <v>48</v>
      </c>
      <c r="F1365" t="str">
        <f>IFERROR(YEAR(Table1[[#This Row],[Exit Date]]), " ")</f>
        <v xml:space="preserve"> </v>
      </c>
      <c r="G1365" t="str">
        <f>IFERROR((Table1[[#This Row],[Exit Year]]-Table1[[#This Row],[Join Year]])+1," ")</f>
        <v xml:space="preserve"> </v>
      </c>
      <c r="H1365" t="s">
        <v>48</v>
      </c>
      <c r="I1365" t="s">
        <v>11</v>
      </c>
      <c r="J1365" t="s">
        <v>18</v>
      </c>
      <c r="K1365">
        <v>40</v>
      </c>
      <c r="L1365" t="str">
        <f>IF(Table1[[#This Row],[Age]]&lt;30,"20-29",
IF(Table1[[#This Row],[Age]]&lt;40,"30-39",
IF(Table1[[#This Row],[Age]]&lt;50,"40-49",
IF(Table1[[#This Row],[Age]]&lt;60,"50-59","60+"))))</f>
        <v>40-49</v>
      </c>
      <c r="M1365" t="s">
        <v>20</v>
      </c>
      <c r="N1365" t="s">
        <v>33</v>
      </c>
    </row>
    <row r="1366" spans="1:14" x14ac:dyDescent="0.35">
      <c r="A1366">
        <v>1465</v>
      </c>
      <c r="B1366" t="s">
        <v>15</v>
      </c>
      <c r="C1366" s="6">
        <v>43123</v>
      </c>
      <c r="D1366">
        <f>YEAR(Table1[[#This Row],[Join Date]])</f>
        <v>2018</v>
      </c>
      <c r="E1366" s="6" t="s">
        <v>48</v>
      </c>
      <c r="F1366" t="str">
        <f>IFERROR(YEAR(Table1[[#This Row],[Exit Date]]), " ")</f>
        <v xml:space="preserve"> </v>
      </c>
      <c r="G1366" t="str">
        <f>IFERROR((Table1[[#This Row],[Exit Year]]-Table1[[#This Row],[Join Year]])+1," ")</f>
        <v xml:space="preserve"> </v>
      </c>
      <c r="H1366" t="s">
        <v>48</v>
      </c>
      <c r="I1366" t="s">
        <v>11</v>
      </c>
      <c r="J1366" t="s">
        <v>12</v>
      </c>
      <c r="K1366">
        <v>42</v>
      </c>
      <c r="L1366" t="str">
        <f>IF(Table1[[#This Row],[Age]]&lt;30,"20-29",
IF(Table1[[#This Row],[Age]]&lt;40,"30-39",
IF(Table1[[#This Row],[Age]]&lt;50,"40-49",
IF(Table1[[#This Row],[Age]]&lt;60,"50-59","60+"))))</f>
        <v>40-49</v>
      </c>
      <c r="M1366" t="s">
        <v>39</v>
      </c>
      <c r="N1366" t="s">
        <v>35</v>
      </c>
    </row>
    <row r="1367" spans="1:14" x14ac:dyDescent="0.35">
      <c r="A1367">
        <v>1466</v>
      </c>
      <c r="B1367" t="s">
        <v>10</v>
      </c>
      <c r="C1367" s="6">
        <v>43717</v>
      </c>
      <c r="D1367">
        <f>YEAR(Table1[[#This Row],[Join Date]])</f>
        <v>2019</v>
      </c>
      <c r="E1367" s="6">
        <v>44677</v>
      </c>
      <c r="F1367">
        <f>IFERROR(YEAR(Table1[[#This Row],[Exit Date]]), " ")</f>
        <v>2022</v>
      </c>
      <c r="G1367">
        <f>IFERROR((Table1[[#This Row],[Exit Year]]-Table1[[#This Row],[Join Year]])+1," ")</f>
        <v>4</v>
      </c>
      <c r="H1367" t="s">
        <v>40</v>
      </c>
      <c r="I1367" t="s">
        <v>23</v>
      </c>
      <c r="J1367" t="s">
        <v>18</v>
      </c>
      <c r="K1367">
        <v>35</v>
      </c>
      <c r="L1367" t="str">
        <f>IF(Table1[[#This Row],[Age]]&lt;30,"20-29",
IF(Table1[[#This Row],[Age]]&lt;40,"30-39",
IF(Table1[[#This Row],[Age]]&lt;50,"40-49",
IF(Table1[[#This Row],[Age]]&lt;60,"50-59","60+"))))</f>
        <v>30-39</v>
      </c>
      <c r="M1367" t="s">
        <v>13</v>
      </c>
      <c r="N1367" t="s">
        <v>37</v>
      </c>
    </row>
    <row r="1368" spans="1:14" x14ac:dyDescent="0.35">
      <c r="A1368">
        <v>1467</v>
      </c>
      <c r="B1368" t="s">
        <v>29</v>
      </c>
      <c r="C1368" s="6">
        <v>43534</v>
      </c>
      <c r="D1368">
        <f>YEAR(Table1[[#This Row],[Join Date]])</f>
        <v>2019</v>
      </c>
      <c r="E1368" s="6">
        <v>44117</v>
      </c>
      <c r="F1368">
        <f>IFERROR(YEAR(Table1[[#This Row],[Exit Date]]), " ")</f>
        <v>2020</v>
      </c>
      <c r="G1368">
        <f>IFERROR((Table1[[#This Row],[Exit Year]]-Table1[[#This Row],[Join Year]])+1," ")</f>
        <v>2</v>
      </c>
      <c r="H1368" t="s">
        <v>38</v>
      </c>
      <c r="I1368" t="s">
        <v>23</v>
      </c>
      <c r="J1368" t="s">
        <v>18</v>
      </c>
      <c r="K1368">
        <v>31</v>
      </c>
      <c r="L1368" t="str">
        <f>IF(Table1[[#This Row],[Age]]&lt;30,"20-29",
IF(Table1[[#This Row],[Age]]&lt;40,"30-39",
IF(Table1[[#This Row],[Age]]&lt;50,"40-49",
IF(Table1[[#This Row],[Age]]&lt;60,"50-59","60+"))))</f>
        <v>30-39</v>
      </c>
      <c r="M1368" t="s">
        <v>16</v>
      </c>
      <c r="N1368" t="s">
        <v>19</v>
      </c>
    </row>
    <row r="1369" spans="1:14" x14ac:dyDescent="0.35">
      <c r="A1369">
        <v>1468</v>
      </c>
      <c r="B1369" t="s">
        <v>36</v>
      </c>
      <c r="C1369" s="6">
        <v>44619</v>
      </c>
      <c r="D1369">
        <f>YEAR(Table1[[#This Row],[Join Date]])</f>
        <v>2022</v>
      </c>
      <c r="E1369" s="6" t="s">
        <v>48</v>
      </c>
      <c r="F1369" t="str">
        <f>IFERROR(YEAR(Table1[[#This Row],[Exit Date]]), " ")</f>
        <v xml:space="preserve"> </v>
      </c>
      <c r="G1369" t="str">
        <f>IFERROR((Table1[[#This Row],[Exit Year]]-Table1[[#This Row],[Join Year]])+1," ")</f>
        <v xml:space="preserve"> </v>
      </c>
      <c r="H1369" t="s">
        <v>48</v>
      </c>
      <c r="I1369" t="s">
        <v>11</v>
      </c>
      <c r="J1369" t="s">
        <v>12</v>
      </c>
      <c r="K1369">
        <v>51</v>
      </c>
      <c r="L1369" t="str">
        <f>IF(Table1[[#This Row],[Age]]&lt;30,"20-29",
IF(Table1[[#This Row],[Age]]&lt;40,"30-39",
IF(Table1[[#This Row],[Age]]&lt;50,"40-49",
IF(Table1[[#This Row],[Age]]&lt;60,"50-59","60+"))))</f>
        <v>50-59</v>
      </c>
      <c r="M1369" t="s">
        <v>16</v>
      </c>
      <c r="N1369" t="s">
        <v>25</v>
      </c>
    </row>
    <row r="1370" spans="1:14" x14ac:dyDescent="0.35">
      <c r="A1370">
        <v>1469</v>
      </c>
      <c r="B1370" t="s">
        <v>10</v>
      </c>
      <c r="C1370" s="6">
        <v>45485</v>
      </c>
      <c r="D1370">
        <f>YEAR(Table1[[#This Row],[Join Date]])</f>
        <v>2024</v>
      </c>
      <c r="E1370" s="6" t="s">
        <v>48</v>
      </c>
      <c r="F1370" t="str">
        <f>IFERROR(YEAR(Table1[[#This Row],[Exit Date]]), " ")</f>
        <v xml:space="preserve"> </v>
      </c>
      <c r="G1370" t="str">
        <f>IFERROR((Table1[[#This Row],[Exit Year]]-Table1[[#This Row],[Join Year]])+1," ")</f>
        <v xml:space="preserve"> </v>
      </c>
      <c r="H1370" t="s">
        <v>48</v>
      </c>
      <c r="I1370" t="s">
        <v>11</v>
      </c>
      <c r="J1370" t="s">
        <v>18</v>
      </c>
      <c r="K1370">
        <v>48</v>
      </c>
      <c r="L1370" t="str">
        <f>IF(Table1[[#This Row],[Age]]&lt;30,"20-29",
IF(Table1[[#This Row],[Age]]&lt;40,"30-39",
IF(Table1[[#This Row],[Age]]&lt;50,"40-49",
IF(Table1[[#This Row],[Age]]&lt;60,"50-59","60+"))))</f>
        <v>40-49</v>
      </c>
      <c r="M1370" t="s">
        <v>20</v>
      </c>
      <c r="N1370" t="s">
        <v>35</v>
      </c>
    </row>
    <row r="1371" spans="1:14" x14ac:dyDescent="0.35">
      <c r="A1371">
        <v>1470</v>
      </c>
      <c r="B1371" t="s">
        <v>29</v>
      </c>
      <c r="C1371" s="6">
        <v>43588</v>
      </c>
      <c r="D1371">
        <f>YEAR(Table1[[#This Row],[Join Date]])</f>
        <v>2019</v>
      </c>
      <c r="E1371" s="6">
        <v>44896</v>
      </c>
      <c r="F1371">
        <f>IFERROR(YEAR(Table1[[#This Row],[Exit Date]]), " ")</f>
        <v>2022</v>
      </c>
      <c r="G1371">
        <f>IFERROR((Table1[[#This Row],[Exit Year]]-Table1[[#This Row],[Join Year]])+1," ")</f>
        <v>4</v>
      </c>
      <c r="H1371" t="s">
        <v>41</v>
      </c>
      <c r="I1371" t="s">
        <v>23</v>
      </c>
      <c r="J1371" t="s">
        <v>18</v>
      </c>
      <c r="K1371">
        <v>41</v>
      </c>
      <c r="L1371" t="str">
        <f>IF(Table1[[#This Row],[Age]]&lt;30,"20-29",
IF(Table1[[#This Row],[Age]]&lt;40,"30-39",
IF(Table1[[#This Row],[Age]]&lt;50,"40-49",
IF(Table1[[#This Row],[Age]]&lt;60,"50-59","60+"))))</f>
        <v>40-49</v>
      </c>
      <c r="M1371" t="s">
        <v>24</v>
      </c>
      <c r="N1371" t="s">
        <v>17</v>
      </c>
    </row>
    <row r="1372" spans="1:14" x14ac:dyDescent="0.35">
      <c r="A1372">
        <v>1471</v>
      </c>
      <c r="B1372" t="s">
        <v>36</v>
      </c>
      <c r="C1372" s="6">
        <v>44250</v>
      </c>
      <c r="D1372">
        <f>YEAR(Table1[[#This Row],[Join Date]])</f>
        <v>2021</v>
      </c>
      <c r="E1372" s="6">
        <v>45392</v>
      </c>
      <c r="F1372">
        <f>IFERROR(YEAR(Table1[[#This Row],[Exit Date]]), " ")</f>
        <v>2024</v>
      </c>
      <c r="G1372">
        <f>IFERROR((Table1[[#This Row],[Exit Year]]-Table1[[#This Row],[Join Year]])+1," ")</f>
        <v>4</v>
      </c>
      <c r="H1372" t="s">
        <v>46</v>
      </c>
      <c r="I1372" t="s">
        <v>23</v>
      </c>
      <c r="J1372" t="s">
        <v>12</v>
      </c>
      <c r="K1372">
        <v>35</v>
      </c>
      <c r="L1372" t="str">
        <f>IF(Table1[[#This Row],[Age]]&lt;30,"20-29",
IF(Table1[[#This Row],[Age]]&lt;40,"30-39",
IF(Table1[[#This Row],[Age]]&lt;50,"40-49",
IF(Table1[[#This Row],[Age]]&lt;60,"50-59","60+"))))</f>
        <v>30-39</v>
      </c>
      <c r="M1372" t="s">
        <v>13</v>
      </c>
      <c r="N1372" t="s">
        <v>19</v>
      </c>
    </row>
    <row r="1373" spans="1:14" x14ac:dyDescent="0.35">
      <c r="A1373">
        <v>1472</v>
      </c>
      <c r="B1373" t="s">
        <v>26</v>
      </c>
      <c r="C1373" s="6">
        <v>45244</v>
      </c>
      <c r="D1373">
        <f>YEAR(Table1[[#This Row],[Join Date]])</f>
        <v>2023</v>
      </c>
      <c r="E1373" s="6">
        <v>45446</v>
      </c>
      <c r="F1373">
        <f>IFERROR(YEAR(Table1[[#This Row],[Exit Date]]), " ")</f>
        <v>2024</v>
      </c>
      <c r="G1373">
        <f>IFERROR((Table1[[#This Row],[Exit Year]]-Table1[[#This Row],[Join Year]])+1," ")</f>
        <v>2</v>
      </c>
      <c r="H1373" t="s">
        <v>40</v>
      </c>
      <c r="I1373" t="s">
        <v>23</v>
      </c>
      <c r="J1373" t="s">
        <v>18</v>
      </c>
      <c r="K1373">
        <v>24</v>
      </c>
      <c r="L1373" t="str">
        <f>IF(Table1[[#This Row],[Age]]&lt;30,"20-29",
IF(Table1[[#This Row],[Age]]&lt;40,"30-39",
IF(Table1[[#This Row],[Age]]&lt;50,"40-49",
IF(Table1[[#This Row],[Age]]&lt;60,"50-59","60+"))))</f>
        <v>20-29</v>
      </c>
      <c r="M1373" t="s">
        <v>44</v>
      </c>
      <c r="N1373" t="s">
        <v>21</v>
      </c>
    </row>
    <row r="1374" spans="1:14" x14ac:dyDescent="0.35">
      <c r="A1374">
        <v>1473</v>
      </c>
      <c r="B1374" t="s">
        <v>15</v>
      </c>
      <c r="C1374" s="6">
        <v>45256</v>
      </c>
      <c r="D1374">
        <f>YEAR(Table1[[#This Row],[Join Date]])</f>
        <v>2023</v>
      </c>
      <c r="E1374" s="6" t="s">
        <v>48</v>
      </c>
      <c r="F1374" t="str">
        <f>IFERROR(YEAR(Table1[[#This Row],[Exit Date]]), " ")</f>
        <v xml:space="preserve"> </v>
      </c>
      <c r="G1374" t="str">
        <f>IFERROR((Table1[[#This Row],[Exit Year]]-Table1[[#This Row],[Join Year]])+1," ")</f>
        <v xml:space="preserve"> </v>
      </c>
      <c r="H1374" t="s">
        <v>48</v>
      </c>
      <c r="I1374" t="s">
        <v>11</v>
      </c>
      <c r="J1374" t="s">
        <v>12</v>
      </c>
      <c r="K1374">
        <v>41</v>
      </c>
      <c r="L1374" t="str">
        <f>IF(Table1[[#This Row],[Age]]&lt;30,"20-29",
IF(Table1[[#This Row],[Age]]&lt;40,"30-39",
IF(Table1[[#This Row],[Age]]&lt;50,"40-49",
IF(Table1[[#This Row],[Age]]&lt;60,"50-59","60+"))))</f>
        <v>40-49</v>
      </c>
      <c r="M1374" t="s">
        <v>13</v>
      </c>
      <c r="N1374" t="s">
        <v>25</v>
      </c>
    </row>
    <row r="1375" spans="1:14" x14ac:dyDescent="0.35">
      <c r="A1375">
        <v>1474</v>
      </c>
      <c r="B1375" t="s">
        <v>26</v>
      </c>
      <c r="C1375" s="6">
        <v>45465</v>
      </c>
      <c r="D1375">
        <f>YEAR(Table1[[#This Row],[Join Date]])</f>
        <v>2024</v>
      </c>
      <c r="E1375" s="6" t="s">
        <v>48</v>
      </c>
      <c r="F1375" t="str">
        <f>IFERROR(YEAR(Table1[[#This Row],[Exit Date]]), " ")</f>
        <v xml:space="preserve"> </v>
      </c>
      <c r="G1375" t="str">
        <f>IFERROR((Table1[[#This Row],[Exit Year]]-Table1[[#This Row],[Join Year]])+1," ")</f>
        <v xml:space="preserve"> </v>
      </c>
      <c r="H1375" t="s">
        <v>48</v>
      </c>
      <c r="I1375" t="s">
        <v>11</v>
      </c>
      <c r="J1375" t="s">
        <v>12</v>
      </c>
      <c r="K1375">
        <v>40</v>
      </c>
      <c r="L1375" t="str">
        <f>IF(Table1[[#This Row],[Age]]&lt;30,"20-29",
IF(Table1[[#This Row],[Age]]&lt;40,"30-39",
IF(Table1[[#This Row],[Age]]&lt;50,"40-49",
IF(Table1[[#This Row],[Age]]&lt;60,"50-59","60+"))))</f>
        <v>40-49</v>
      </c>
      <c r="M1375" t="s">
        <v>13</v>
      </c>
      <c r="N1375" t="s">
        <v>35</v>
      </c>
    </row>
    <row r="1376" spans="1:14" x14ac:dyDescent="0.35">
      <c r="A1376">
        <v>1475</v>
      </c>
      <c r="B1376" t="s">
        <v>10</v>
      </c>
      <c r="C1376" s="6">
        <v>43597</v>
      </c>
      <c r="D1376">
        <f>YEAR(Table1[[#This Row],[Join Date]])</f>
        <v>2019</v>
      </c>
      <c r="E1376" s="6" t="s">
        <v>48</v>
      </c>
      <c r="F1376" t="str">
        <f>IFERROR(YEAR(Table1[[#This Row],[Exit Date]]), " ")</f>
        <v xml:space="preserve"> </v>
      </c>
      <c r="G1376" t="str">
        <f>IFERROR((Table1[[#This Row],[Exit Year]]-Table1[[#This Row],[Join Year]])+1," ")</f>
        <v xml:space="preserve"> </v>
      </c>
      <c r="H1376" t="s">
        <v>48</v>
      </c>
      <c r="I1376" t="s">
        <v>11</v>
      </c>
      <c r="J1376" t="s">
        <v>12</v>
      </c>
      <c r="K1376">
        <v>48</v>
      </c>
      <c r="L1376" t="str">
        <f>IF(Table1[[#This Row],[Age]]&lt;30,"20-29",
IF(Table1[[#This Row],[Age]]&lt;40,"30-39",
IF(Table1[[#This Row],[Age]]&lt;50,"40-49",
IF(Table1[[#This Row],[Age]]&lt;60,"50-59","60+"))))</f>
        <v>40-49</v>
      </c>
      <c r="M1376" t="s">
        <v>16</v>
      </c>
      <c r="N1376" t="s">
        <v>14</v>
      </c>
    </row>
    <row r="1377" spans="1:14" x14ac:dyDescent="0.35">
      <c r="A1377">
        <v>1476</v>
      </c>
      <c r="B1377" t="s">
        <v>15</v>
      </c>
      <c r="C1377" s="6">
        <v>44866</v>
      </c>
      <c r="D1377">
        <f>YEAR(Table1[[#This Row],[Join Date]])</f>
        <v>2022</v>
      </c>
      <c r="E1377" s="6" t="s">
        <v>48</v>
      </c>
      <c r="F1377" t="str">
        <f>IFERROR(YEAR(Table1[[#This Row],[Exit Date]]), " ")</f>
        <v xml:space="preserve"> </v>
      </c>
      <c r="G1377" t="str">
        <f>IFERROR((Table1[[#This Row],[Exit Year]]-Table1[[#This Row],[Join Year]])+1," ")</f>
        <v xml:space="preserve"> </v>
      </c>
      <c r="H1377" t="s">
        <v>48</v>
      </c>
      <c r="I1377" t="s">
        <v>11</v>
      </c>
      <c r="J1377" t="s">
        <v>18</v>
      </c>
      <c r="K1377">
        <v>52</v>
      </c>
      <c r="L1377" t="str">
        <f>IF(Table1[[#This Row],[Age]]&lt;30,"20-29",
IF(Table1[[#This Row],[Age]]&lt;40,"30-39",
IF(Table1[[#This Row],[Age]]&lt;50,"40-49",
IF(Table1[[#This Row],[Age]]&lt;60,"50-59","60+"))))</f>
        <v>50-59</v>
      </c>
      <c r="M1377" t="s">
        <v>13</v>
      </c>
      <c r="N1377" t="s">
        <v>19</v>
      </c>
    </row>
    <row r="1378" spans="1:14" x14ac:dyDescent="0.35">
      <c r="A1378">
        <v>1477</v>
      </c>
      <c r="B1378" t="s">
        <v>34</v>
      </c>
      <c r="C1378" s="6">
        <v>44006</v>
      </c>
      <c r="D1378">
        <f>YEAR(Table1[[#This Row],[Join Date]])</f>
        <v>2020</v>
      </c>
      <c r="E1378" s="6">
        <v>44463</v>
      </c>
      <c r="F1378">
        <f>IFERROR(YEAR(Table1[[#This Row],[Exit Date]]), " ")</f>
        <v>2021</v>
      </c>
      <c r="G1378">
        <f>IFERROR((Table1[[#This Row],[Exit Year]]-Table1[[#This Row],[Join Year]])+1," ")</f>
        <v>2</v>
      </c>
      <c r="H1378" t="s">
        <v>43</v>
      </c>
      <c r="I1378" t="s">
        <v>23</v>
      </c>
      <c r="J1378" t="s">
        <v>12</v>
      </c>
      <c r="K1378">
        <v>33</v>
      </c>
      <c r="L1378" t="str">
        <f>IF(Table1[[#This Row],[Age]]&lt;30,"20-29",
IF(Table1[[#This Row],[Age]]&lt;40,"30-39",
IF(Table1[[#This Row],[Age]]&lt;50,"40-49",
IF(Table1[[#This Row],[Age]]&lt;60,"50-59","60+"))))</f>
        <v>30-39</v>
      </c>
      <c r="M1378" t="s">
        <v>20</v>
      </c>
      <c r="N1378" t="s">
        <v>21</v>
      </c>
    </row>
    <row r="1379" spans="1:14" x14ac:dyDescent="0.35">
      <c r="A1379">
        <v>1478</v>
      </c>
      <c r="B1379" t="s">
        <v>26</v>
      </c>
      <c r="C1379" s="6">
        <v>45095</v>
      </c>
      <c r="D1379">
        <f>YEAR(Table1[[#This Row],[Join Date]])</f>
        <v>2023</v>
      </c>
      <c r="E1379" s="6" t="s">
        <v>48</v>
      </c>
      <c r="F1379" t="str">
        <f>IFERROR(YEAR(Table1[[#This Row],[Exit Date]]), " ")</f>
        <v xml:space="preserve"> </v>
      </c>
      <c r="G1379" t="str">
        <f>IFERROR((Table1[[#This Row],[Exit Year]]-Table1[[#This Row],[Join Year]])+1," ")</f>
        <v xml:space="preserve"> </v>
      </c>
      <c r="H1379" t="s">
        <v>48</v>
      </c>
      <c r="I1379" t="s">
        <v>11</v>
      </c>
      <c r="J1379" t="s">
        <v>18</v>
      </c>
      <c r="K1379">
        <v>51</v>
      </c>
      <c r="L1379" t="str">
        <f>IF(Table1[[#This Row],[Age]]&lt;30,"20-29",
IF(Table1[[#This Row],[Age]]&lt;40,"30-39",
IF(Table1[[#This Row],[Age]]&lt;50,"40-49",
IF(Table1[[#This Row],[Age]]&lt;60,"50-59","60+"))))</f>
        <v>50-59</v>
      </c>
      <c r="M1379" t="s">
        <v>39</v>
      </c>
      <c r="N1379" t="s">
        <v>37</v>
      </c>
    </row>
    <row r="1380" spans="1:14" x14ac:dyDescent="0.35">
      <c r="A1380">
        <v>1479</v>
      </c>
      <c r="B1380" t="s">
        <v>10</v>
      </c>
      <c r="C1380" s="6">
        <v>44360</v>
      </c>
      <c r="D1380">
        <f>YEAR(Table1[[#This Row],[Join Date]])</f>
        <v>2021</v>
      </c>
      <c r="E1380" s="6">
        <v>44755</v>
      </c>
      <c r="F1380">
        <f>IFERROR(YEAR(Table1[[#This Row],[Exit Date]]), " ")</f>
        <v>2022</v>
      </c>
      <c r="G1380">
        <f>IFERROR((Table1[[#This Row],[Exit Year]]-Table1[[#This Row],[Join Year]])+1," ")</f>
        <v>2</v>
      </c>
      <c r="H1380" t="s">
        <v>38</v>
      </c>
      <c r="I1380" t="s">
        <v>23</v>
      </c>
      <c r="J1380" t="s">
        <v>12</v>
      </c>
      <c r="K1380">
        <v>46</v>
      </c>
      <c r="L1380" t="str">
        <f>IF(Table1[[#This Row],[Age]]&lt;30,"20-29",
IF(Table1[[#This Row],[Age]]&lt;40,"30-39",
IF(Table1[[#This Row],[Age]]&lt;50,"40-49",
IF(Table1[[#This Row],[Age]]&lt;60,"50-59","60+"))))</f>
        <v>40-49</v>
      </c>
      <c r="M1380" t="s">
        <v>13</v>
      </c>
      <c r="N1380" t="s">
        <v>25</v>
      </c>
    </row>
    <row r="1381" spans="1:14" x14ac:dyDescent="0.35">
      <c r="A1381">
        <v>1480</v>
      </c>
      <c r="B1381" t="s">
        <v>26</v>
      </c>
      <c r="C1381" s="6">
        <v>43419</v>
      </c>
      <c r="D1381">
        <f>YEAR(Table1[[#This Row],[Join Date]])</f>
        <v>2018</v>
      </c>
      <c r="E1381" s="6">
        <v>44303</v>
      </c>
      <c r="F1381">
        <f>IFERROR(YEAR(Table1[[#This Row],[Exit Date]]), " ")</f>
        <v>2021</v>
      </c>
      <c r="G1381">
        <f>IFERROR((Table1[[#This Row],[Exit Year]]-Table1[[#This Row],[Join Year]])+1," ")</f>
        <v>4</v>
      </c>
      <c r="H1381" t="s">
        <v>22</v>
      </c>
      <c r="I1381" t="s">
        <v>23</v>
      </c>
      <c r="J1381" t="s">
        <v>18</v>
      </c>
      <c r="K1381">
        <v>53</v>
      </c>
      <c r="L1381" t="str">
        <f>IF(Table1[[#This Row],[Age]]&lt;30,"20-29",
IF(Table1[[#This Row],[Age]]&lt;40,"30-39",
IF(Table1[[#This Row],[Age]]&lt;50,"40-49",
IF(Table1[[#This Row],[Age]]&lt;60,"50-59","60+"))))</f>
        <v>50-59</v>
      </c>
      <c r="M1381" t="s">
        <v>16</v>
      </c>
      <c r="N1381" t="s">
        <v>35</v>
      </c>
    </row>
    <row r="1382" spans="1:14" x14ac:dyDescent="0.35">
      <c r="A1382">
        <v>1481</v>
      </c>
      <c r="B1382" t="s">
        <v>36</v>
      </c>
      <c r="C1382" s="6">
        <v>44249</v>
      </c>
      <c r="D1382">
        <f>YEAR(Table1[[#This Row],[Join Date]])</f>
        <v>2021</v>
      </c>
      <c r="E1382" s="6" t="s">
        <v>48</v>
      </c>
      <c r="F1382" t="str">
        <f>IFERROR(YEAR(Table1[[#This Row],[Exit Date]]), " ")</f>
        <v xml:space="preserve"> </v>
      </c>
      <c r="G1382" t="str">
        <f>IFERROR((Table1[[#This Row],[Exit Year]]-Table1[[#This Row],[Join Year]])+1," ")</f>
        <v xml:space="preserve"> </v>
      </c>
      <c r="H1382" t="s">
        <v>48</v>
      </c>
      <c r="I1382" t="s">
        <v>11</v>
      </c>
      <c r="J1382" t="s">
        <v>18</v>
      </c>
      <c r="K1382">
        <v>35</v>
      </c>
      <c r="L1382" t="str">
        <f>IF(Table1[[#This Row],[Age]]&lt;30,"20-29",
IF(Table1[[#This Row],[Age]]&lt;40,"30-39",
IF(Table1[[#This Row],[Age]]&lt;50,"40-49",
IF(Table1[[#This Row],[Age]]&lt;60,"50-59","60+"))))</f>
        <v>30-39</v>
      </c>
      <c r="M1382" t="s">
        <v>16</v>
      </c>
      <c r="N1382" t="s">
        <v>14</v>
      </c>
    </row>
    <row r="1383" spans="1:14" x14ac:dyDescent="0.35">
      <c r="A1383">
        <v>1482</v>
      </c>
      <c r="B1383" t="s">
        <v>10</v>
      </c>
      <c r="C1383" s="6">
        <v>45533</v>
      </c>
      <c r="D1383">
        <f>YEAR(Table1[[#This Row],[Join Date]])</f>
        <v>2024</v>
      </c>
      <c r="E1383" s="6" t="s">
        <v>48</v>
      </c>
      <c r="F1383" t="str">
        <f>IFERROR(YEAR(Table1[[#This Row],[Exit Date]]), " ")</f>
        <v xml:space="preserve"> </v>
      </c>
      <c r="G1383" t="str">
        <f>IFERROR((Table1[[#This Row],[Exit Year]]-Table1[[#This Row],[Join Year]])+1," ")</f>
        <v xml:space="preserve"> </v>
      </c>
      <c r="H1383" t="s">
        <v>48</v>
      </c>
      <c r="I1383" t="s">
        <v>11</v>
      </c>
      <c r="J1383" t="s">
        <v>12</v>
      </c>
      <c r="K1383">
        <v>32</v>
      </c>
      <c r="L1383" t="str">
        <f>IF(Table1[[#This Row],[Age]]&lt;30,"20-29",
IF(Table1[[#This Row],[Age]]&lt;40,"30-39",
IF(Table1[[#This Row],[Age]]&lt;50,"40-49",
IF(Table1[[#This Row],[Age]]&lt;60,"50-59","60+"))))</f>
        <v>30-39</v>
      </c>
      <c r="M1383" t="s">
        <v>20</v>
      </c>
      <c r="N1383" t="s">
        <v>17</v>
      </c>
    </row>
    <row r="1384" spans="1:14" x14ac:dyDescent="0.35">
      <c r="A1384">
        <v>1483</v>
      </c>
      <c r="B1384" t="s">
        <v>36</v>
      </c>
      <c r="C1384" s="6">
        <v>44377</v>
      </c>
      <c r="D1384">
        <f>YEAR(Table1[[#This Row],[Join Date]])</f>
        <v>2021</v>
      </c>
      <c r="E1384" s="6" t="s">
        <v>48</v>
      </c>
      <c r="F1384" t="str">
        <f>IFERROR(YEAR(Table1[[#This Row],[Exit Date]]), " ")</f>
        <v xml:space="preserve"> </v>
      </c>
      <c r="G1384" t="str">
        <f>IFERROR((Table1[[#This Row],[Exit Year]]-Table1[[#This Row],[Join Year]])+1," ")</f>
        <v xml:space="preserve"> </v>
      </c>
      <c r="H1384" t="s">
        <v>48</v>
      </c>
      <c r="I1384" t="s">
        <v>11</v>
      </c>
      <c r="J1384" t="s">
        <v>18</v>
      </c>
      <c r="K1384">
        <v>46</v>
      </c>
      <c r="L1384" t="str">
        <f>IF(Table1[[#This Row],[Age]]&lt;30,"20-29",
IF(Table1[[#This Row],[Age]]&lt;40,"30-39",
IF(Table1[[#This Row],[Age]]&lt;50,"40-49",
IF(Table1[[#This Row],[Age]]&lt;60,"50-59","60+"))))</f>
        <v>40-49</v>
      </c>
      <c r="M1384" t="s">
        <v>24</v>
      </c>
      <c r="N1384" t="s">
        <v>19</v>
      </c>
    </row>
    <row r="1385" spans="1:14" x14ac:dyDescent="0.35">
      <c r="A1385">
        <v>1484</v>
      </c>
      <c r="B1385" t="s">
        <v>10</v>
      </c>
      <c r="C1385" s="6">
        <v>44088</v>
      </c>
      <c r="D1385">
        <f>YEAR(Table1[[#This Row],[Join Date]])</f>
        <v>2020</v>
      </c>
      <c r="E1385" s="6" t="s">
        <v>48</v>
      </c>
      <c r="F1385" t="str">
        <f>IFERROR(YEAR(Table1[[#This Row],[Exit Date]]), " ")</f>
        <v xml:space="preserve"> </v>
      </c>
      <c r="G1385" t="str">
        <f>IFERROR((Table1[[#This Row],[Exit Year]]-Table1[[#This Row],[Join Year]])+1," ")</f>
        <v xml:space="preserve"> </v>
      </c>
      <c r="H1385" t="s">
        <v>48</v>
      </c>
      <c r="I1385" t="s">
        <v>11</v>
      </c>
      <c r="J1385" t="s">
        <v>18</v>
      </c>
      <c r="K1385">
        <v>50</v>
      </c>
      <c r="L1385" t="str">
        <f>IF(Table1[[#This Row],[Age]]&lt;30,"20-29",
IF(Table1[[#This Row],[Age]]&lt;40,"30-39",
IF(Table1[[#This Row],[Age]]&lt;50,"40-49",
IF(Table1[[#This Row],[Age]]&lt;60,"50-59","60+"))))</f>
        <v>50-59</v>
      </c>
      <c r="M1385" t="s">
        <v>13</v>
      </c>
      <c r="N1385" t="s">
        <v>21</v>
      </c>
    </row>
    <row r="1386" spans="1:14" x14ac:dyDescent="0.35">
      <c r="A1386">
        <v>1485</v>
      </c>
      <c r="B1386" t="s">
        <v>26</v>
      </c>
      <c r="C1386" s="6">
        <v>43373</v>
      </c>
      <c r="D1386">
        <f>YEAR(Table1[[#This Row],[Join Date]])</f>
        <v>2018</v>
      </c>
      <c r="E1386" s="6">
        <v>44825</v>
      </c>
      <c r="F1386">
        <f>IFERROR(YEAR(Table1[[#This Row],[Exit Date]]), " ")</f>
        <v>2022</v>
      </c>
      <c r="G1386">
        <f>IFERROR((Table1[[#This Row],[Exit Year]]-Table1[[#This Row],[Join Year]])+1," ")</f>
        <v>5</v>
      </c>
      <c r="H1386" t="s">
        <v>27</v>
      </c>
      <c r="I1386" t="s">
        <v>23</v>
      </c>
      <c r="J1386" t="s">
        <v>12</v>
      </c>
      <c r="K1386">
        <v>62</v>
      </c>
      <c r="L1386" t="str">
        <f>IF(Table1[[#This Row],[Age]]&lt;30,"20-29",
IF(Table1[[#This Row],[Age]]&lt;40,"30-39",
IF(Table1[[#This Row],[Age]]&lt;50,"40-49",
IF(Table1[[#This Row],[Age]]&lt;60,"50-59","60+"))))</f>
        <v>60+</v>
      </c>
      <c r="M1386" t="s">
        <v>42</v>
      </c>
      <c r="N1386" t="s">
        <v>25</v>
      </c>
    </row>
    <row r="1387" spans="1:14" x14ac:dyDescent="0.35">
      <c r="A1387">
        <v>1486</v>
      </c>
      <c r="B1387" t="s">
        <v>26</v>
      </c>
      <c r="C1387" s="6">
        <v>43314</v>
      </c>
      <c r="D1387">
        <f>YEAR(Table1[[#This Row],[Join Date]])</f>
        <v>2018</v>
      </c>
      <c r="E1387" s="6" t="s">
        <v>48</v>
      </c>
      <c r="F1387" t="str">
        <f>IFERROR(YEAR(Table1[[#This Row],[Exit Date]]), " ")</f>
        <v xml:space="preserve"> </v>
      </c>
      <c r="G1387" t="str">
        <f>IFERROR((Table1[[#This Row],[Exit Year]]-Table1[[#This Row],[Join Year]])+1," ")</f>
        <v xml:space="preserve"> </v>
      </c>
      <c r="H1387" t="s">
        <v>48</v>
      </c>
      <c r="I1387" t="s">
        <v>11</v>
      </c>
      <c r="J1387" t="s">
        <v>18</v>
      </c>
      <c r="K1387">
        <v>29</v>
      </c>
      <c r="L1387" t="str">
        <f>IF(Table1[[#This Row],[Age]]&lt;30,"20-29",
IF(Table1[[#This Row],[Age]]&lt;40,"30-39",
IF(Table1[[#This Row],[Age]]&lt;50,"40-49",
IF(Table1[[#This Row],[Age]]&lt;60,"50-59","60+"))))</f>
        <v>20-29</v>
      </c>
      <c r="M1387" t="s">
        <v>13</v>
      </c>
      <c r="N1387" t="s">
        <v>28</v>
      </c>
    </row>
    <row r="1388" spans="1:14" x14ac:dyDescent="0.35">
      <c r="A1388">
        <v>1487</v>
      </c>
      <c r="B1388" t="s">
        <v>26</v>
      </c>
      <c r="C1388" s="6">
        <v>44418</v>
      </c>
      <c r="D1388">
        <f>YEAR(Table1[[#This Row],[Join Date]])</f>
        <v>2021</v>
      </c>
      <c r="E1388" s="6">
        <v>45628</v>
      </c>
      <c r="F1388">
        <f>IFERROR(YEAR(Table1[[#This Row],[Exit Date]]), " ")</f>
        <v>2024</v>
      </c>
      <c r="G1388">
        <f>IFERROR((Table1[[#This Row],[Exit Year]]-Table1[[#This Row],[Join Year]])+1," ")</f>
        <v>4</v>
      </c>
      <c r="H1388" t="s">
        <v>22</v>
      </c>
      <c r="I1388" t="s">
        <v>23</v>
      </c>
      <c r="J1388" t="s">
        <v>18</v>
      </c>
      <c r="K1388">
        <v>27</v>
      </c>
      <c r="L1388" t="str">
        <f>IF(Table1[[#This Row],[Age]]&lt;30,"20-29",
IF(Table1[[#This Row],[Age]]&lt;40,"30-39",
IF(Table1[[#This Row],[Age]]&lt;50,"40-49",
IF(Table1[[#This Row],[Age]]&lt;60,"50-59","60+"))))</f>
        <v>20-29</v>
      </c>
      <c r="M1388" t="s">
        <v>13</v>
      </c>
      <c r="N1388" t="s">
        <v>31</v>
      </c>
    </row>
    <row r="1389" spans="1:14" x14ac:dyDescent="0.35">
      <c r="A1389">
        <v>1488</v>
      </c>
      <c r="B1389" t="s">
        <v>34</v>
      </c>
      <c r="C1389" s="6">
        <v>44324</v>
      </c>
      <c r="D1389">
        <f>YEAR(Table1[[#This Row],[Join Date]])</f>
        <v>2021</v>
      </c>
      <c r="E1389" s="6">
        <v>45076</v>
      </c>
      <c r="F1389">
        <f>IFERROR(YEAR(Table1[[#This Row],[Exit Date]]), " ")</f>
        <v>2023</v>
      </c>
      <c r="G1389">
        <f>IFERROR((Table1[[#This Row],[Exit Year]]-Table1[[#This Row],[Join Year]])+1," ")</f>
        <v>3</v>
      </c>
      <c r="H1389" t="s">
        <v>40</v>
      </c>
      <c r="I1389" t="s">
        <v>23</v>
      </c>
      <c r="J1389" t="s">
        <v>18</v>
      </c>
      <c r="K1389">
        <v>31</v>
      </c>
      <c r="L1389" t="str">
        <f>IF(Table1[[#This Row],[Age]]&lt;30,"20-29",
IF(Table1[[#This Row],[Age]]&lt;40,"30-39",
IF(Table1[[#This Row],[Age]]&lt;50,"40-49",
IF(Table1[[#This Row],[Age]]&lt;60,"50-59","60+"))))</f>
        <v>30-39</v>
      </c>
      <c r="M1389" t="s">
        <v>16</v>
      </c>
      <c r="N1389" t="s">
        <v>32</v>
      </c>
    </row>
    <row r="1390" spans="1:14" x14ac:dyDescent="0.35">
      <c r="A1390">
        <v>1489</v>
      </c>
      <c r="B1390" t="s">
        <v>10</v>
      </c>
      <c r="C1390" s="6">
        <v>43513</v>
      </c>
      <c r="D1390">
        <f>YEAR(Table1[[#This Row],[Join Date]])</f>
        <v>2019</v>
      </c>
      <c r="E1390" s="6">
        <v>44923</v>
      </c>
      <c r="F1390">
        <f>IFERROR(YEAR(Table1[[#This Row],[Exit Date]]), " ")</f>
        <v>2022</v>
      </c>
      <c r="G1390">
        <f>IFERROR((Table1[[#This Row],[Exit Year]]-Table1[[#This Row],[Join Year]])+1," ")</f>
        <v>4</v>
      </c>
      <c r="H1390" t="s">
        <v>38</v>
      </c>
      <c r="I1390" t="s">
        <v>23</v>
      </c>
      <c r="J1390" t="s">
        <v>12</v>
      </c>
      <c r="K1390">
        <v>24</v>
      </c>
      <c r="L1390" t="str">
        <f>IF(Table1[[#This Row],[Age]]&lt;30,"20-29",
IF(Table1[[#This Row],[Age]]&lt;40,"30-39",
IF(Table1[[#This Row],[Age]]&lt;50,"40-49",
IF(Table1[[#This Row],[Age]]&lt;60,"50-59","60+"))))</f>
        <v>20-29</v>
      </c>
      <c r="M1390" t="s">
        <v>13</v>
      </c>
      <c r="N1390" t="s">
        <v>33</v>
      </c>
    </row>
    <row r="1391" spans="1:14" x14ac:dyDescent="0.35">
      <c r="A1391">
        <v>1490</v>
      </c>
      <c r="B1391" t="s">
        <v>36</v>
      </c>
      <c r="C1391" s="6">
        <v>44180</v>
      </c>
      <c r="D1391">
        <f>YEAR(Table1[[#This Row],[Join Date]])</f>
        <v>2020</v>
      </c>
      <c r="E1391" s="6" t="s">
        <v>48</v>
      </c>
      <c r="F1391" t="str">
        <f>IFERROR(YEAR(Table1[[#This Row],[Exit Date]]), " ")</f>
        <v xml:space="preserve"> </v>
      </c>
      <c r="G1391" t="str">
        <f>IFERROR((Table1[[#This Row],[Exit Year]]-Table1[[#This Row],[Join Year]])+1," ")</f>
        <v xml:space="preserve"> </v>
      </c>
      <c r="H1391" t="s">
        <v>48</v>
      </c>
      <c r="I1391" t="s">
        <v>11</v>
      </c>
      <c r="J1391" t="s">
        <v>18</v>
      </c>
      <c r="K1391">
        <v>37</v>
      </c>
      <c r="L1391" t="str">
        <f>IF(Table1[[#This Row],[Age]]&lt;30,"20-29",
IF(Table1[[#This Row],[Age]]&lt;40,"30-39",
IF(Table1[[#This Row],[Age]]&lt;50,"40-49",
IF(Table1[[#This Row],[Age]]&lt;60,"50-59","60+"))))</f>
        <v>30-39</v>
      </c>
      <c r="M1391" t="s">
        <v>20</v>
      </c>
      <c r="N1391" t="s">
        <v>35</v>
      </c>
    </row>
    <row r="1392" spans="1:14" x14ac:dyDescent="0.35">
      <c r="A1392">
        <v>1491</v>
      </c>
      <c r="B1392" t="s">
        <v>34</v>
      </c>
      <c r="C1392" s="6">
        <v>44099</v>
      </c>
      <c r="D1392">
        <f>YEAR(Table1[[#This Row],[Join Date]])</f>
        <v>2020</v>
      </c>
      <c r="E1392" s="6" t="s">
        <v>48</v>
      </c>
      <c r="F1392" t="str">
        <f>IFERROR(YEAR(Table1[[#This Row],[Exit Date]]), " ")</f>
        <v xml:space="preserve"> </v>
      </c>
      <c r="G1392" t="str">
        <f>IFERROR((Table1[[#This Row],[Exit Year]]-Table1[[#This Row],[Join Year]])+1," ")</f>
        <v xml:space="preserve"> </v>
      </c>
      <c r="H1392" t="s">
        <v>48</v>
      </c>
      <c r="I1392" t="s">
        <v>11</v>
      </c>
      <c r="J1392" t="s">
        <v>12</v>
      </c>
      <c r="K1392">
        <v>23</v>
      </c>
      <c r="L1392" t="str">
        <f>IF(Table1[[#This Row],[Age]]&lt;30,"20-29",
IF(Table1[[#This Row],[Age]]&lt;40,"30-39",
IF(Table1[[#This Row],[Age]]&lt;50,"40-49",
IF(Table1[[#This Row],[Age]]&lt;60,"50-59","60+"))))</f>
        <v>20-29</v>
      </c>
      <c r="M1392" t="s">
        <v>44</v>
      </c>
      <c r="N1392" t="s">
        <v>37</v>
      </c>
    </row>
    <row r="1393" spans="1:14" x14ac:dyDescent="0.35">
      <c r="A1393">
        <v>1492</v>
      </c>
      <c r="B1393" t="s">
        <v>34</v>
      </c>
      <c r="C1393" s="6">
        <v>45632</v>
      </c>
      <c r="D1393">
        <f>YEAR(Table1[[#This Row],[Join Date]])</f>
        <v>2024</v>
      </c>
      <c r="E1393" s="6" t="s">
        <v>48</v>
      </c>
      <c r="F1393" t="str">
        <f>IFERROR(YEAR(Table1[[#This Row],[Exit Date]]), " ")</f>
        <v xml:space="preserve"> </v>
      </c>
      <c r="G1393" t="str">
        <f>IFERROR((Table1[[#This Row],[Exit Year]]-Table1[[#This Row],[Join Year]])+1," ")</f>
        <v xml:space="preserve"> </v>
      </c>
      <c r="H1393" t="s">
        <v>48</v>
      </c>
      <c r="I1393" t="s">
        <v>11</v>
      </c>
      <c r="J1393" t="s">
        <v>12</v>
      </c>
      <c r="K1393">
        <v>31</v>
      </c>
      <c r="L1393" t="str">
        <f>IF(Table1[[#This Row],[Age]]&lt;30,"20-29",
IF(Table1[[#This Row],[Age]]&lt;40,"30-39",
IF(Table1[[#This Row],[Age]]&lt;50,"40-49",
IF(Table1[[#This Row],[Age]]&lt;60,"50-59","60+"))))</f>
        <v>30-39</v>
      </c>
      <c r="M1393" t="s">
        <v>13</v>
      </c>
      <c r="N1393" t="s">
        <v>19</v>
      </c>
    </row>
    <row r="1394" spans="1:14" x14ac:dyDescent="0.35">
      <c r="A1394">
        <v>1493</v>
      </c>
      <c r="B1394" t="s">
        <v>36</v>
      </c>
      <c r="C1394" s="6">
        <v>45294</v>
      </c>
      <c r="D1394">
        <f>YEAR(Table1[[#This Row],[Join Date]])</f>
        <v>2024</v>
      </c>
      <c r="E1394" s="6" t="s">
        <v>48</v>
      </c>
      <c r="F1394" t="str">
        <f>IFERROR(YEAR(Table1[[#This Row],[Exit Date]]), " ")</f>
        <v xml:space="preserve"> </v>
      </c>
      <c r="G1394" t="str">
        <f>IFERROR((Table1[[#This Row],[Exit Year]]-Table1[[#This Row],[Join Year]])+1," ")</f>
        <v xml:space="preserve"> </v>
      </c>
      <c r="H1394" t="s">
        <v>48</v>
      </c>
      <c r="I1394" t="s">
        <v>11</v>
      </c>
      <c r="J1394" t="s">
        <v>12</v>
      </c>
      <c r="K1394">
        <v>52</v>
      </c>
      <c r="L1394" t="str">
        <f>IF(Table1[[#This Row],[Age]]&lt;30,"20-29",
IF(Table1[[#This Row],[Age]]&lt;40,"30-39",
IF(Table1[[#This Row],[Age]]&lt;50,"40-49",
IF(Table1[[#This Row],[Age]]&lt;60,"50-59","60+"))))</f>
        <v>50-59</v>
      </c>
      <c r="M1394" t="s">
        <v>16</v>
      </c>
      <c r="N1394" t="s">
        <v>25</v>
      </c>
    </row>
    <row r="1395" spans="1:14" x14ac:dyDescent="0.35">
      <c r="A1395">
        <v>1494</v>
      </c>
      <c r="B1395" t="s">
        <v>26</v>
      </c>
      <c r="C1395" s="6">
        <v>44590</v>
      </c>
      <c r="D1395">
        <f>YEAR(Table1[[#This Row],[Join Date]])</f>
        <v>2022</v>
      </c>
      <c r="E1395" s="6" t="s">
        <v>48</v>
      </c>
      <c r="F1395" t="str">
        <f>IFERROR(YEAR(Table1[[#This Row],[Exit Date]]), " ")</f>
        <v xml:space="preserve"> </v>
      </c>
      <c r="G1395" t="str">
        <f>IFERROR((Table1[[#This Row],[Exit Year]]-Table1[[#This Row],[Join Year]])+1," ")</f>
        <v xml:space="preserve"> </v>
      </c>
      <c r="H1395" t="s">
        <v>48</v>
      </c>
      <c r="I1395" t="s">
        <v>11</v>
      </c>
      <c r="J1395" t="s">
        <v>18</v>
      </c>
      <c r="K1395">
        <v>25</v>
      </c>
      <c r="L1395" t="str">
        <f>IF(Table1[[#This Row],[Age]]&lt;30,"20-29",
IF(Table1[[#This Row],[Age]]&lt;40,"30-39",
IF(Table1[[#This Row],[Age]]&lt;50,"40-49",
IF(Table1[[#This Row],[Age]]&lt;60,"50-59","60+"))))</f>
        <v>20-29</v>
      </c>
      <c r="M1395" t="s">
        <v>16</v>
      </c>
      <c r="N1395" t="s">
        <v>35</v>
      </c>
    </row>
    <row r="1396" spans="1:14" x14ac:dyDescent="0.35">
      <c r="A1396">
        <v>1495</v>
      </c>
      <c r="B1396" t="s">
        <v>15</v>
      </c>
      <c r="C1396" s="6">
        <v>45215</v>
      </c>
      <c r="D1396">
        <f>YEAR(Table1[[#This Row],[Join Date]])</f>
        <v>2023</v>
      </c>
      <c r="E1396" s="6" t="s">
        <v>48</v>
      </c>
      <c r="F1396" t="str">
        <f>IFERROR(YEAR(Table1[[#This Row],[Exit Date]]), " ")</f>
        <v xml:space="preserve"> </v>
      </c>
      <c r="G1396" t="str">
        <f>IFERROR((Table1[[#This Row],[Exit Year]]-Table1[[#This Row],[Join Year]])+1," ")</f>
        <v xml:space="preserve"> </v>
      </c>
      <c r="H1396" t="s">
        <v>48</v>
      </c>
      <c r="I1396" t="s">
        <v>11</v>
      </c>
      <c r="J1396" t="s">
        <v>12</v>
      </c>
      <c r="K1396">
        <v>46</v>
      </c>
      <c r="L1396" t="str">
        <f>IF(Table1[[#This Row],[Age]]&lt;30,"20-29",
IF(Table1[[#This Row],[Age]]&lt;40,"30-39",
IF(Table1[[#This Row],[Age]]&lt;50,"40-49",
IF(Table1[[#This Row],[Age]]&lt;60,"50-59","60+"))))</f>
        <v>40-49</v>
      </c>
      <c r="M1396" t="s">
        <v>20</v>
      </c>
      <c r="N1396" t="s">
        <v>17</v>
      </c>
    </row>
    <row r="1397" spans="1:14" x14ac:dyDescent="0.35">
      <c r="A1397">
        <v>1496</v>
      </c>
      <c r="B1397" t="s">
        <v>15</v>
      </c>
      <c r="C1397" s="6">
        <v>43624</v>
      </c>
      <c r="D1397">
        <f>YEAR(Table1[[#This Row],[Join Date]])</f>
        <v>2019</v>
      </c>
      <c r="E1397" s="6">
        <v>44228</v>
      </c>
      <c r="F1397">
        <f>IFERROR(YEAR(Table1[[#This Row],[Exit Date]]), " ")</f>
        <v>2021</v>
      </c>
      <c r="G1397">
        <f>IFERROR((Table1[[#This Row],[Exit Year]]-Table1[[#This Row],[Join Year]])+1," ")</f>
        <v>3</v>
      </c>
      <c r="H1397" t="s">
        <v>41</v>
      </c>
      <c r="I1397" t="s">
        <v>23</v>
      </c>
      <c r="J1397" t="s">
        <v>18</v>
      </c>
      <c r="K1397">
        <v>24</v>
      </c>
      <c r="L1397" t="str">
        <f>IF(Table1[[#This Row],[Age]]&lt;30,"20-29",
IF(Table1[[#This Row],[Age]]&lt;40,"30-39",
IF(Table1[[#This Row],[Age]]&lt;50,"40-49",
IF(Table1[[#This Row],[Age]]&lt;60,"50-59","60+"))))</f>
        <v>20-29</v>
      </c>
      <c r="M1397" t="s">
        <v>24</v>
      </c>
      <c r="N1397" t="s">
        <v>19</v>
      </c>
    </row>
    <row r="1398" spans="1:14" x14ac:dyDescent="0.35">
      <c r="A1398">
        <v>1497</v>
      </c>
      <c r="B1398" t="s">
        <v>15</v>
      </c>
      <c r="C1398" s="6">
        <v>44514</v>
      </c>
      <c r="D1398">
        <f>YEAR(Table1[[#This Row],[Join Date]])</f>
        <v>2021</v>
      </c>
      <c r="E1398" s="6">
        <v>45529</v>
      </c>
      <c r="F1398">
        <f>IFERROR(YEAR(Table1[[#This Row],[Exit Date]]), " ")</f>
        <v>2024</v>
      </c>
      <c r="G1398">
        <f>IFERROR((Table1[[#This Row],[Exit Year]]-Table1[[#This Row],[Join Year]])+1," ")</f>
        <v>4</v>
      </c>
      <c r="H1398" t="s">
        <v>41</v>
      </c>
      <c r="I1398" t="s">
        <v>23</v>
      </c>
      <c r="J1398" t="s">
        <v>12</v>
      </c>
      <c r="K1398">
        <v>38</v>
      </c>
      <c r="L1398" t="str">
        <f>IF(Table1[[#This Row],[Age]]&lt;30,"20-29",
IF(Table1[[#This Row],[Age]]&lt;40,"30-39",
IF(Table1[[#This Row],[Age]]&lt;50,"40-49",
IF(Table1[[#This Row],[Age]]&lt;60,"50-59","60+"))))</f>
        <v>30-39</v>
      </c>
      <c r="M1398" t="s">
        <v>13</v>
      </c>
      <c r="N1398" t="s">
        <v>21</v>
      </c>
    </row>
    <row r="1399" spans="1:14" x14ac:dyDescent="0.35">
      <c r="A1399">
        <v>1498</v>
      </c>
      <c r="B1399" t="s">
        <v>29</v>
      </c>
      <c r="C1399" s="6">
        <v>43700</v>
      </c>
      <c r="D1399">
        <f>YEAR(Table1[[#This Row],[Join Date]])</f>
        <v>2019</v>
      </c>
      <c r="E1399" s="6" t="s">
        <v>48</v>
      </c>
      <c r="F1399" t="str">
        <f>IFERROR(YEAR(Table1[[#This Row],[Exit Date]]), " ")</f>
        <v xml:space="preserve"> </v>
      </c>
      <c r="G1399" t="str">
        <f>IFERROR((Table1[[#This Row],[Exit Year]]-Table1[[#This Row],[Join Year]])+1," ")</f>
        <v xml:space="preserve"> </v>
      </c>
      <c r="H1399" t="s">
        <v>48</v>
      </c>
      <c r="I1399" t="s">
        <v>11</v>
      </c>
      <c r="J1399" t="s">
        <v>18</v>
      </c>
      <c r="K1399">
        <v>49</v>
      </c>
      <c r="L1399" t="str">
        <f>IF(Table1[[#This Row],[Age]]&lt;30,"20-29",
IF(Table1[[#This Row],[Age]]&lt;40,"30-39",
IF(Table1[[#This Row],[Age]]&lt;50,"40-49",
IF(Table1[[#This Row],[Age]]&lt;60,"50-59","60+"))))</f>
        <v>40-49</v>
      </c>
      <c r="M1399" t="s">
        <v>42</v>
      </c>
      <c r="N1399" t="s">
        <v>25</v>
      </c>
    </row>
    <row r="1400" spans="1:14" x14ac:dyDescent="0.35">
      <c r="A1400">
        <v>1499</v>
      </c>
      <c r="B1400" t="s">
        <v>34</v>
      </c>
      <c r="C1400" s="6">
        <v>45540</v>
      </c>
      <c r="D1400">
        <f>YEAR(Table1[[#This Row],[Join Date]])</f>
        <v>2024</v>
      </c>
      <c r="E1400" s="6" t="s">
        <v>48</v>
      </c>
      <c r="F1400" t="str">
        <f>IFERROR(YEAR(Table1[[#This Row],[Exit Date]]), " ")</f>
        <v xml:space="preserve"> </v>
      </c>
      <c r="G1400" t="str">
        <f>IFERROR((Table1[[#This Row],[Exit Year]]-Table1[[#This Row],[Join Year]])+1," ")</f>
        <v xml:space="preserve"> </v>
      </c>
      <c r="H1400" t="s">
        <v>48</v>
      </c>
      <c r="I1400" t="s">
        <v>11</v>
      </c>
      <c r="J1400" t="s">
        <v>18</v>
      </c>
      <c r="K1400">
        <v>31</v>
      </c>
      <c r="L1400" t="str">
        <f>IF(Table1[[#This Row],[Age]]&lt;30,"20-29",
IF(Table1[[#This Row],[Age]]&lt;40,"30-39",
IF(Table1[[#This Row],[Age]]&lt;50,"40-49",
IF(Table1[[#This Row],[Age]]&lt;60,"50-59","60+"))))</f>
        <v>30-39</v>
      </c>
      <c r="M1400" t="s">
        <v>13</v>
      </c>
      <c r="N1400" t="s">
        <v>35</v>
      </c>
    </row>
    <row r="1401" spans="1:14" x14ac:dyDescent="0.35">
      <c r="A1401">
        <v>1500</v>
      </c>
      <c r="B1401" t="s">
        <v>10</v>
      </c>
      <c r="C1401" s="6">
        <v>43297</v>
      </c>
      <c r="D1401">
        <f>YEAR(Table1[[#This Row],[Join Date]])</f>
        <v>2018</v>
      </c>
      <c r="E1401" s="6">
        <v>44682</v>
      </c>
      <c r="F1401">
        <f>IFERROR(YEAR(Table1[[#This Row],[Exit Date]]), " ")</f>
        <v>2022</v>
      </c>
      <c r="G1401">
        <f>IFERROR((Table1[[#This Row],[Exit Year]]-Table1[[#This Row],[Join Year]])+1," ")</f>
        <v>5</v>
      </c>
      <c r="H1401" t="s">
        <v>40</v>
      </c>
      <c r="I1401" t="s">
        <v>23</v>
      </c>
      <c r="J1401" t="s">
        <v>12</v>
      </c>
      <c r="K1401">
        <v>51</v>
      </c>
      <c r="L1401" t="str">
        <f>IF(Table1[[#This Row],[Age]]&lt;30,"20-29",
IF(Table1[[#This Row],[Age]]&lt;40,"30-39",
IF(Table1[[#This Row],[Age]]&lt;50,"40-49",
IF(Table1[[#This Row],[Age]]&lt;60,"50-59","60+"))))</f>
        <v>50-59</v>
      </c>
      <c r="M1401" t="s">
        <v>13</v>
      </c>
      <c r="N1401" t="s">
        <v>14</v>
      </c>
    </row>
    <row r="1402" spans="1:14" x14ac:dyDescent="0.35">
      <c r="A1402">
        <v>1501</v>
      </c>
      <c r="B1402" t="s">
        <v>10</v>
      </c>
      <c r="C1402" s="6">
        <v>43407</v>
      </c>
      <c r="D1402">
        <f>YEAR(Table1[[#This Row],[Join Date]])</f>
        <v>2018</v>
      </c>
      <c r="E1402" s="6" t="s">
        <v>48</v>
      </c>
      <c r="F1402" t="str">
        <f>IFERROR(YEAR(Table1[[#This Row],[Exit Date]]), " ")</f>
        <v xml:space="preserve"> </v>
      </c>
      <c r="G1402" t="str">
        <f>IFERROR((Table1[[#This Row],[Exit Year]]-Table1[[#This Row],[Join Year]])+1," ")</f>
        <v xml:space="preserve"> </v>
      </c>
      <c r="H1402" t="s">
        <v>48</v>
      </c>
      <c r="I1402" t="s">
        <v>11</v>
      </c>
      <c r="J1402" t="s">
        <v>18</v>
      </c>
      <c r="K1402">
        <v>27</v>
      </c>
      <c r="L1402" t="str">
        <f>IF(Table1[[#This Row],[Age]]&lt;30,"20-29",
IF(Table1[[#This Row],[Age]]&lt;40,"30-39",
IF(Table1[[#This Row],[Age]]&lt;50,"40-49",
IF(Table1[[#This Row],[Age]]&lt;60,"50-59","60+"))))</f>
        <v>20-29</v>
      </c>
      <c r="M1402" t="s">
        <v>16</v>
      </c>
      <c r="N1402" t="s">
        <v>19</v>
      </c>
    </row>
    <row r="1403" spans="1:14" x14ac:dyDescent="0.35">
      <c r="A1403">
        <v>1502</v>
      </c>
      <c r="B1403" t="s">
        <v>15</v>
      </c>
      <c r="C1403" s="6">
        <v>44121</v>
      </c>
      <c r="D1403">
        <f>YEAR(Table1[[#This Row],[Join Date]])</f>
        <v>2020</v>
      </c>
      <c r="E1403" s="6" t="s">
        <v>48</v>
      </c>
      <c r="F1403" t="str">
        <f>IFERROR(YEAR(Table1[[#This Row],[Exit Date]]), " ")</f>
        <v xml:space="preserve"> </v>
      </c>
      <c r="G1403" t="str">
        <f>IFERROR((Table1[[#This Row],[Exit Year]]-Table1[[#This Row],[Join Year]])+1," ")</f>
        <v xml:space="preserve"> </v>
      </c>
      <c r="H1403" t="s">
        <v>48</v>
      </c>
      <c r="I1403" t="s">
        <v>11</v>
      </c>
      <c r="J1403" t="s">
        <v>18</v>
      </c>
      <c r="K1403">
        <v>22</v>
      </c>
      <c r="L1403" t="str">
        <f>IF(Table1[[#This Row],[Age]]&lt;30,"20-29",
IF(Table1[[#This Row],[Age]]&lt;40,"30-39",
IF(Table1[[#This Row],[Age]]&lt;50,"40-49",
IF(Table1[[#This Row],[Age]]&lt;60,"50-59","60+"))))</f>
        <v>20-29</v>
      </c>
      <c r="M1403" t="s">
        <v>13</v>
      </c>
      <c r="N1403" t="s">
        <v>21</v>
      </c>
    </row>
    <row r="1404" spans="1:14" x14ac:dyDescent="0.35">
      <c r="A1404">
        <v>1503</v>
      </c>
      <c r="B1404" t="s">
        <v>15</v>
      </c>
      <c r="C1404" s="6">
        <v>44423</v>
      </c>
      <c r="D1404">
        <f>YEAR(Table1[[#This Row],[Join Date]])</f>
        <v>2021</v>
      </c>
      <c r="E1404" s="6" t="s">
        <v>48</v>
      </c>
      <c r="F1404" t="str">
        <f>IFERROR(YEAR(Table1[[#This Row],[Exit Date]]), " ")</f>
        <v xml:space="preserve"> </v>
      </c>
      <c r="G1404" t="str">
        <f>IFERROR((Table1[[#This Row],[Exit Year]]-Table1[[#This Row],[Join Year]])+1," ")</f>
        <v xml:space="preserve"> </v>
      </c>
      <c r="H1404" t="s">
        <v>48</v>
      </c>
      <c r="I1404" t="s">
        <v>11</v>
      </c>
      <c r="J1404" t="s">
        <v>12</v>
      </c>
      <c r="K1404">
        <v>50</v>
      </c>
      <c r="L1404" t="str">
        <f>IF(Table1[[#This Row],[Age]]&lt;30,"20-29",
IF(Table1[[#This Row],[Age]]&lt;40,"30-39",
IF(Table1[[#This Row],[Age]]&lt;50,"40-49",
IF(Table1[[#This Row],[Age]]&lt;60,"50-59","60+"))))</f>
        <v>50-59</v>
      </c>
      <c r="M1404" t="s">
        <v>20</v>
      </c>
      <c r="N1404" t="s">
        <v>37</v>
      </c>
    </row>
    <row r="1405" spans="1:14" x14ac:dyDescent="0.35">
      <c r="A1405">
        <v>1504</v>
      </c>
      <c r="B1405" t="s">
        <v>15</v>
      </c>
      <c r="C1405" s="6">
        <v>45087</v>
      </c>
      <c r="D1405">
        <f>YEAR(Table1[[#This Row],[Join Date]])</f>
        <v>2023</v>
      </c>
      <c r="E1405" s="6" t="s">
        <v>48</v>
      </c>
      <c r="F1405" t="str">
        <f>IFERROR(YEAR(Table1[[#This Row],[Exit Date]]), " ")</f>
        <v xml:space="preserve"> </v>
      </c>
      <c r="G1405" t="str">
        <f>IFERROR((Table1[[#This Row],[Exit Year]]-Table1[[#This Row],[Join Year]])+1," ")</f>
        <v xml:space="preserve"> </v>
      </c>
      <c r="H1405" t="s">
        <v>48</v>
      </c>
      <c r="I1405" t="s">
        <v>11</v>
      </c>
      <c r="J1405" t="s">
        <v>18</v>
      </c>
      <c r="K1405">
        <v>24</v>
      </c>
      <c r="L1405" t="str">
        <f>IF(Table1[[#This Row],[Age]]&lt;30,"20-29",
IF(Table1[[#This Row],[Age]]&lt;40,"30-39",
IF(Table1[[#This Row],[Age]]&lt;50,"40-49",
IF(Table1[[#This Row],[Age]]&lt;60,"50-59","60+"))))</f>
        <v>20-29</v>
      </c>
      <c r="M1405" t="s">
        <v>44</v>
      </c>
      <c r="N1405" t="s">
        <v>25</v>
      </c>
    </row>
    <row r="1406" spans="1:14" x14ac:dyDescent="0.35">
      <c r="A1406">
        <v>1505</v>
      </c>
      <c r="B1406" t="s">
        <v>15</v>
      </c>
      <c r="C1406" s="6">
        <v>43479</v>
      </c>
      <c r="D1406">
        <f>YEAR(Table1[[#This Row],[Join Date]])</f>
        <v>2019</v>
      </c>
      <c r="E1406" s="6">
        <v>44449</v>
      </c>
      <c r="F1406">
        <f>IFERROR(YEAR(Table1[[#This Row],[Exit Date]]), " ")</f>
        <v>2021</v>
      </c>
      <c r="G1406">
        <f>IFERROR((Table1[[#This Row],[Exit Year]]-Table1[[#This Row],[Join Year]])+1," ")</f>
        <v>3</v>
      </c>
      <c r="H1406" t="s">
        <v>22</v>
      </c>
      <c r="I1406" t="s">
        <v>23</v>
      </c>
      <c r="J1406" t="s">
        <v>18</v>
      </c>
      <c r="K1406">
        <v>50</v>
      </c>
      <c r="L1406" t="str">
        <f>IF(Table1[[#This Row],[Age]]&lt;30,"20-29",
IF(Table1[[#This Row],[Age]]&lt;40,"30-39",
IF(Table1[[#This Row],[Age]]&lt;50,"40-49",
IF(Table1[[#This Row],[Age]]&lt;60,"50-59","60+"))))</f>
        <v>50-59</v>
      </c>
      <c r="M1406" t="s">
        <v>13</v>
      </c>
      <c r="N1406" t="s">
        <v>35</v>
      </c>
    </row>
    <row r="1407" spans="1:14" x14ac:dyDescent="0.35">
      <c r="A1407">
        <v>1506</v>
      </c>
      <c r="B1407" t="s">
        <v>26</v>
      </c>
      <c r="C1407" s="6">
        <v>44749</v>
      </c>
      <c r="D1407">
        <f>YEAR(Table1[[#This Row],[Join Date]])</f>
        <v>2022</v>
      </c>
      <c r="E1407" s="6">
        <v>44972</v>
      </c>
      <c r="F1407">
        <f>IFERROR(YEAR(Table1[[#This Row],[Exit Date]]), " ")</f>
        <v>2023</v>
      </c>
      <c r="G1407">
        <f>IFERROR((Table1[[#This Row],[Exit Year]]-Table1[[#This Row],[Join Year]])+1," ")</f>
        <v>2</v>
      </c>
      <c r="H1407" t="s">
        <v>46</v>
      </c>
      <c r="I1407" t="s">
        <v>23</v>
      </c>
      <c r="J1407" t="s">
        <v>18</v>
      </c>
      <c r="K1407">
        <v>28</v>
      </c>
      <c r="L1407" t="str">
        <f>IF(Table1[[#This Row],[Age]]&lt;30,"20-29",
IF(Table1[[#This Row],[Age]]&lt;40,"30-39",
IF(Table1[[#This Row],[Age]]&lt;50,"40-49",
IF(Table1[[#This Row],[Age]]&lt;60,"50-59","60+"))))</f>
        <v>20-29</v>
      </c>
      <c r="M1407" t="s">
        <v>16</v>
      </c>
      <c r="N1407" t="s">
        <v>14</v>
      </c>
    </row>
    <row r="1408" spans="1:14" x14ac:dyDescent="0.35">
      <c r="A1408">
        <v>1507</v>
      </c>
      <c r="B1408" t="s">
        <v>29</v>
      </c>
      <c r="C1408" s="6">
        <v>45457</v>
      </c>
      <c r="D1408">
        <f>YEAR(Table1[[#This Row],[Join Date]])</f>
        <v>2024</v>
      </c>
      <c r="E1408" s="6" t="s">
        <v>48</v>
      </c>
      <c r="F1408" t="str">
        <f>IFERROR(YEAR(Table1[[#This Row],[Exit Date]]), " ")</f>
        <v xml:space="preserve"> </v>
      </c>
      <c r="G1408" t="str">
        <f>IFERROR((Table1[[#This Row],[Exit Year]]-Table1[[#This Row],[Join Year]])+1," ")</f>
        <v xml:space="preserve"> </v>
      </c>
      <c r="H1408" t="s">
        <v>48</v>
      </c>
      <c r="I1408" t="s">
        <v>11</v>
      </c>
      <c r="J1408" t="s">
        <v>12</v>
      </c>
      <c r="K1408">
        <v>40</v>
      </c>
      <c r="L1408" t="str">
        <f>IF(Table1[[#This Row],[Age]]&lt;30,"20-29",
IF(Table1[[#This Row],[Age]]&lt;40,"30-39",
IF(Table1[[#This Row],[Age]]&lt;50,"40-49",
IF(Table1[[#This Row],[Age]]&lt;60,"50-59","60+"))))</f>
        <v>40-49</v>
      </c>
      <c r="M1408" t="s">
        <v>16</v>
      </c>
      <c r="N1408" t="s">
        <v>17</v>
      </c>
    </row>
    <row r="1409" spans="1:14" x14ac:dyDescent="0.35">
      <c r="A1409">
        <v>1508</v>
      </c>
      <c r="B1409" t="s">
        <v>10</v>
      </c>
      <c r="C1409" s="6">
        <v>43304</v>
      </c>
      <c r="D1409">
        <f>YEAR(Table1[[#This Row],[Join Date]])</f>
        <v>2018</v>
      </c>
      <c r="E1409" s="6" t="s">
        <v>48</v>
      </c>
      <c r="F1409" t="str">
        <f>IFERROR(YEAR(Table1[[#This Row],[Exit Date]]), " ")</f>
        <v xml:space="preserve"> </v>
      </c>
      <c r="G1409" t="str">
        <f>IFERROR((Table1[[#This Row],[Exit Year]]-Table1[[#This Row],[Join Year]])+1," ")</f>
        <v xml:space="preserve"> </v>
      </c>
      <c r="H1409" t="s">
        <v>48</v>
      </c>
      <c r="I1409" t="s">
        <v>11</v>
      </c>
      <c r="J1409" t="s">
        <v>18</v>
      </c>
      <c r="K1409">
        <v>32</v>
      </c>
      <c r="L1409" t="str">
        <f>IF(Table1[[#This Row],[Age]]&lt;30,"20-29",
IF(Table1[[#This Row],[Age]]&lt;40,"30-39",
IF(Table1[[#This Row],[Age]]&lt;50,"40-49",
IF(Table1[[#This Row],[Age]]&lt;60,"50-59","60+"))))</f>
        <v>30-39</v>
      </c>
      <c r="M1409" t="s">
        <v>20</v>
      </c>
      <c r="N1409" t="s">
        <v>19</v>
      </c>
    </row>
    <row r="1410" spans="1:14" x14ac:dyDescent="0.35">
      <c r="A1410">
        <v>1509</v>
      </c>
      <c r="B1410" t="s">
        <v>15</v>
      </c>
      <c r="C1410" s="6">
        <v>44987</v>
      </c>
      <c r="D1410">
        <f>YEAR(Table1[[#This Row],[Join Date]])</f>
        <v>2023</v>
      </c>
      <c r="E1410" s="6" t="s">
        <v>48</v>
      </c>
      <c r="F1410" t="str">
        <f>IFERROR(YEAR(Table1[[#This Row],[Exit Date]]), " ")</f>
        <v xml:space="preserve"> </v>
      </c>
      <c r="G1410" t="str">
        <f>IFERROR((Table1[[#This Row],[Exit Year]]-Table1[[#This Row],[Join Year]])+1," ")</f>
        <v xml:space="preserve"> </v>
      </c>
      <c r="H1410" t="s">
        <v>48</v>
      </c>
      <c r="I1410" t="s">
        <v>11</v>
      </c>
      <c r="J1410" t="s">
        <v>12</v>
      </c>
      <c r="K1410">
        <v>50</v>
      </c>
      <c r="L1410" t="str">
        <f>IF(Table1[[#This Row],[Age]]&lt;30,"20-29",
IF(Table1[[#This Row],[Age]]&lt;40,"30-39",
IF(Table1[[#This Row],[Age]]&lt;50,"40-49",
IF(Table1[[#This Row],[Age]]&lt;60,"50-59","60+"))))</f>
        <v>50-59</v>
      </c>
      <c r="M1410" t="s">
        <v>24</v>
      </c>
      <c r="N1410" t="s">
        <v>21</v>
      </c>
    </row>
    <row r="1411" spans="1:14" x14ac:dyDescent="0.35">
      <c r="A1411">
        <v>1510</v>
      </c>
      <c r="B1411" t="s">
        <v>34</v>
      </c>
      <c r="C1411" s="6">
        <v>45326</v>
      </c>
      <c r="D1411">
        <f>YEAR(Table1[[#This Row],[Join Date]])</f>
        <v>2024</v>
      </c>
      <c r="E1411" s="6" t="s">
        <v>48</v>
      </c>
      <c r="F1411" t="str">
        <f>IFERROR(YEAR(Table1[[#This Row],[Exit Date]]), " ")</f>
        <v xml:space="preserve"> </v>
      </c>
      <c r="G1411" t="str">
        <f>IFERROR((Table1[[#This Row],[Exit Year]]-Table1[[#This Row],[Join Year]])+1," ")</f>
        <v xml:space="preserve"> </v>
      </c>
      <c r="H1411" t="s">
        <v>48</v>
      </c>
      <c r="I1411" t="s">
        <v>11</v>
      </c>
      <c r="J1411" t="s">
        <v>12</v>
      </c>
      <c r="K1411">
        <v>24</v>
      </c>
      <c r="L1411" t="str">
        <f>IF(Table1[[#This Row],[Age]]&lt;30,"20-29",
IF(Table1[[#This Row],[Age]]&lt;40,"30-39",
IF(Table1[[#This Row],[Age]]&lt;50,"40-49",
IF(Table1[[#This Row],[Age]]&lt;60,"50-59","60+"))))</f>
        <v>20-29</v>
      </c>
      <c r="M1411" t="s">
        <v>13</v>
      </c>
      <c r="N1411" t="s">
        <v>25</v>
      </c>
    </row>
    <row r="1412" spans="1:14" x14ac:dyDescent="0.35">
      <c r="A1412">
        <v>1511</v>
      </c>
      <c r="B1412" t="s">
        <v>36</v>
      </c>
      <c r="C1412" s="6">
        <v>45474</v>
      </c>
      <c r="D1412">
        <f>YEAR(Table1[[#This Row],[Join Date]])</f>
        <v>2024</v>
      </c>
      <c r="E1412" s="6" t="s">
        <v>48</v>
      </c>
      <c r="F1412" t="str">
        <f>IFERROR(YEAR(Table1[[#This Row],[Exit Date]]), " ")</f>
        <v xml:space="preserve"> </v>
      </c>
      <c r="G1412" t="str">
        <f>IFERROR((Table1[[#This Row],[Exit Year]]-Table1[[#This Row],[Join Year]])+1," ")</f>
        <v xml:space="preserve"> </v>
      </c>
      <c r="H1412" t="s">
        <v>48</v>
      </c>
      <c r="I1412" t="s">
        <v>11</v>
      </c>
      <c r="J1412" t="s">
        <v>12</v>
      </c>
      <c r="K1412">
        <v>36</v>
      </c>
      <c r="L1412" t="str">
        <f>IF(Table1[[#This Row],[Age]]&lt;30,"20-29",
IF(Table1[[#This Row],[Age]]&lt;40,"30-39",
IF(Table1[[#This Row],[Age]]&lt;50,"40-49",
IF(Table1[[#This Row],[Age]]&lt;60,"50-59","60+"))))</f>
        <v>30-39</v>
      </c>
      <c r="M1412" t="s">
        <v>30</v>
      </c>
      <c r="N1412" t="s">
        <v>28</v>
      </c>
    </row>
    <row r="1413" spans="1:14" x14ac:dyDescent="0.35">
      <c r="A1413">
        <v>1512</v>
      </c>
      <c r="B1413" t="s">
        <v>29</v>
      </c>
      <c r="C1413" s="6">
        <v>44227</v>
      </c>
      <c r="D1413">
        <f>YEAR(Table1[[#This Row],[Join Date]])</f>
        <v>2021</v>
      </c>
      <c r="E1413" s="6">
        <v>45322</v>
      </c>
      <c r="F1413">
        <f>IFERROR(YEAR(Table1[[#This Row],[Exit Date]]), " ")</f>
        <v>2024</v>
      </c>
      <c r="G1413">
        <f>IFERROR((Table1[[#This Row],[Exit Year]]-Table1[[#This Row],[Join Year]])+1," ")</f>
        <v>4</v>
      </c>
      <c r="H1413" t="s">
        <v>46</v>
      </c>
      <c r="I1413" t="s">
        <v>23</v>
      </c>
      <c r="J1413" t="s">
        <v>12</v>
      </c>
      <c r="K1413">
        <v>49</v>
      </c>
      <c r="L1413" t="str">
        <f>IF(Table1[[#This Row],[Age]]&lt;30,"20-29",
IF(Table1[[#This Row],[Age]]&lt;40,"30-39",
IF(Table1[[#This Row],[Age]]&lt;50,"40-49",
IF(Table1[[#This Row],[Age]]&lt;60,"50-59","60+"))))</f>
        <v>40-49</v>
      </c>
      <c r="M1413" t="s">
        <v>13</v>
      </c>
      <c r="N1413" t="s">
        <v>31</v>
      </c>
    </row>
    <row r="1414" spans="1:14" x14ac:dyDescent="0.35">
      <c r="A1414">
        <v>1513</v>
      </c>
      <c r="B1414" t="s">
        <v>10</v>
      </c>
      <c r="C1414" s="6">
        <v>43446</v>
      </c>
      <c r="D1414">
        <f>YEAR(Table1[[#This Row],[Join Date]])</f>
        <v>2018</v>
      </c>
      <c r="E1414" s="6">
        <v>43936</v>
      </c>
      <c r="F1414">
        <f>IFERROR(YEAR(Table1[[#This Row],[Exit Date]]), " ")</f>
        <v>2020</v>
      </c>
      <c r="G1414">
        <f>IFERROR((Table1[[#This Row],[Exit Year]]-Table1[[#This Row],[Join Year]])+1," ")</f>
        <v>3</v>
      </c>
      <c r="H1414" t="s">
        <v>38</v>
      </c>
      <c r="I1414" t="s">
        <v>23</v>
      </c>
      <c r="J1414" t="s">
        <v>18</v>
      </c>
      <c r="K1414">
        <v>43</v>
      </c>
      <c r="L1414" t="str">
        <f>IF(Table1[[#This Row],[Age]]&lt;30,"20-29",
IF(Table1[[#This Row],[Age]]&lt;40,"30-39",
IF(Table1[[#This Row],[Age]]&lt;50,"40-49",
IF(Table1[[#This Row],[Age]]&lt;60,"50-59","60+"))))</f>
        <v>40-49</v>
      </c>
      <c r="M1414" t="s">
        <v>13</v>
      </c>
      <c r="N1414" t="s">
        <v>32</v>
      </c>
    </row>
    <row r="1415" spans="1:14" x14ac:dyDescent="0.35">
      <c r="A1415">
        <v>1514</v>
      </c>
      <c r="B1415" t="s">
        <v>15</v>
      </c>
      <c r="C1415" s="6">
        <v>45314</v>
      </c>
      <c r="D1415">
        <f>YEAR(Table1[[#This Row],[Join Date]])</f>
        <v>2024</v>
      </c>
      <c r="E1415" s="6" t="s">
        <v>48</v>
      </c>
      <c r="F1415" t="str">
        <f>IFERROR(YEAR(Table1[[#This Row],[Exit Date]]), " ")</f>
        <v xml:space="preserve"> </v>
      </c>
      <c r="G1415" t="str">
        <f>IFERROR((Table1[[#This Row],[Exit Year]]-Table1[[#This Row],[Join Year]])+1," ")</f>
        <v xml:space="preserve"> </v>
      </c>
      <c r="H1415" t="s">
        <v>48</v>
      </c>
      <c r="I1415" t="s">
        <v>11</v>
      </c>
      <c r="J1415" t="s">
        <v>18</v>
      </c>
      <c r="K1415">
        <v>40</v>
      </c>
      <c r="L1415" t="str">
        <f>IF(Table1[[#This Row],[Age]]&lt;30,"20-29",
IF(Table1[[#This Row],[Age]]&lt;40,"30-39",
IF(Table1[[#This Row],[Age]]&lt;50,"40-49",
IF(Table1[[#This Row],[Age]]&lt;60,"50-59","60+"))))</f>
        <v>40-49</v>
      </c>
      <c r="M1415" t="s">
        <v>16</v>
      </c>
      <c r="N1415" t="s">
        <v>33</v>
      </c>
    </row>
    <row r="1416" spans="1:14" x14ac:dyDescent="0.35">
      <c r="A1416">
        <v>1515</v>
      </c>
      <c r="B1416" t="s">
        <v>15</v>
      </c>
      <c r="C1416" s="6">
        <v>43123</v>
      </c>
      <c r="D1416">
        <f>YEAR(Table1[[#This Row],[Join Date]])</f>
        <v>2018</v>
      </c>
      <c r="E1416" s="6" t="s">
        <v>48</v>
      </c>
      <c r="F1416" t="str">
        <f>IFERROR(YEAR(Table1[[#This Row],[Exit Date]]), " ")</f>
        <v xml:space="preserve"> </v>
      </c>
      <c r="G1416" t="str">
        <f>IFERROR((Table1[[#This Row],[Exit Year]]-Table1[[#This Row],[Join Year]])+1," ")</f>
        <v xml:space="preserve"> </v>
      </c>
      <c r="H1416" t="s">
        <v>48</v>
      </c>
      <c r="I1416" t="s">
        <v>11</v>
      </c>
      <c r="J1416" t="s">
        <v>12</v>
      </c>
      <c r="K1416">
        <v>42</v>
      </c>
      <c r="L1416" t="str">
        <f>IF(Table1[[#This Row],[Age]]&lt;30,"20-29",
IF(Table1[[#This Row],[Age]]&lt;40,"30-39",
IF(Table1[[#This Row],[Age]]&lt;50,"40-49",
IF(Table1[[#This Row],[Age]]&lt;60,"50-59","60+"))))</f>
        <v>40-49</v>
      </c>
      <c r="M1416" t="s">
        <v>13</v>
      </c>
      <c r="N1416" t="s">
        <v>35</v>
      </c>
    </row>
    <row r="1417" spans="1:14" x14ac:dyDescent="0.35">
      <c r="A1417">
        <v>1516</v>
      </c>
      <c r="B1417" t="s">
        <v>10</v>
      </c>
      <c r="C1417" s="6">
        <v>43717</v>
      </c>
      <c r="D1417">
        <f>YEAR(Table1[[#This Row],[Join Date]])</f>
        <v>2019</v>
      </c>
      <c r="E1417" s="6">
        <v>44677</v>
      </c>
      <c r="F1417">
        <f>IFERROR(YEAR(Table1[[#This Row],[Exit Date]]), " ")</f>
        <v>2022</v>
      </c>
      <c r="G1417">
        <f>IFERROR((Table1[[#This Row],[Exit Year]]-Table1[[#This Row],[Join Year]])+1," ")</f>
        <v>4</v>
      </c>
      <c r="H1417" t="s">
        <v>40</v>
      </c>
      <c r="I1417" t="s">
        <v>23</v>
      </c>
      <c r="J1417" t="s">
        <v>12</v>
      </c>
      <c r="K1417">
        <v>35</v>
      </c>
      <c r="L1417" t="str">
        <f>IF(Table1[[#This Row],[Age]]&lt;30,"20-29",
IF(Table1[[#This Row],[Age]]&lt;40,"30-39",
IF(Table1[[#This Row],[Age]]&lt;50,"40-49",
IF(Table1[[#This Row],[Age]]&lt;60,"50-59","60+"))))</f>
        <v>30-39</v>
      </c>
      <c r="M1417" t="s">
        <v>20</v>
      </c>
      <c r="N1417" t="s">
        <v>37</v>
      </c>
    </row>
    <row r="1418" spans="1:14" x14ac:dyDescent="0.35">
      <c r="A1418">
        <v>1517</v>
      </c>
      <c r="B1418" t="s">
        <v>29</v>
      </c>
      <c r="C1418" s="6">
        <v>43534</v>
      </c>
      <c r="D1418">
        <f>YEAR(Table1[[#This Row],[Join Date]])</f>
        <v>2019</v>
      </c>
      <c r="E1418" s="6">
        <v>44117</v>
      </c>
      <c r="F1418">
        <f>IFERROR(YEAR(Table1[[#This Row],[Exit Date]]), " ")</f>
        <v>2020</v>
      </c>
      <c r="G1418">
        <f>IFERROR((Table1[[#This Row],[Exit Year]]-Table1[[#This Row],[Join Year]])+1," ")</f>
        <v>2</v>
      </c>
      <c r="H1418" t="s">
        <v>46</v>
      </c>
      <c r="I1418" t="s">
        <v>23</v>
      </c>
      <c r="J1418" t="s">
        <v>12</v>
      </c>
      <c r="K1418">
        <v>31</v>
      </c>
      <c r="L1418" t="str">
        <f>IF(Table1[[#This Row],[Age]]&lt;30,"20-29",
IF(Table1[[#This Row],[Age]]&lt;40,"30-39",
IF(Table1[[#This Row],[Age]]&lt;50,"40-49",
IF(Table1[[#This Row],[Age]]&lt;60,"50-59","60+"))))</f>
        <v>30-39</v>
      </c>
      <c r="M1418" t="s">
        <v>44</v>
      </c>
      <c r="N1418" t="s">
        <v>19</v>
      </c>
    </row>
    <row r="1419" spans="1:14" x14ac:dyDescent="0.35">
      <c r="A1419">
        <v>1518</v>
      </c>
      <c r="B1419" t="s">
        <v>36</v>
      </c>
      <c r="C1419" s="6">
        <v>44619</v>
      </c>
      <c r="D1419">
        <f>YEAR(Table1[[#This Row],[Join Date]])</f>
        <v>2022</v>
      </c>
      <c r="E1419" s="6" t="s">
        <v>48</v>
      </c>
      <c r="F1419" t="str">
        <f>IFERROR(YEAR(Table1[[#This Row],[Exit Date]]), " ")</f>
        <v xml:space="preserve"> </v>
      </c>
      <c r="G1419" t="str">
        <f>IFERROR((Table1[[#This Row],[Exit Year]]-Table1[[#This Row],[Join Year]])+1," ")</f>
        <v xml:space="preserve"> </v>
      </c>
      <c r="H1419" t="s">
        <v>48</v>
      </c>
      <c r="I1419" t="s">
        <v>11</v>
      </c>
      <c r="J1419" t="s">
        <v>18</v>
      </c>
      <c r="K1419">
        <v>51</v>
      </c>
      <c r="L1419" t="str">
        <f>IF(Table1[[#This Row],[Age]]&lt;30,"20-29",
IF(Table1[[#This Row],[Age]]&lt;40,"30-39",
IF(Table1[[#This Row],[Age]]&lt;50,"40-49",
IF(Table1[[#This Row],[Age]]&lt;60,"50-59","60+"))))</f>
        <v>50-59</v>
      </c>
      <c r="M1419" t="s">
        <v>13</v>
      </c>
      <c r="N1419" t="s">
        <v>25</v>
      </c>
    </row>
    <row r="1420" spans="1:14" x14ac:dyDescent="0.35">
      <c r="A1420">
        <v>1519</v>
      </c>
      <c r="B1420" t="s">
        <v>10</v>
      </c>
      <c r="C1420" s="6">
        <v>45485</v>
      </c>
      <c r="D1420">
        <f>YEAR(Table1[[#This Row],[Join Date]])</f>
        <v>2024</v>
      </c>
      <c r="E1420" s="6" t="s">
        <v>48</v>
      </c>
      <c r="F1420" t="str">
        <f>IFERROR(YEAR(Table1[[#This Row],[Exit Date]]), " ")</f>
        <v xml:space="preserve"> </v>
      </c>
      <c r="G1420" t="str">
        <f>IFERROR((Table1[[#This Row],[Exit Year]]-Table1[[#This Row],[Join Year]])+1," ")</f>
        <v xml:space="preserve"> </v>
      </c>
      <c r="H1420" t="s">
        <v>48</v>
      </c>
      <c r="I1420" t="s">
        <v>11</v>
      </c>
      <c r="J1420" t="s">
        <v>12</v>
      </c>
      <c r="K1420">
        <v>48</v>
      </c>
      <c r="L1420" t="str">
        <f>IF(Table1[[#This Row],[Age]]&lt;30,"20-29",
IF(Table1[[#This Row],[Age]]&lt;40,"30-39",
IF(Table1[[#This Row],[Age]]&lt;50,"40-49",
IF(Table1[[#This Row],[Age]]&lt;60,"50-59","60+"))))</f>
        <v>40-49</v>
      </c>
      <c r="M1420" t="s">
        <v>16</v>
      </c>
      <c r="N1420" t="s">
        <v>35</v>
      </c>
    </row>
    <row r="1421" spans="1:14" x14ac:dyDescent="0.35">
      <c r="A1421">
        <v>1520</v>
      </c>
      <c r="B1421" t="s">
        <v>29</v>
      </c>
      <c r="C1421" s="6">
        <v>43588</v>
      </c>
      <c r="D1421">
        <f>YEAR(Table1[[#This Row],[Join Date]])</f>
        <v>2019</v>
      </c>
      <c r="E1421" s="6">
        <v>44896</v>
      </c>
      <c r="F1421">
        <f>IFERROR(YEAR(Table1[[#This Row],[Exit Date]]), " ")</f>
        <v>2022</v>
      </c>
      <c r="G1421">
        <f>IFERROR((Table1[[#This Row],[Exit Year]]-Table1[[#This Row],[Join Year]])+1," ")</f>
        <v>4</v>
      </c>
      <c r="H1421" t="s">
        <v>41</v>
      </c>
      <c r="I1421" t="s">
        <v>23</v>
      </c>
      <c r="J1421" t="s">
        <v>12</v>
      </c>
      <c r="K1421">
        <v>41</v>
      </c>
      <c r="L1421" t="str">
        <f>IF(Table1[[#This Row],[Age]]&lt;30,"20-29",
IF(Table1[[#This Row],[Age]]&lt;40,"30-39",
IF(Table1[[#This Row],[Age]]&lt;50,"40-49",
IF(Table1[[#This Row],[Age]]&lt;60,"50-59","60+"))))</f>
        <v>40-49</v>
      </c>
      <c r="M1421" t="s">
        <v>16</v>
      </c>
      <c r="N1421" t="s">
        <v>17</v>
      </c>
    </row>
    <row r="1422" spans="1:14" x14ac:dyDescent="0.35">
      <c r="A1422">
        <v>1521</v>
      </c>
      <c r="B1422" t="s">
        <v>36</v>
      </c>
      <c r="C1422" s="6">
        <v>44250</v>
      </c>
      <c r="D1422">
        <f>YEAR(Table1[[#This Row],[Join Date]])</f>
        <v>2021</v>
      </c>
      <c r="E1422" s="6">
        <v>45392</v>
      </c>
      <c r="F1422">
        <f>IFERROR(YEAR(Table1[[#This Row],[Exit Date]]), " ")</f>
        <v>2024</v>
      </c>
      <c r="G1422">
        <f>IFERROR((Table1[[#This Row],[Exit Year]]-Table1[[#This Row],[Join Year]])+1," ")</f>
        <v>4</v>
      </c>
      <c r="H1422" t="s">
        <v>46</v>
      </c>
      <c r="I1422" t="s">
        <v>23</v>
      </c>
      <c r="J1422" t="s">
        <v>18</v>
      </c>
      <c r="K1422">
        <v>35</v>
      </c>
      <c r="L1422" t="str">
        <f>IF(Table1[[#This Row],[Age]]&lt;30,"20-29",
IF(Table1[[#This Row],[Age]]&lt;40,"30-39",
IF(Table1[[#This Row],[Age]]&lt;50,"40-49",
IF(Table1[[#This Row],[Age]]&lt;60,"50-59","60+"))))</f>
        <v>30-39</v>
      </c>
      <c r="M1422" t="s">
        <v>20</v>
      </c>
      <c r="N1422" t="s">
        <v>19</v>
      </c>
    </row>
    <row r="1423" spans="1:14" x14ac:dyDescent="0.35">
      <c r="A1423">
        <v>1522</v>
      </c>
      <c r="B1423" t="s">
        <v>26</v>
      </c>
      <c r="C1423" s="6">
        <v>45244</v>
      </c>
      <c r="D1423">
        <f>YEAR(Table1[[#This Row],[Join Date]])</f>
        <v>2023</v>
      </c>
      <c r="E1423" s="6">
        <v>45446</v>
      </c>
      <c r="F1423">
        <f>IFERROR(YEAR(Table1[[#This Row],[Exit Date]]), " ")</f>
        <v>2024</v>
      </c>
      <c r="G1423">
        <f>IFERROR((Table1[[#This Row],[Exit Year]]-Table1[[#This Row],[Join Year]])+1," ")</f>
        <v>2</v>
      </c>
      <c r="H1423" t="s">
        <v>40</v>
      </c>
      <c r="I1423" t="s">
        <v>23</v>
      </c>
      <c r="J1423" t="s">
        <v>12</v>
      </c>
      <c r="K1423">
        <v>24</v>
      </c>
      <c r="L1423" t="str">
        <f>IF(Table1[[#This Row],[Age]]&lt;30,"20-29",
IF(Table1[[#This Row],[Age]]&lt;40,"30-39",
IF(Table1[[#This Row],[Age]]&lt;50,"40-49",
IF(Table1[[#This Row],[Age]]&lt;60,"50-59","60+"))))</f>
        <v>20-29</v>
      </c>
      <c r="M1423" t="s">
        <v>24</v>
      </c>
      <c r="N1423" t="s">
        <v>21</v>
      </c>
    </row>
    <row r="1424" spans="1:14" x14ac:dyDescent="0.35">
      <c r="A1424">
        <v>1523</v>
      </c>
      <c r="B1424" t="s">
        <v>15</v>
      </c>
      <c r="C1424" s="6">
        <v>45256</v>
      </c>
      <c r="D1424">
        <f>YEAR(Table1[[#This Row],[Join Date]])</f>
        <v>2023</v>
      </c>
      <c r="E1424" s="6" t="s">
        <v>48</v>
      </c>
      <c r="F1424" t="str">
        <f>IFERROR(YEAR(Table1[[#This Row],[Exit Date]]), " ")</f>
        <v xml:space="preserve"> </v>
      </c>
      <c r="G1424" t="str">
        <f>IFERROR((Table1[[#This Row],[Exit Year]]-Table1[[#This Row],[Join Year]])+1," ")</f>
        <v xml:space="preserve"> </v>
      </c>
      <c r="H1424" t="s">
        <v>48</v>
      </c>
      <c r="I1424" t="s">
        <v>11</v>
      </c>
      <c r="J1424" t="s">
        <v>18</v>
      </c>
      <c r="K1424">
        <v>41</v>
      </c>
      <c r="L1424" t="str">
        <f>IF(Table1[[#This Row],[Age]]&lt;30,"20-29",
IF(Table1[[#This Row],[Age]]&lt;40,"30-39",
IF(Table1[[#This Row],[Age]]&lt;50,"40-49",
IF(Table1[[#This Row],[Age]]&lt;60,"50-59","60+"))))</f>
        <v>40-49</v>
      </c>
      <c r="M1424" t="s">
        <v>13</v>
      </c>
      <c r="N1424" t="s">
        <v>25</v>
      </c>
    </row>
    <row r="1425" spans="1:14" x14ac:dyDescent="0.35">
      <c r="A1425">
        <v>1524</v>
      </c>
      <c r="B1425" t="s">
        <v>26</v>
      </c>
      <c r="C1425" s="6">
        <v>45465</v>
      </c>
      <c r="D1425">
        <f>YEAR(Table1[[#This Row],[Join Date]])</f>
        <v>2024</v>
      </c>
      <c r="E1425" s="6" t="s">
        <v>48</v>
      </c>
      <c r="F1425" t="str">
        <f>IFERROR(YEAR(Table1[[#This Row],[Exit Date]]), " ")</f>
        <v xml:space="preserve"> </v>
      </c>
      <c r="G1425" t="str">
        <f>IFERROR((Table1[[#This Row],[Exit Year]]-Table1[[#This Row],[Join Year]])+1," ")</f>
        <v xml:space="preserve"> </v>
      </c>
      <c r="H1425" t="s">
        <v>48</v>
      </c>
      <c r="I1425" t="s">
        <v>11</v>
      </c>
      <c r="J1425" t="s">
        <v>18</v>
      </c>
      <c r="K1425">
        <v>40</v>
      </c>
      <c r="L1425" t="str">
        <f>IF(Table1[[#This Row],[Age]]&lt;30,"20-29",
IF(Table1[[#This Row],[Age]]&lt;40,"30-39",
IF(Table1[[#This Row],[Age]]&lt;50,"40-49",
IF(Table1[[#This Row],[Age]]&lt;60,"50-59","60+"))))</f>
        <v>40-49</v>
      </c>
      <c r="M1425" t="s">
        <v>30</v>
      </c>
      <c r="N1425" t="s">
        <v>35</v>
      </c>
    </row>
    <row r="1426" spans="1:14" x14ac:dyDescent="0.35">
      <c r="A1426">
        <v>1525</v>
      </c>
      <c r="B1426" t="s">
        <v>10</v>
      </c>
      <c r="C1426" s="6">
        <v>43597</v>
      </c>
      <c r="D1426">
        <f>YEAR(Table1[[#This Row],[Join Date]])</f>
        <v>2019</v>
      </c>
      <c r="E1426" s="6" t="s">
        <v>48</v>
      </c>
      <c r="F1426" t="str">
        <f>IFERROR(YEAR(Table1[[#This Row],[Exit Date]]), " ")</f>
        <v xml:space="preserve"> </v>
      </c>
      <c r="G1426" t="str">
        <f>IFERROR((Table1[[#This Row],[Exit Year]]-Table1[[#This Row],[Join Year]])+1," ")</f>
        <v xml:space="preserve"> </v>
      </c>
      <c r="H1426" t="s">
        <v>48</v>
      </c>
      <c r="I1426" t="s">
        <v>11</v>
      </c>
      <c r="J1426" t="s">
        <v>12</v>
      </c>
      <c r="K1426">
        <v>48</v>
      </c>
      <c r="L1426" t="str">
        <f>IF(Table1[[#This Row],[Age]]&lt;30,"20-29",
IF(Table1[[#This Row],[Age]]&lt;40,"30-39",
IF(Table1[[#This Row],[Age]]&lt;50,"40-49",
IF(Table1[[#This Row],[Age]]&lt;60,"50-59","60+"))))</f>
        <v>40-49</v>
      </c>
      <c r="M1426" t="s">
        <v>13</v>
      </c>
      <c r="N1426" t="s">
        <v>14</v>
      </c>
    </row>
    <row r="1427" spans="1:14" x14ac:dyDescent="0.35">
      <c r="A1427">
        <v>1526</v>
      </c>
      <c r="B1427" t="s">
        <v>15</v>
      </c>
      <c r="C1427" s="6">
        <v>44866</v>
      </c>
      <c r="D1427">
        <f>YEAR(Table1[[#This Row],[Join Date]])</f>
        <v>2022</v>
      </c>
      <c r="E1427" s="6" t="s">
        <v>48</v>
      </c>
      <c r="F1427" t="str">
        <f>IFERROR(YEAR(Table1[[#This Row],[Exit Date]]), " ")</f>
        <v xml:space="preserve"> </v>
      </c>
      <c r="G1427" t="str">
        <f>IFERROR((Table1[[#This Row],[Exit Year]]-Table1[[#This Row],[Join Year]])+1," ")</f>
        <v xml:space="preserve"> </v>
      </c>
      <c r="H1427" t="s">
        <v>48</v>
      </c>
      <c r="I1427" t="s">
        <v>11</v>
      </c>
      <c r="J1427" t="s">
        <v>12</v>
      </c>
      <c r="K1427">
        <v>52</v>
      </c>
      <c r="L1427" t="str">
        <f>IF(Table1[[#This Row],[Age]]&lt;30,"20-29",
IF(Table1[[#This Row],[Age]]&lt;40,"30-39",
IF(Table1[[#This Row],[Age]]&lt;50,"40-49",
IF(Table1[[#This Row],[Age]]&lt;60,"50-59","60+"))))</f>
        <v>50-59</v>
      </c>
      <c r="M1427" t="s">
        <v>13</v>
      </c>
      <c r="N1427" t="s">
        <v>19</v>
      </c>
    </row>
    <row r="1428" spans="1:14" x14ac:dyDescent="0.35">
      <c r="A1428">
        <v>1527</v>
      </c>
      <c r="B1428" t="s">
        <v>34</v>
      </c>
      <c r="C1428" s="6">
        <v>44006</v>
      </c>
      <c r="D1428">
        <f>YEAR(Table1[[#This Row],[Join Date]])</f>
        <v>2020</v>
      </c>
      <c r="E1428" s="6">
        <v>44463</v>
      </c>
      <c r="F1428">
        <f>IFERROR(YEAR(Table1[[#This Row],[Exit Date]]), " ")</f>
        <v>2021</v>
      </c>
      <c r="G1428">
        <f>IFERROR((Table1[[#This Row],[Exit Year]]-Table1[[#This Row],[Join Year]])+1," ")</f>
        <v>2</v>
      </c>
      <c r="H1428" t="s">
        <v>43</v>
      </c>
      <c r="I1428" t="s">
        <v>23</v>
      </c>
      <c r="J1428" t="s">
        <v>12</v>
      </c>
      <c r="K1428">
        <v>33</v>
      </c>
      <c r="L1428" t="str">
        <f>IF(Table1[[#This Row],[Age]]&lt;30,"20-29",
IF(Table1[[#This Row],[Age]]&lt;40,"30-39",
IF(Table1[[#This Row],[Age]]&lt;50,"40-49",
IF(Table1[[#This Row],[Age]]&lt;60,"50-59","60+"))))</f>
        <v>30-39</v>
      </c>
      <c r="M1428" t="s">
        <v>16</v>
      </c>
      <c r="N1428" t="s">
        <v>21</v>
      </c>
    </row>
    <row r="1429" spans="1:14" x14ac:dyDescent="0.35">
      <c r="A1429">
        <v>1528</v>
      </c>
      <c r="B1429" t="s">
        <v>26</v>
      </c>
      <c r="C1429" s="6">
        <v>45095</v>
      </c>
      <c r="D1429">
        <f>YEAR(Table1[[#This Row],[Join Date]])</f>
        <v>2023</v>
      </c>
      <c r="E1429" s="6" t="s">
        <v>48</v>
      </c>
      <c r="F1429" t="str">
        <f>IFERROR(YEAR(Table1[[#This Row],[Exit Date]]), " ")</f>
        <v xml:space="preserve"> </v>
      </c>
      <c r="G1429" t="str">
        <f>IFERROR((Table1[[#This Row],[Exit Year]]-Table1[[#This Row],[Join Year]])+1," ")</f>
        <v xml:space="preserve"> </v>
      </c>
      <c r="H1429" t="s">
        <v>48</v>
      </c>
      <c r="I1429" t="s">
        <v>11</v>
      </c>
      <c r="J1429" t="s">
        <v>18</v>
      </c>
      <c r="K1429">
        <v>51</v>
      </c>
      <c r="L1429" t="str">
        <f>IF(Table1[[#This Row],[Age]]&lt;30,"20-29",
IF(Table1[[#This Row],[Age]]&lt;40,"30-39",
IF(Table1[[#This Row],[Age]]&lt;50,"40-49",
IF(Table1[[#This Row],[Age]]&lt;60,"50-59","60+"))))</f>
        <v>50-59</v>
      </c>
      <c r="M1429" t="s">
        <v>13</v>
      </c>
      <c r="N1429" t="s">
        <v>37</v>
      </c>
    </row>
    <row r="1430" spans="1:14" x14ac:dyDescent="0.35">
      <c r="A1430">
        <v>1529</v>
      </c>
      <c r="B1430" t="s">
        <v>10</v>
      </c>
      <c r="C1430" s="6">
        <v>44360</v>
      </c>
      <c r="D1430">
        <f>YEAR(Table1[[#This Row],[Join Date]])</f>
        <v>2021</v>
      </c>
      <c r="E1430" s="6">
        <v>44755</v>
      </c>
      <c r="F1430">
        <f>IFERROR(YEAR(Table1[[#This Row],[Exit Date]]), " ")</f>
        <v>2022</v>
      </c>
      <c r="G1430">
        <f>IFERROR((Table1[[#This Row],[Exit Year]]-Table1[[#This Row],[Join Year]])+1," ")</f>
        <v>2</v>
      </c>
      <c r="H1430" t="s">
        <v>38</v>
      </c>
      <c r="I1430" t="s">
        <v>23</v>
      </c>
      <c r="J1430" t="s">
        <v>18</v>
      </c>
      <c r="K1430">
        <v>46</v>
      </c>
      <c r="L1430" t="str">
        <f>IF(Table1[[#This Row],[Age]]&lt;30,"20-29",
IF(Table1[[#This Row],[Age]]&lt;40,"30-39",
IF(Table1[[#This Row],[Age]]&lt;50,"40-49",
IF(Table1[[#This Row],[Age]]&lt;60,"50-59","60+"))))</f>
        <v>40-49</v>
      </c>
      <c r="M1430" t="s">
        <v>20</v>
      </c>
      <c r="N1430" t="s">
        <v>25</v>
      </c>
    </row>
    <row r="1431" spans="1:14" x14ac:dyDescent="0.35">
      <c r="A1431">
        <v>1530</v>
      </c>
      <c r="B1431" t="s">
        <v>26</v>
      </c>
      <c r="C1431" s="6">
        <v>43419</v>
      </c>
      <c r="D1431">
        <f>YEAR(Table1[[#This Row],[Join Date]])</f>
        <v>2018</v>
      </c>
      <c r="E1431" s="6">
        <v>44303</v>
      </c>
      <c r="F1431">
        <f>IFERROR(YEAR(Table1[[#This Row],[Exit Date]]), " ")</f>
        <v>2021</v>
      </c>
      <c r="G1431">
        <f>IFERROR((Table1[[#This Row],[Exit Year]]-Table1[[#This Row],[Join Year]])+1," ")</f>
        <v>4</v>
      </c>
      <c r="H1431" t="s">
        <v>22</v>
      </c>
      <c r="I1431" t="s">
        <v>23</v>
      </c>
      <c r="J1431" t="s">
        <v>12</v>
      </c>
      <c r="K1431">
        <v>53</v>
      </c>
      <c r="L1431" t="str">
        <f>IF(Table1[[#This Row],[Age]]&lt;30,"20-29",
IF(Table1[[#This Row],[Age]]&lt;40,"30-39",
IF(Table1[[#This Row],[Age]]&lt;50,"40-49",
IF(Table1[[#This Row],[Age]]&lt;60,"50-59","60+"))))</f>
        <v>50-59</v>
      </c>
      <c r="M1431" t="s">
        <v>39</v>
      </c>
      <c r="N1431" t="s">
        <v>35</v>
      </c>
    </row>
    <row r="1432" spans="1:14" x14ac:dyDescent="0.35">
      <c r="A1432">
        <v>1531</v>
      </c>
      <c r="B1432" t="s">
        <v>36</v>
      </c>
      <c r="C1432" s="6">
        <v>44249</v>
      </c>
      <c r="D1432">
        <f>YEAR(Table1[[#This Row],[Join Date]])</f>
        <v>2021</v>
      </c>
      <c r="E1432" s="6" t="s">
        <v>48</v>
      </c>
      <c r="F1432" t="str">
        <f>IFERROR(YEAR(Table1[[#This Row],[Exit Date]]), " ")</f>
        <v xml:space="preserve"> </v>
      </c>
      <c r="G1432" t="str">
        <f>IFERROR((Table1[[#This Row],[Exit Year]]-Table1[[#This Row],[Join Year]])+1," ")</f>
        <v xml:space="preserve"> </v>
      </c>
      <c r="H1432" t="s">
        <v>48</v>
      </c>
      <c r="I1432" t="s">
        <v>11</v>
      </c>
      <c r="J1432" t="s">
        <v>18</v>
      </c>
      <c r="K1432">
        <v>35</v>
      </c>
      <c r="L1432" t="str">
        <f>IF(Table1[[#This Row],[Age]]&lt;30,"20-29",
IF(Table1[[#This Row],[Age]]&lt;40,"30-39",
IF(Table1[[#This Row],[Age]]&lt;50,"40-49",
IF(Table1[[#This Row],[Age]]&lt;60,"50-59","60+"))))</f>
        <v>30-39</v>
      </c>
      <c r="M1432" t="s">
        <v>13</v>
      </c>
      <c r="N1432" t="s">
        <v>25</v>
      </c>
    </row>
    <row r="1433" spans="1:14" x14ac:dyDescent="0.35">
      <c r="A1433">
        <v>1532</v>
      </c>
      <c r="B1433" t="s">
        <v>10</v>
      </c>
      <c r="C1433" s="6">
        <v>45533</v>
      </c>
      <c r="D1433">
        <f>YEAR(Table1[[#This Row],[Join Date]])</f>
        <v>2024</v>
      </c>
      <c r="E1433" s="6" t="s">
        <v>48</v>
      </c>
      <c r="F1433" t="str">
        <f>IFERROR(YEAR(Table1[[#This Row],[Exit Date]]), " ")</f>
        <v xml:space="preserve"> </v>
      </c>
      <c r="G1433" t="str">
        <f>IFERROR((Table1[[#This Row],[Exit Year]]-Table1[[#This Row],[Join Year]])+1," ")</f>
        <v xml:space="preserve"> </v>
      </c>
      <c r="H1433" t="s">
        <v>48</v>
      </c>
      <c r="I1433" t="s">
        <v>11</v>
      </c>
      <c r="J1433" t="s">
        <v>18</v>
      </c>
      <c r="K1433">
        <v>32</v>
      </c>
      <c r="L1433" t="str">
        <f>IF(Table1[[#This Row],[Age]]&lt;30,"20-29",
IF(Table1[[#This Row],[Age]]&lt;40,"30-39",
IF(Table1[[#This Row],[Age]]&lt;50,"40-49",
IF(Table1[[#This Row],[Age]]&lt;60,"50-59","60+"))))</f>
        <v>30-39</v>
      </c>
      <c r="M1433" t="s">
        <v>16</v>
      </c>
      <c r="N1433" t="s">
        <v>35</v>
      </c>
    </row>
    <row r="1434" spans="1:14" x14ac:dyDescent="0.35">
      <c r="A1434">
        <v>1533</v>
      </c>
      <c r="B1434" t="s">
        <v>36</v>
      </c>
      <c r="C1434" s="6">
        <v>44377</v>
      </c>
      <c r="D1434">
        <f>YEAR(Table1[[#This Row],[Join Date]])</f>
        <v>2021</v>
      </c>
      <c r="E1434" s="6" t="s">
        <v>48</v>
      </c>
      <c r="F1434" t="str">
        <f>IFERROR(YEAR(Table1[[#This Row],[Exit Date]]), " ")</f>
        <v xml:space="preserve"> </v>
      </c>
      <c r="G1434" t="str">
        <f>IFERROR((Table1[[#This Row],[Exit Year]]-Table1[[#This Row],[Join Year]])+1," ")</f>
        <v xml:space="preserve"> </v>
      </c>
      <c r="H1434" t="s">
        <v>48</v>
      </c>
      <c r="I1434" t="s">
        <v>11</v>
      </c>
      <c r="J1434" t="s">
        <v>12</v>
      </c>
      <c r="K1434">
        <v>46</v>
      </c>
      <c r="L1434" t="str">
        <f>IF(Table1[[#This Row],[Age]]&lt;30,"20-29",
IF(Table1[[#This Row],[Age]]&lt;40,"30-39",
IF(Table1[[#This Row],[Age]]&lt;50,"40-49",
IF(Table1[[#This Row],[Age]]&lt;60,"50-59","60+"))))</f>
        <v>40-49</v>
      </c>
      <c r="M1434" t="s">
        <v>16</v>
      </c>
      <c r="N1434" t="s">
        <v>17</v>
      </c>
    </row>
    <row r="1435" spans="1:14" x14ac:dyDescent="0.35">
      <c r="A1435">
        <v>1534</v>
      </c>
      <c r="B1435" t="s">
        <v>10</v>
      </c>
      <c r="C1435" s="6">
        <v>44088</v>
      </c>
      <c r="D1435">
        <f>YEAR(Table1[[#This Row],[Join Date]])</f>
        <v>2020</v>
      </c>
      <c r="E1435" s="6" t="s">
        <v>48</v>
      </c>
      <c r="F1435" t="str">
        <f>IFERROR(YEAR(Table1[[#This Row],[Exit Date]]), " ")</f>
        <v xml:space="preserve"> </v>
      </c>
      <c r="G1435" t="str">
        <f>IFERROR((Table1[[#This Row],[Exit Year]]-Table1[[#This Row],[Join Year]])+1," ")</f>
        <v xml:space="preserve"> </v>
      </c>
      <c r="H1435" t="s">
        <v>48</v>
      </c>
      <c r="I1435" t="s">
        <v>11</v>
      </c>
      <c r="J1435" t="s">
        <v>12</v>
      </c>
      <c r="K1435">
        <v>50</v>
      </c>
      <c r="L1435" t="str">
        <f>IF(Table1[[#This Row],[Age]]&lt;30,"20-29",
IF(Table1[[#This Row],[Age]]&lt;40,"30-39",
IF(Table1[[#This Row],[Age]]&lt;50,"40-49",
IF(Table1[[#This Row],[Age]]&lt;60,"50-59","60+"))))</f>
        <v>50-59</v>
      </c>
      <c r="M1435" t="s">
        <v>20</v>
      </c>
      <c r="N1435" t="s">
        <v>19</v>
      </c>
    </row>
    <row r="1436" spans="1:14" x14ac:dyDescent="0.35">
      <c r="A1436">
        <v>1535</v>
      </c>
      <c r="B1436" t="s">
        <v>26</v>
      </c>
      <c r="C1436" s="6">
        <v>43373</v>
      </c>
      <c r="D1436">
        <f>YEAR(Table1[[#This Row],[Join Date]])</f>
        <v>2018</v>
      </c>
      <c r="E1436" s="6">
        <v>44825</v>
      </c>
      <c r="F1436">
        <f>IFERROR(YEAR(Table1[[#This Row],[Exit Date]]), " ")</f>
        <v>2022</v>
      </c>
      <c r="G1436">
        <f>IFERROR((Table1[[#This Row],[Exit Year]]-Table1[[#This Row],[Join Year]])+1," ")</f>
        <v>5</v>
      </c>
      <c r="H1436" t="s">
        <v>27</v>
      </c>
      <c r="I1436" t="s">
        <v>23</v>
      </c>
      <c r="J1436" t="s">
        <v>12</v>
      </c>
      <c r="K1436">
        <v>60</v>
      </c>
      <c r="L1436" t="str">
        <f>IF(Table1[[#This Row],[Age]]&lt;30,"20-29",
IF(Table1[[#This Row],[Age]]&lt;40,"30-39",
IF(Table1[[#This Row],[Age]]&lt;50,"40-49",
IF(Table1[[#This Row],[Age]]&lt;60,"50-59","60+"))))</f>
        <v>60+</v>
      </c>
      <c r="M1436" t="s">
        <v>24</v>
      </c>
      <c r="N1436" t="s">
        <v>21</v>
      </c>
    </row>
    <row r="1437" spans="1:14" x14ac:dyDescent="0.35">
      <c r="A1437">
        <v>1536</v>
      </c>
      <c r="B1437" t="s">
        <v>26</v>
      </c>
      <c r="C1437" s="6">
        <v>43314</v>
      </c>
      <c r="D1437">
        <f>YEAR(Table1[[#This Row],[Join Date]])</f>
        <v>2018</v>
      </c>
      <c r="E1437" s="6" t="s">
        <v>48</v>
      </c>
      <c r="F1437" t="str">
        <f>IFERROR(YEAR(Table1[[#This Row],[Exit Date]]), " ")</f>
        <v xml:space="preserve"> </v>
      </c>
      <c r="G1437" t="str">
        <f>IFERROR((Table1[[#This Row],[Exit Year]]-Table1[[#This Row],[Join Year]])+1," ")</f>
        <v xml:space="preserve"> </v>
      </c>
      <c r="H1437" t="s">
        <v>48</v>
      </c>
      <c r="I1437" t="s">
        <v>11</v>
      </c>
      <c r="J1437" t="s">
        <v>12</v>
      </c>
      <c r="K1437">
        <v>29</v>
      </c>
      <c r="L1437" t="str">
        <f>IF(Table1[[#This Row],[Age]]&lt;30,"20-29",
IF(Table1[[#This Row],[Age]]&lt;40,"30-39",
IF(Table1[[#This Row],[Age]]&lt;50,"40-49",
IF(Table1[[#This Row],[Age]]&lt;60,"50-59","60+"))))</f>
        <v>20-29</v>
      </c>
      <c r="M1437" t="s">
        <v>13</v>
      </c>
      <c r="N1437" t="s">
        <v>25</v>
      </c>
    </row>
    <row r="1438" spans="1:14" x14ac:dyDescent="0.35">
      <c r="A1438">
        <v>1537</v>
      </c>
      <c r="B1438" t="s">
        <v>26</v>
      </c>
      <c r="C1438" s="6">
        <v>44418</v>
      </c>
      <c r="D1438">
        <f>YEAR(Table1[[#This Row],[Join Date]])</f>
        <v>2021</v>
      </c>
      <c r="E1438" s="6">
        <v>45628</v>
      </c>
      <c r="F1438">
        <f>IFERROR(YEAR(Table1[[#This Row],[Exit Date]]), " ")</f>
        <v>2024</v>
      </c>
      <c r="G1438">
        <f>IFERROR((Table1[[#This Row],[Exit Year]]-Table1[[#This Row],[Join Year]])+1," ")</f>
        <v>4</v>
      </c>
      <c r="H1438" t="s">
        <v>22</v>
      </c>
      <c r="I1438" t="s">
        <v>23</v>
      </c>
      <c r="J1438" t="s">
        <v>18</v>
      </c>
      <c r="K1438">
        <v>27</v>
      </c>
      <c r="L1438" t="str">
        <f>IF(Table1[[#This Row],[Age]]&lt;30,"20-29",
IF(Table1[[#This Row],[Age]]&lt;40,"30-39",
IF(Table1[[#This Row],[Age]]&lt;50,"40-49",
IF(Table1[[#This Row],[Age]]&lt;60,"50-59","60+"))))</f>
        <v>20-29</v>
      </c>
      <c r="M1438" t="s">
        <v>44</v>
      </c>
      <c r="N1438" t="s">
        <v>35</v>
      </c>
    </row>
    <row r="1439" spans="1:14" x14ac:dyDescent="0.35">
      <c r="A1439">
        <v>1538</v>
      </c>
      <c r="B1439" t="s">
        <v>34</v>
      </c>
      <c r="C1439" s="6">
        <v>44324</v>
      </c>
      <c r="D1439">
        <f>YEAR(Table1[[#This Row],[Join Date]])</f>
        <v>2021</v>
      </c>
      <c r="E1439" s="6">
        <v>45076</v>
      </c>
      <c r="F1439">
        <f>IFERROR(YEAR(Table1[[#This Row],[Exit Date]]), " ")</f>
        <v>2023</v>
      </c>
      <c r="G1439">
        <f>IFERROR((Table1[[#This Row],[Exit Year]]-Table1[[#This Row],[Join Year]])+1," ")</f>
        <v>3</v>
      </c>
      <c r="H1439" t="s">
        <v>40</v>
      </c>
      <c r="I1439" t="s">
        <v>23</v>
      </c>
      <c r="J1439" t="s">
        <v>18</v>
      </c>
      <c r="K1439">
        <v>31</v>
      </c>
      <c r="L1439" t="str">
        <f>IF(Table1[[#This Row],[Age]]&lt;30,"20-29",
IF(Table1[[#This Row],[Age]]&lt;40,"30-39",
IF(Table1[[#This Row],[Age]]&lt;50,"40-49",
IF(Table1[[#This Row],[Age]]&lt;60,"50-59","60+"))))</f>
        <v>30-39</v>
      </c>
      <c r="M1439" t="s">
        <v>13</v>
      </c>
      <c r="N1439" t="s">
        <v>14</v>
      </c>
    </row>
    <row r="1440" spans="1:14" x14ac:dyDescent="0.35">
      <c r="A1440">
        <v>1539</v>
      </c>
      <c r="B1440" t="s">
        <v>10</v>
      </c>
      <c r="C1440" s="6">
        <v>43513</v>
      </c>
      <c r="D1440">
        <f>YEAR(Table1[[#This Row],[Join Date]])</f>
        <v>2019</v>
      </c>
      <c r="E1440" s="6">
        <v>44923</v>
      </c>
      <c r="F1440">
        <f>IFERROR(YEAR(Table1[[#This Row],[Exit Date]]), " ")</f>
        <v>2022</v>
      </c>
      <c r="G1440">
        <f>IFERROR((Table1[[#This Row],[Exit Year]]-Table1[[#This Row],[Join Year]])+1," ")</f>
        <v>4</v>
      </c>
      <c r="H1440" t="s">
        <v>46</v>
      </c>
      <c r="I1440" t="s">
        <v>23</v>
      </c>
      <c r="J1440" t="s">
        <v>18</v>
      </c>
      <c r="K1440">
        <v>24</v>
      </c>
      <c r="L1440" t="str">
        <f>IF(Table1[[#This Row],[Age]]&lt;30,"20-29",
IF(Table1[[#This Row],[Age]]&lt;40,"30-39",
IF(Table1[[#This Row],[Age]]&lt;50,"40-49",
IF(Table1[[#This Row],[Age]]&lt;60,"50-59","60+"))))</f>
        <v>20-29</v>
      </c>
      <c r="M1440" t="s">
        <v>13</v>
      </c>
      <c r="N1440" t="s">
        <v>19</v>
      </c>
    </row>
    <row r="1441" spans="1:14" x14ac:dyDescent="0.35">
      <c r="A1441">
        <v>1540</v>
      </c>
      <c r="B1441" t="s">
        <v>36</v>
      </c>
      <c r="C1441" s="6">
        <v>44180</v>
      </c>
      <c r="D1441">
        <f>YEAR(Table1[[#This Row],[Join Date]])</f>
        <v>2020</v>
      </c>
      <c r="E1441" s="6" t="s">
        <v>48</v>
      </c>
      <c r="F1441" t="str">
        <f>IFERROR(YEAR(Table1[[#This Row],[Exit Date]]), " ")</f>
        <v xml:space="preserve"> </v>
      </c>
      <c r="G1441" t="str">
        <f>IFERROR((Table1[[#This Row],[Exit Year]]-Table1[[#This Row],[Join Year]])+1," ")</f>
        <v xml:space="preserve"> </v>
      </c>
      <c r="H1441" t="s">
        <v>48</v>
      </c>
      <c r="I1441" t="s">
        <v>11</v>
      </c>
      <c r="J1441" t="s">
        <v>12</v>
      </c>
      <c r="K1441">
        <v>37</v>
      </c>
      <c r="L1441" t="str">
        <f>IF(Table1[[#This Row],[Age]]&lt;30,"20-29",
IF(Table1[[#This Row],[Age]]&lt;40,"30-39",
IF(Table1[[#This Row],[Age]]&lt;50,"40-49",
IF(Table1[[#This Row],[Age]]&lt;60,"50-59","60+"))))</f>
        <v>30-39</v>
      </c>
      <c r="M1441" t="s">
        <v>16</v>
      </c>
      <c r="N1441" t="s">
        <v>21</v>
      </c>
    </row>
    <row r="1442" spans="1:14" x14ac:dyDescent="0.35">
      <c r="A1442">
        <v>1541</v>
      </c>
      <c r="B1442" t="s">
        <v>34</v>
      </c>
      <c r="C1442" s="6">
        <v>44099</v>
      </c>
      <c r="D1442">
        <f>YEAR(Table1[[#This Row],[Join Date]])</f>
        <v>2020</v>
      </c>
      <c r="E1442" s="6" t="s">
        <v>48</v>
      </c>
      <c r="F1442" t="str">
        <f>IFERROR(YEAR(Table1[[#This Row],[Exit Date]]), " ")</f>
        <v xml:space="preserve"> </v>
      </c>
      <c r="G1442" t="str">
        <f>IFERROR((Table1[[#This Row],[Exit Year]]-Table1[[#This Row],[Join Year]])+1," ")</f>
        <v xml:space="preserve"> </v>
      </c>
      <c r="H1442" t="s">
        <v>48</v>
      </c>
      <c r="I1442" t="s">
        <v>11</v>
      </c>
      <c r="J1442" t="s">
        <v>18</v>
      </c>
      <c r="K1442">
        <v>23</v>
      </c>
      <c r="L1442" t="str">
        <f>IF(Table1[[#This Row],[Age]]&lt;30,"20-29",
IF(Table1[[#This Row],[Age]]&lt;40,"30-39",
IF(Table1[[#This Row],[Age]]&lt;50,"40-49",
IF(Table1[[#This Row],[Age]]&lt;60,"50-59","60+"))))</f>
        <v>20-29</v>
      </c>
      <c r="M1442" t="s">
        <v>13</v>
      </c>
      <c r="N1442" t="s">
        <v>37</v>
      </c>
    </row>
    <row r="1443" spans="1:14" x14ac:dyDescent="0.35">
      <c r="A1443">
        <v>1542</v>
      </c>
      <c r="B1443" t="s">
        <v>34</v>
      </c>
      <c r="C1443" s="6">
        <v>45632</v>
      </c>
      <c r="D1443">
        <f>YEAR(Table1[[#This Row],[Join Date]])</f>
        <v>2024</v>
      </c>
      <c r="E1443" s="6" t="s">
        <v>48</v>
      </c>
      <c r="F1443" t="str">
        <f>IFERROR(YEAR(Table1[[#This Row],[Exit Date]]), " ")</f>
        <v xml:space="preserve"> </v>
      </c>
      <c r="G1443" t="str">
        <f>IFERROR((Table1[[#This Row],[Exit Year]]-Table1[[#This Row],[Join Year]])+1," ")</f>
        <v xml:space="preserve"> </v>
      </c>
      <c r="H1443" t="s">
        <v>48</v>
      </c>
      <c r="I1443" t="s">
        <v>11</v>
      </c>
      <c r="J1443" t="s">
        <v>18</v>
      </c>
      <c r="K1443">
        <v>31</v>
      </c>
      <c r="L1443" t="str">
        <f>IF(Table1[[#This Row],[Age]]&lt;30,"20-29",
IF(Table1[[#This Row],[Age]]&lt;40,"30-39",
IF(Table1[[#This Row],[Age]]&lt;50,"40-49",
IF(Table1[[#This Row],[Age]]&lt;60,"50-59","60+"))))</f>
        <v>30-39</v>
      </c>
      <c r="M1443" t="s">
        <v>20</v>
      </c>
      <c r="N1443" t="s">
        <v>25</v>
      </c>
    </row>
    <row r="1444" spans="1:14" x14ac:dyDescent="0.35">
      <c r="A1444">
        <v>1543</v>
      </c>
      <c r="B1444" t="s">
        <v>36</v>
      </c>
      <c r="C1444" s="6">
        <v>45294</v>
      </c>
      <c r="D1444">
        <f>YEAR(Table1[[#This Row],[Join Date]])</f>
        <v>2024</v>
      </c>
      <c r="E1444" s="6" t="s">
        <v>48</v>
      </c>
      <c r="F1444" t="str">
        <f>IFERROR(YEAR(Table1[[#This Row],[Exit Date]]), " ")</f>
        <v xml:space="preserve"> </v>
      </c>
      <c r="G1444" t="str">
        <f>IFERROR((Table1[[#This Row],[Exit Year]]-Table1[[#This Row],[Join Year]])+1," ")</f>
        <v xml:space="preserve"> </v>
      </c>
      <c r="H1444" t="s">
        <v>48</v>
      </c>
      <c r="I1444" t="s">
        <v>11</v>
      </c>
      <c r="J1444" t="s">
        <v>12</v>
      </c>
      <c r="K1444">
        <v>52</v>
      </c>
      <c r="L1444" t="str">
        <f>IF(Table1[[#This Row],[Age]]&lt;30,"20-29",
IF(Table1[[#This Row],[Age]]&lt;40,"30-39",
IF(Table1[[#This Row],[Age]]&lt;50,"40-49",
IF(Table1[[#This Row],[Age]]&lt;60,"50-59","60+"))))</f>
        <v>50-59</v>
      </c>
      <c r="M1444" t="s">
        <v>39</v>
      </c>
      <c r="N1444" t="s">
        <v>35</v>
      </c>
    </row>
    <row r="1445" spans="1:14" x14ac:dyDescent="0.35">
      <c r="A1445">
        <v>1544</v>
      </c>
      <c r="B1445" t="s">
        <v>26</v>
      </c>
      <c r="C1445" s="6">
        <v>44590</v>
      </c>
      <c r="D1445">
        <f>YEAR(Table1[[#This Row],[Join Date]])</f>
        <v>2022</v>
      </c>
      <c r="E1445" s="6" t="s">
        <v>48</v>
      </c>
      <c r="F1445" t="str">
        <f>IFERROR(YEAR(Table1[[#This Row],[Exit Date]]), " ")</f>
        <v xml:space="preserve"> </v>
      </c>
      <c r="G1445" t="str">
        <f>IFERROR((Table1[[#This Row],[Exit Year]]-Table1[[#This Row],[Join Year]])+1," ")</f>
        <v xml:space="preserve"> </v>
      </c>
      <c r="H1445" t="s">
        <v>48</v>
      </c>
      <c r="I1445" t="s">
        <v>11</v>
      </c>
      <c r="J1445" t="s">
        <v>18</v>
      </c>
      <c r="K1445">
        <v>25</v>
      </c>
      <c r="L1445" t="str">
        <f>IF(Table1[[#This Row],[Age]]&lt;30,"20-29",
IF(Table1[[#This Row],[Age]]&lt;40,"30-39",
IF(Table1[[#This Row],[Age]]&lt;50,"40-49",
IF(Table1[[#This Row],[Age]]&lt;60,"50-59","60+"))))</f>
        <v>20-29</v>
      </c>
      <c r="M1445" t="s">
        <v>13</v>
      </c>
      <c r="N1445" t="s">
        <v>14</v>
      </c>
    </row>
    <row r="1446" spans="1:14" x14ac:dyDescent="0.35">
      <c r="A1446">
        <v>1545</v>
      </c>
      <c r="B1446" t="s">
        <v>15</v>
      </c>
      <c r="C1446" s="6">
        <v>45215</v>
      </c>
      <c r="D1446">
        <f>YEAR(Table1[[#This Row],[Join Date]])</f>
        <v>2023</v>
      </c>
      <c r="E1446" s="6" t="s">
        <v>48</v>
      </c>
      <c r="F1446" t="str">
        <f>IFERROR(YEAR(Table1[[#This Row],[Exit Date]]), " ")</f>
        <v xml:space="preserve"> </v>
      </c>
      <c r="G1446" t="str">
        <f>IFERROR((Table1[[#This Row],[Exit Year]]-Table1[[#This Row],[Join Year]])+1," ")</f>
        <v xml:space="preserve"> </v>
      </c>
      <c r="H1446" t="s">
        <v>48</v>
      </c>
      <c r="I1446" t="s">
        <v>11</v>
      </c>
      <c r="J1446" t="s">
        <v>18</v>
      </c>
      <c r="K1446">
        <v>46</v>
      </c>
      <c r="L1446" t="str">
        <f>IF(Table1[[#This Row],[Age]]&lt;30,"20-29",
IF(Table1[[#This Row],[Age]]&lt;40,"30-39",
IF(Table1[[#This Row],[Age]]&lt;50,"40-49",
IF(Table1[[#This Row],[Age]]&lt;60,"50-59","60+"))))</f>
        <v>40-49</v>
      </c>
      <c r="M1446" t="s">
        <v>16</v>
      </c>
      <c r="N1446" t="s">
        <v>17</v>
      </c>
    </row>
    <row r="1447" spans="1:14" x14ac:dyDescent="0.35">
      <c r="A1447">
        <v>1546</v>
      </c>
      <c r="B1447" t="s">
        <v>15</v>
      </c>
      <c r="C1447" s="6">
        <v>43624</v>
      </c>
      <c r="D1447">
        <f>YEAR(Table1[[#This Row],[Join Date]])</f>
        <v>2019</v>
      </c>
      <c r="E1447" s="6">
        <v>44228</v>
      </c>
      <c r="F1447">
        <f>IFERROR(YEAR(Table1[[#This Row],[Exit Date]]), " ")</f>
        <v>2021</v>
      </c>
      <c r="G1447">
        <f>IFERROR((Table1[[#This Row],[Exit Year]]-Table1[[#This Row],[Join Year]])+1," ")</f>
        <v>3</v>
      </c>
      <c r="H1447" t="s">
        <v>41</v>
      </c>
      <c r="I1447" t="s">
        <v>23</v>
      </c>
      <c r="J1447" t="s">
        <v>18</v>
      </c>
      <c r="K1447">
        <v>24</v>
      </c>
      <c r="L1447" t="str">
        <f>IF(Table1[[#This Row],[Age]]&lt;30,"20-29",
IF(Table1[[#This Row],[Age]]&lt;40,"30-39",
IF(Table1[[#This Row],[Age]]&lt;50,"40-49",
IF(Table1[[#This Row],[Age]]&lt;60,"50-59","60+"))))</f>
        <v>20-29</v>
      </c>
      <c r="M1447" t="s">
        <v>16</v>
      </c>
      <c r="N1447" t="s">
        <v>19</v>
      </c>
    </row>
    <row r="1448" spans="1:14" x14ac:dyDescent="0.35">
      <c r="A1448">
        <v>1547</v>
      </c>
      <c r="B1448" t="s">
        <v>15</v>
      </c>
      <c r="C1448" s="6">
        <v>44514</v>
      </c>
      <c r="D1448">
        <f>YEAR(Table1[[#This Row],[Join Date]])</f>
        <v>2021</v>
      </c>
      <c r="E1448" s="6">
        <v>45529</v>
      </c>
      <c r="F1448">
        <f>IFERROR(YEAR(Table1[[#This Row],[Exit Date]]), " ")</f>
        <v>2024</v>
      </c>
      <c r="G1448">
        <f>IFERROR((Table1[[#This Row],[Exit Year]]-Table1[[#This Row],[Join Year]])+1," ")</f>
        <v>4</v>
      </c>
      <c r="H1448" t="s">
        <v>41</v>
      </c>
      <c r="I1448" t="s">
        <v>23</v>
      </c>
      <c r="J1448" t="s">
        <v>12</v>
      </c>
      <c r="K1448">
        <v>38</v>
      </c>
      <c r="L1448" t="str">
        <f>IF(Table1[[#This Row],[Age]]&lt;30,"20-29",
IF(Table1[[#This Row],[Age]]&lt;40,"30-39",
IF(Table1[[#This Row],[Age]]&lt;50,"40-49",
IF(Table1[[#This Row],[Age]]&lt;60,"50-59","60+"))))</f>
        <v>30-39</v>
      </c>
      <c r="M1448" t="s">
        <v>20</v>
      </c>
      <c r="N1448" t="s">
        <v>21</v>
      </c>
    </row>
    <row r="1449" spans="1:14" x14ac:dyDescent="0.35">
      <c r="A1449">
        <v>1548</v>
      </c>
      <c r="B1449" t="s">
        <v>29</v>
      </c>
      <c r="C1449" s="6">
        <v>43700</v>
      </c>
      <c r="D1449">
        <f>YEAR(Table1[[#This Row],[Join Date]])</f>
        <v>2019</v>
      </c>
      <c r="E1449" s="6" t="s">
        <v>48</v>
      </c>
      <c r="F1449" t="str">
        <f>IFERROR(YEAR(Table1[[#This Row],[Exit Date]]), " ")</f>
        <v xml:space="preserve"> </v>
      </c>
      <c r="G1449" t="str">
        <f>IFERROR((Table1[[#This Row],[Exit Year]]-Table1[[#This Row],[Join Year]])+1," ")</f>
        <v xml:space="preserve"> </v>
      </c>
      <c r="H1449" t="s">
        <v>48</v>
      </c>
      <c r="I1449" t="s">
        <v>11</v>
      </c>
      <c r="J1449" t="s">
        <v>12</v>
      </c>
      <c r="K1449">
        <v>49</v>
      </c>
      <c r="L1449" t="str">
        <f>IF(Table1[[#This Row],[Age]]&lt;30,"20-29",
IF(Table1[[#This Row],[Age]]&lt;40,"30-39",
IF(Table1[[#This Row],[Age]]&lt;50,"40-49",
IF(Table1[[#This Row],[Age]]&lt;60,"50-59","60+"))))</f>
        <v>40-49</v>
      </c>
      <c r="M1449" t="s">
        <v>24</v>
      </c>
      <c r="N1449" t="s">
        <v>25</v>
      </c>
    </row>
    <row r="1450" spans="1:14" x14ac:dyDescent="0.35">
      <c r="A1450">
        <v>1549</v>
      </c>
      <c r="B1450" t="s">
        <v>34</v>
      </c>
      <c r="C1450" s="6">
        <v>45540</v>
      </c>
      <c r="D1450">
        <f>YEAR(Table1[[#This Row],[Join Date]])</f>
        <v>2024</v>
      </c>
      <c r="E1450" s="6" t="s">
        <v>48</v>
      </c>
      <c r="F1450" t="str">
        <f>IFERROR(YEAR(Table1[[#This Row],[Exit Date]]), " ")</f>
        <v xml:space="preserve"> </v>
      </c>
      <c r="G1450" t="str">
        <f>IFERROR((Table1[[#This Row],[Exit Year]]-Table1[[#This Row],[Join Year]])+1," ")</f>
        <v xml:space="preserve"> </v>
      </c>
      <c r="H1450" t="s">
        <v>48</v>
      </c>
      <c r="I1450" t="s">
        <v>11</v>
      </c>
      <c r="J1450" t="s">
        <v>18</v>
      </c>
      <c r="K1450">
        <v>31</v>
      </c>
      <c r="L1450" t="str">
        <f>IF(Table1[[#This Row],[Age]]&lt;30,"20-29",
IF(Table1[[#This Row],[Age]]&lt;40,"30-39",
IF(Table1[[#This Row],[Age]]&lt;50,"40-49",
IF(Table1[[#This Row],[Age]]&lt;60,"50-59","60+"))))</f>
        <v>30-39</v>
      </c>
      <c r="M1450" t="s">
        <v>13</v>
      </c>
      <c r="N1450" t="s">
        <v>28</v>
      </c>
    </row>
    <row r="1451" spans="1:14" x14ac:dyDescent="0.35">
      <c r="A1451">
        <v>1550</v>
      </c>
      <c r="B1451" t="s">
        <v>10</v>
      </c>
      <c r="C1451" s="6">
        <v>43297</v>
      </c>
      <c r="D1451">
        <f>YEAR(Table1[[#This Row],[Join Date]])</f>
        <v>2018</v>
      </c>
      <c r="E1451" s="6">
        <v>44682</v>
      </c>
      <c r="F1451">
        <f>IFERROR(YEAR(Table1[[#This Row],[Exit Date]]), " ")</f>
        <v>2022</v>
      </c>
      <c r="G1451">
        <f>IFERROR((Table1[[#This Row],[Exit Year]]-Table1[[#This Row],[Join Year]])+1," ")</f>
        <v>5</v>
      </c>
      <c r="H1451" t="s">
        <v>40</v>
      </c>
      <c r="I1451" t="s">
        <v>23</v>
      </c>
      <c r="J1451" t="s">
        <v>18</v>
      </c>
      <c r="K1451">
        <v>51</v>
      </c>
      <c r="L1451" t="str">
        <f>IF(Table1[[#This Row],[Age]]&lt;30,"20-29",
IF(Table1[[#This Row],[Age]]&lt;40,"30-39",
IF(Table1[[#This Row],[Age]]&lt;50,"40-49",
IF(Table1[[#This Row],[Age]]&lt;60,"50-59","60+"))))</f>
        <v>50-59</v>
      </c>
      <c r="M1451" t="s">
        <v>42</v>
      </c>
      <c r="N1451" t="s">
        <v>31</v>
      </c>
    </row>
    <row r="1452" spans="1:14" x14ac:dyDescent="0.35">
      <c r="A1452">
        <v>1551</v>
      </c>
      <c r="B1452" t="s">
        <v>10</v>
      </c>
      <c r="C1452" s="6">
        <v>43407</v>
      </c>
      <c r="D1452">
        <f>YEAR(Table1[[#This Row],[Join Date]])</f>
        <v>2018</v>
      </c>
      <c r="E1452" s="6" t="s">
        <v>48</v>
      </c>
      <c r="F1452" t="str">
        <f>IFERROR(YEAR(Table1[[#This Row],[Exit Date]]), " ")</f>
        <v xml:space="preserve"> </v>
      </c>
      <c r="G1452" t="str">
        <f>IFERROR((Table1[[#This Row],[Exit Year]]-Table1[[#This Row],[Join Year]])+1," ")</f>
        <v xml:space="preserve"> </v>
      </c>
      <c r="H1452" t="s">
        <v>48</v>
      </c>
      <c r="I1452" t="s">
        <v>11</v>
      </c>
      <c r="J1452" t="s">
        <v>12</v>
      </c>
      <c r="K1452">
        <v>27</v>
      </c>
      <c r="L1452" t="str">
        <f>IF(Table1[[#This Row],[Age]]&lt;30,"20-29",
IF(Table1[[#This Row],[Age]]&lt;40,"30-39",
IF(Table1[[#This Row],[Age]]&lt;50,"40-49",
IF(Table1[[#This Row],[Age]]&lt;60,"50-59","60+"))))</f>
        <v>20-29</v>
      </c>
      <c r="M1452" t="s">
        <v>13</v>
      </c>
      <c r="N1452" t="s">
        <v>32</v>
      </c>
    </row>
    <row r="1453" spans="1:14" x14ac:dyDescent="0.35">
      <c r="A1453">
        <v>1552</v>
      </c>
      <c r="B1453" t="s">
        <v>15</v>
      </c>
      <c r="C1453" s="6">
        <v>44121</v>
      </c>
      <c r="D1453">
        <f>YEAR(Table1[[#This Row],[Join Date]])</f>
        <v>2020</v>
      </c>
      <c r="E1453" s="6" t="s">
        <v>48</v>
      </c>
      <c r="F1453" t="str">
        <f>IFERROR(YEAR(Table1[[#This Row],[Exit Date]]), " ")</f>
        <v xml:space="preserve"> </v>
      </c>
      <c r="G1453" t="str">
        <f>IFERROR((Table1[[#This Row],[Exit Year]]-Table1[[#This Row],[Join Year]])+1," ")</f>
        <v xml:space="preserve"> </v>
      </c>
      <c r="H1453" t="s">
        <v>48</v>
      </c>
      <c r="I1453" t="s">
        <v>11</v>
      </c>
      <c r="J1453" t="s">
        <v>18</v>
      </c>
      <c r="K1453">
        <v>22</v>
      </c>
      <c r="L1453" t="str">
        <f>IF(Table1[[#This Row],[Age]]&lt;30,"20-29",
IF(Table1[[#This Row],[Age]]&lt;40,"30-39",
IF(Table1[[#This Row],[Age]]&lt;50,"40-49",
IF(Table1[[#This Row],[Age]]&lt;60,"50-59","60+"))))</f>
        <v>20-29</v>
      </c>
      <c r="M1453" t="s">
        <v>13</v>
      </c>
      <c r="N1453" t="s">
        <v>33</v>
      </c>
    </row>
    <row r="1454" spans="1:14" x14ac:dyDescent="0.35">
      <c r="A1454">
        <v>1553</v>
      </c>
      <c r="B1454" t="s">
        <v>15</v>
      </c>
      <c r="C1454" s="6">
        <v>44423</v>
      </c>
      <c r="D1454">
        <f>YEAR(Table1[[#This Row],[Join Date]])</f>
        <v>2021</v>
      </c>
      <c r="E1454" s="6" t="s">
        <v>48</v>
      </c>
      <c r="F1454" t="str">
        <f>IFERROR(YEAR(Table1[[#This Row],[Exit Date]]), " ")</f>
        <v xml:space="preserve"> </v>
      </c>
      <c r="G1454" t="str">
        <f>IFERROR((Table1[[#This Row],[Exit Year]]-Table1[[#This Row],[Join Year]])+1," ")</f>
        <v xml:space="preserve"> </v>
      </c>
      <c r="H1454" t="s">
        <v>48</v>
      </c>
      <c r="I1454" t="s">
        <v>11</v>
      </c>
      <c r="J1454" t="s">
        <v>18</v>
      </c>
      <c r="K1454">
        <v>50</v>
      </c>
      <c r="L1454" t="str">
        <f>IF(Table1[[#This Row],[Age]]&lt;30,"20-29",
IF(Table1[[#This Row],[Age]]&lt;40,"30-39",
IF(Table1[[#This Row],[Age]]&lt;50,"40-49",
IF(Table1[[#This Row],[Age]]&lt;60,"50-59","60+"))))</f>
        <v>50-59</v>
      </c>
      <c r="M1454" t="s">
        <v>16</v>
      </c>
      <c r="N1454" t="s">
        <v>35</v>
      </c>
    </row>
    <row r="1455" spans="1:14" x14ac:dyDescent="0.35">
      <c r="A1455">
        <v>1554</v>
      </c>
      <c r="B1455" t="s">
        <v>15</v>
      </c>
      <c r="C1455" s="6">
        <v>45087</v>
      </c>
      <c r="D1455">
        <f>YEAR(Table1[[#This Row],[Join Date]])</f>
        <v>2023</v>
      </c>
      <c r="E1455" s="6" t="s">
        <v>48</v>
      </c>
      <c r="F1455" t="str">
        <f>IFERROR(YEAR(Table1[[#This Row],[Exit Date]]), " ")</f>
        <v xml:space="preserve"> </v>
      </c>
      <c r="G1455" t="str">
        <f>IFERROR((Table1[[#This Row],[Exit Year]]-Table1[[#This Row],[Join Year]])+1," ")</f>
        <v xml:space="preserve"> </v>
      </c>
      <c r="H1455" t="s">
        <v>48</v>
      </c>
      <c r="I1455" t="s">
        <v>11</v>
      </c>
      <c r="J1455" t="s">
        <v>18</v>
      </c>
      <c r="K1455">
        <v>24</v>
      </c>
      <c r="L1455" t="str">
        <f>IF(Table1[[#This Row],[Age]]&lt;30,"20-29",
IF(Table1[[#This Row],[Age]]&lt;40,"30-39",
IF(Table1[[#This Row],[Age]]&lt;50,"40-49",
IF(Table1[[#This Row],[Age]]&lt;60,"50-59","60+"))))</f>
        <v>20-29</v>
      </c>
      <c r="M1455" t="s">
        <v>13</v>
      </c>
      <c r="N1455" t="s">
        <v>37</v>
      </c>
    </row>
    <row r="1456" spans="1:14" x14ac:dyDescent="0.35">
      <c r="A1456">
        <v>1555</v>
      </c>
      <c r="B1456" t="s">
        <v>15</v>
      </c>
      <c r="C1456" s="6">
        <v>43479</v>
      </c>
      <c r="D1456">
        <f>YEAR(Table1[[#This Row],[Join Date]])</f>
        <v>2019</v>
      </c>
      <c r="E1456" s="6">
        <v>44449</v>
      </c>
      <c r="F1456">
        <f>IFERROR(YEAR(Table1[[#This Row],[Exit Date]]), " ")</f>
        <v>2021</v>
      </c>
      <c r="G1456">
        <f>IFERROR((Table1[[#This Row],[Exit Year]]-Table1[[#This Row],[Join Year]])+1," ")</f>
        <v>3</v>
      </c>
      <c r="H1456" t="s">
        <v>46</v>
      </c>
      <c r="I1456" t="s">
        <v>23</v>
      </c>
      <c r="J1456" t="s">
        <v>12</v>
      </c>
      <c r="K1456">
        <v>50</v>
      </c>
      <c r="L1456" t="str">
        <f>IF(Table1[[#This Row],[Age]]&lt;30,"20-29",
IF(Table1[[#This Row],[Age]]&lt;40,"30-39",
IF(Table1[[#This Row],[Age]]&lt;50,"40-49",
IF(Table1[[#This Row],[Age]]&lt;60,"50-59","60+"))))</f>
        <v>50-59</v>
      </c>
      <c r="M1456" t="s">
        <v>20</v>
      </c>
      <c r="N1456" t="s">
        <v>19</v>
      </c>
    </row>
    <row r="1457" spans="1:14" x14ac:dyDescent="0.35">
      <c r="A1457">
        <v>1556</v>
      </c>
      <c r="B1457" t="s">
        <v>26</v>
      </c>
      <c r="C1457" s="6">
        <v>44749</v>
      </c>
      <c r="D1457">
        <f>YEAR(Table1[[#This Row],[Join Date]])</f>
        <v>2022</v>
      </c>
      <c r="E1457" s="6">
        <v>44972</v>
      </c>
      <c r="F1457">
        <f>IFERROR(YEAR(Table1[[#This Row],[Exit Date]]), " ")</f>
        <v>2023</v>
      </c>
      <c r="G1457">
        <f>IFERROR((Table1[[#This Row],[Exit Year]]-Table1[[#This Row],[Join Year]])+1," ")</f>
        <v>2</v>
      </c>
      <c r="H1457" t="s">
        <v>46</v>
      </c>
      <c r="I1457" t="s">
        <v>23</v>
      </c>
      <c r="J1457" t="s">
        <v>12</v>
      </c>
      <c r="K1457">
        <v>28</v>
      </c>
      <c r="L1457" t="str">
        <f>IF(Table1[[#This Row],[Age]]&lt;30,"20-29",
IF(Table1[[#This Row],[Age]]&lt;40,"30-39",
IF(Table1[[#This Row],[Age]]&lt;50,"40-49",
IF(Table1[[#This Row],[Age]]&lt;60,"50-59","60+"))))</f>
        <v>20-29</v>
      </c>
      <c r="M1457" t="s">
        <v>39</v>
      </c>
      <c r="N1457" t="s">
        <v>25</v>
      </c>
    </row>
    <row r="1458" spans="1:14" x14ac:dyDescent="0.35">
      <c r="A1458">
        <v>1557</v>
      </c>
      <c r="B1458" t="s">
        <v>29</v>
      </c>
      <c r="C1458" s="6">
        <v>45457</v>
      </c>
      <c r="D1458">
        <f>YEAR(Table1[[#This Row],[Join Date]])</f>
        <v>2024</v>
      </c>
      <c r="E1458" s="6" t="s">
        <v>48</v>
      </c>
      <c r="F1458" t="str">
        <f>IFERROR(YEAR(Table1[[#This Row],[Exit Date]]), " ")</f>
        <v xml:space="preserve"> </v>
      </c>
      <c r="G1458" t="str">
        <f>IFERROR((Table1[[#This Row],[Exit Year]]-Table1[[#This Row],[Join Year]])+1," ")</f>
        <v xml:space="preserve"> </v>
      </c>
      <c r="H1458" t="s">
        <v>48</v>
      </c>
      <c r="I1458" t="s">
        <v>11</v>
      </c>
      <c r="J1458" t="s">
        <v>18</v>
      </c>
      <c r="K1458">
        <v>40</v>
      </c>
      <c r="L1458" t="str">
        <f>IF(Table1[[#This Row],[Age]]&lt;30,"20-29",
IF(Table1[[#This Row],[Age]]&lt;40,"30-39",
IF(Table1[[#This Row],[Age]]&lt;50,"40-49",
IF(Table1[[#This Row],[Age]]&lt;60,"50-59","60+"))))</f>
        <v>40-49</v>
      </c>
      <c r="M1458" t="s">
        <v>13</v>
      </c>
      <c r="N1458" t="s">
        <v>35</v>
      </c>
    </row>
    <row r="1459" spans="1:14" x14ac:dyDescent="0.35">
      <c r="A1459">
        <v>1558</v>
      </c>
      <c r="B1459" t="s">
        <v>10</v>
      </c>
      <c r="C1459" s="6">
        <v>43304</v>
      </c>
      <c r="D1459">
        <f>YEAR(Table1[[#This Row],[Join Date]])</f>
        <v>2018</v>
      </c>
      <c r="E1459" s="6" t="s">
        <v>48</v>
      </c>
      <c r="F1459" t="str">
        <f>IFERROR(YEAR(Table1[[#This Row],[Exit Date]]), " ")</f>
        <v xml:space="preserve"> </v>
      </c>
      <c r="G1459" t="str">
        <f>IFERROR((Table1[[#This Row],[Exit Year]]-Table1[[#This Row],[Join Year]])+1," ")</f>
        <v xml:space="preserve"> </v>
      </c>
      <c r="H1459" t="s">
        <v>48</v>
      </c>
      <c r="I1459" t="s">
        <v>11</v>
      </c>
      <c r="J1459" t="s">
        <v>18</v>
      </c>
      <c r="K1459">
        <v>32</v>
      </c>
      <c r="L1459" t="str">
        <f>IF(Table1[[#This Row],[Age]]&lt;30,"20-29",
IF(Table1[[#This Row],[Age]]&lt;40,"30-39",
IF(Table1[[#This Row],[Age]]&lt;50,"40-49",
IF(Table1[[#This Row],[Age]]&lt;60,"50-59","60+"))))</f>
        <v>30-39</v>
      </c>
      <c r="M1459" t="s">
        <v>16</v>
      </c>
      <c r="N1459" t="s">
        <v>17</v>
      </c>
    </row>
    <row r="1460" spans="1:14" x14ac:dyDescent="0.35">
      <c r="A1460">
        <v>1559</v>
      </c>
      <c r="B1460" t="s">
        <v>15</v>
      </c>
      <c r="C1460" s="6">
        <v>44987</v>
      </c>
      <c r="D1460">
        <f>YEAR(Table1[[#This Row],[Join Date]])</f>
        <v>2023</v>
      </c>
      <c r="E1460" s="6" t="s">
        <v>48</v>
      </c>
      <c r="F1460" t="str">
        <f>IFERROR(YEAR(Table1[[#This Row],[Exit Date]]), " ")</f>
        <v xml:space="preserve"> </v>
      </c>
      <c r="G1460" t="str">
        <f>IFERROR((Table1[[#This Row],[Exit Year]]-Table1[[#This Row],[Join Year]])+1," ")</f>
        <v xml:space="preserve"> </v>
      </c>
      <c r="H1460" t="s">
        <v>48</v>
      </c>
      <c r="I1460" t="s">
        <v>11</v>
      </c>
      <c r="J1460" t="s">
        <v>18</v>
      </c>
      <c r="K1460">
        <v>50</v>
      </c>
      <c r="L1460" t="str">
        <f>IF(Table1[[#This Row],[Age]]&lt;30,"20-29",
IF(Table1[[#This Row],[Age]]&lt;40,"30-39",
IF(Table1[[#This Row],[Age]]&lt;50,"40-49",
IF(Table1[[#This Row],[Age]]&lt;60,"50-59","60+"))))</f>
        <v>50-59</v>
      </c>
      <c r="M1460" t="s">
        <v>16</v>
      </c>
      <c r="N1460" t="s">
        <v>19</v>
      </c>
    </row>
    <row r="1461" spans="1:14" x14ac:dyDescent="0.35">
      <c r="A1461">
        <v>1560</v>
      </c>
      <c r="B1461" t="s">
        <v>34</v>
      </c>
      <c r="C1461" s="6">
        <v>45326</v>
      </c>
      <c r="D1461">
        <f>YEAR(Table1[[#This Row],[Join Date]])</f>
        <v>2024</v>
      </c>
      <c r="E1461" s="6" t="s">
        <v>48</v>
      </c>
      <c r="F1461" t="str">
        <f>IFERROR(YEAR(Table1[[#This Row],[Exit Date]]), " ")</f>
        <v xml:space="preserve"> </v>
      </c>
      <c r="G1461" t="str">
        <f>IFERROR((Table1[[#This Row],[Exit Year]]-Table1[[#This Row],[Join Year]])+1," ")</f>
        <v xml:space="preserve"> </v>
      </c>
      <c r="H1461" t="s">
        <v>48</v>
      </c>
      <c r="I1461" t="s">
        <v>11</v>
      </c>
      <c r="J1461" t="s">
        <v>12</v>
      </c>
      <c r="K1461">
        <v>24</v>
      </c>
      <c r="L1461" t="str">
        <f>IF(Table1[[#This Row],[Age]]&lt;30,"20-29",
IF(Table1[[#This Row],[Age]]&lt;40,"30-39",
IF(Table1[[#This Row],[Age]]&lt;50,"40-49",
IF(Table1[[#This Row],[Age]]&lt;60,"50-59","60+"))))</f>
        <v>20-29</v>
      </c>
      <c r="M1461" t="s">
        <v>20</v>
      </c>
      <c r="N1461" t="s">
        <v>21</v>
      </c>
    </row>
    <row r="1462" spans="1:14" x14ac:dyDescent="0.35">
      <c r="A1462">
        <v>1561</v>
      </c>
      <c r="B1462" t="s">
        <v>36</v>
      </c>
      <c r="C1462" s="6">
        <v>45474</v>
      </c>
      <c r="D1462">
        <f>YEAR(Table1[[#This Row],[Join Date]])</f>
        <v>2024</v>
      </c>
      <c r="E1462" s="6" t="s">
        <v>48</v>
      </c>
      <c r="F1462" t="str">
        <f>IFERROR(YEAR(Table1[[#This Row],[Exit Date]]), " ")</f>
        <v xml:space="preserve"> </v>
      </c>
      <c r="G1462" t="str">
        <f>IFERROR((Table1[[#This Row],[Exit Year]]-Table1[[#This Row],[Join Year]])+1," ")</f>
        <v xml:space="preserve"> </v>
      </c>
      <c r="H1462" t="s">
        <v>48</v>
      </c>
      <c r="I1462" t="s">
        <v>11</v>
      </c>
      <c r="J1462" t="s">
        <v>12</v>
      </c>
      <c r="K1462">
        <v>36</v>
      </c>
      <c r="L1462" t="str">
        <f>IF(Table1[[#This Row],[Age]]&lt;30,"20-29",
IF(Table1[[#This Row],[Age]]&lt;40,"30-39",
IF(Table1[[#This Row],[Age]]&lt;50,"40-49",
IF(Table1[[#This Row],[Age]]&lt;60,"50-59","60+"))))</f>
        <v>30-39</v>
      </c>
      <c r="M1462" t="s">
        <v>24</v>
      </c>
      <c r="N1462" t="s">
        <v>25</v>
      </c>
    </row>
    <row r="1463" spans="1:14" x14ac:dyDescent="0.35">
      <c r="A1463">
        <v>1562</v>
      </c>
      <c r="B1463" t="s">
        <v>29</v>
      </c>
      <c r="C1463" s="6">
        <v>44227</v>
      </c>
      <c r="D1463">
        <f>YEAR(Table1[[#This Row],[Join Date]])</f>
        <v>2021</v>
      </c>
      <c r="E1463" s="6">
        <v>45322</v>
      </c>
      <c r="F1463">
        <f>IFERROR(YEAR(Table1[[#This Row],[Exit Date]]), " ")</f>
        <v>2024</v>
      </c>
      <c r="G1463">
        <f>IFERROR((Table1[[#This Row],[Exit Year]]-Table1[[#This Row],[Join Year]])+1," ")</f>
        <v>4</v>
      </c>
      <c r="H1463" t="s">
        <v>46</v>
      </c>
      <c r="I1463" t="s">
        <v>23</v>
      </c>
      <c r="J1463" t="s">
        <v>12</v>
      </c>
      <c r="K1463">
        <v>49</v>
      </c>
      <c r="L1463" t="str">
        <f>IF(Table1[[#This Row],[Age]]&lt;30,"20-29",
IF(Table1[[#This Row],[Age]]&lt;40,"30-39",
IF(Table1[[#This Row],[Age]]&lt;50,"40-49",
IF(Table1[[#This Row],[Age]]&lt;60,"50-59","60+"))))</f>
        <v>40-49</v>
      </c>
      <c r="M1463" t="s">
        <v>13</v>
      </c>
      <c r="N1463" t="s">
        <v>35</v>
      </c>
    </row>
    <row r="1464" spans="1:14" x14ac:dyDescent="0.35">
      <c r="A1464">
        <v>1563</v>
      </c>
      <c r="B1464" t="s">
        <v>10</v>
      </c>
      <c r="C1464" s="6">
        <v>43446</v>
      </c>
      <c r="D1464">
        <f>YEAR(Table1[[#This Row],[Join Date]])</f>
        <v>2018</v>
      </c>
      <c r="E1464" s="6">
        <v>43936</v>
      </c>
      <c r="F1464">
        <f>IFERROR(YEAR(Table1[[#This Row],[Exit Date]]), " ")</f>
        <v>2020</v>
      </c>
      <c r="G1464">
        <f>IFERROR((Table1[[#This Row],[Exit Year]]-Table1[[#This Row],[Join Year]])+1," ")</f>
        <v>3</v>
      </c>
      <c r="H1464" t="s">
        <v>38</v>
      </c>
      <c r="I1464" t="s">
        <v>23</v>
      </c>
      <c r="J1464" t="s">
        <v>18</v>
      </c>
      <c r="K1464">
        <v>43</v>
      </c>
      <c r="L1464" t="str">
        <f>IF(Table1[[#This Row],[Age]]&lt;30,"20-29",
IF(Table1[[#This Row],[Age]]&lt;40,"30-39",
IF(Table1[[#This Row],[Age]]&lt;50,"40-49",
IF(Table1[[#This Row],[Age]]&lt;60,"50-59","60+"))))</f>
        <v>40-49</v>
      </c>
      <c r="M1464" t="s">
        <v>42</v>
      </c>
      <c r="N1464" t="s">
        <v>14</v>
      </c>
    </row>
    <row r="1465" spans="1:14" x14ac:dyDescent="0.35">
      <c r="A1465">
        <v>1564</v>
      </c>
      <c r="B1465" t="s">
        <v>15</v>
      </c>
      <c r="C1465" s="6">
        <v>45314</v>
      </c>
      <c r="D1465">
        <f>YEAR(Table1[[#This Row],[Join Date]])</f>
        <v>2024</v>
      </c>
      <c r="E1465" s="6" t="s">
        <v>48</v>
      </c>
      <c r="F1465" t="str">
        <f>IFERROR(YEAR(Table1[[#This Row],[Exit Date]]), " ")</f>
        <v xml:space="preserve"> </v>
      </c>
      <c r="G1465" t="str">
        <f>IFERROR((Table1[[#This Row],[Exit Year]]-Table1[[#This Row],[Join Year]])+1," ")</f>
        <v xml:space="preserve"> </v>
      </c>
      <c r="H1465" t="s">
        <v>48</v>
      </c>
      <c r="I1465" t="s">
        <v>11</v>
      </c>
      <c r="J1465" t="s">
        <v>18</v>
      </c>
      <c r="K1465">
        <v>40</v>
      </c>
      <c r="L1465" t="str">
        <f>IF(Table1[[#This Row],[Age]]&lt;30,"20-29",
IF(Table1[[#This Row],[Age]]&lt;40,"30-39",
IF(Table1[[#This Row],[Age]]&lt;50,"40-49",
IF(Table1[[#This Row],[Age]]&lt;60,"50-59","60+"))))</f>
        <v>40-49</v>
      </c>
      <c r="M1465" t="s">
        <v>13</v>
      </c>
      <c r="N1465" t="s">
        <v>19</v>
      </c>
    </row>
    <row r="1466" spans="1:14" x14ac:dyDescent="0.35">
      <c r="A1466">
        <v>1565</v>
      </c>
      <c r="B1466" t="s">
        <v>15</v>
      </c>
      <c r="C1466" s="6">
        <v>43123</v>
      </c>
      <c r="D1466">
        <f>YEAR(Table1[[#This Row],[Join Date]])</f>
        <v>2018</v>
      </c>
      <c r="E1466" s="6" t="s">
        <v>48</v>
      </c>
      <c r="F1466" t="str">
        <f>IFERROR(YEAR(Table1[[#This Row],[Exit Date]]), " ")</f>
        <v xml:space="preserve"> </v>
      </c>
      <c r="G1466" t="str">
        <f>IFERROR((Table1[[#This Row],[Exit Year]]-Table1[[#This Row],[Join Year]])+1," ")</f>
        <v xml:space="preserve"> </v>
      </c>
      <c r="H1466" t="s">
        <v>48</v>
      </c>
      <c r="I1466" t="s">
        <v>11</v>
      </c>
      <c r="J1466" t="s">
        <v>12</v>
      </c>
      <c r="K1466">
        <v>42</v>
      </c>
      <c r="L1466" t="str">
        <f>IF(Table1[[#This Row],[Age]]&lt;30,"20-29",
IF(Table1[[#This Row],[Age]]&lt;40,"30-39",
IF(Table1[[#This Row],[Age]]&lt;50,"40-49",
IF(Table1[[#This Row],[Age]]&lt;60,"50-59","60+"))))</f>
        <v>40-49</v>
      </c>
      <c r="M1466" t="s">
        <v>13</v>
      </c>
      <c r="N1466" t="s">
        <v>21</v>
      </c>
    </row>
    <row r="1467" spans="1:14" x14ac:dyDescent="0.35">
      <c r="A1467">
        <v>1566</v>
      </c>
      <c r="B1467" t="s">
        <v>10</v>
      </c>
      <c r="C1467" s="6">
        <v>43717</v>
      </c>
      <c r="D1467">
        <f>YEAR(Table1[[#This Row],[Join Date]])</f>
        <v>2019</v>
      </c>
      <c r="E1467" s="6">
        <v>44677</v>
      </c>
      <c r="F1467">
        <f>IFERROR(YEAR(Table1[[#This Row],[Exit Date]]), " ")</f>
        <v>2022</v>
      </c>
      <c r="G1467">
        <f>IFERROR((Table1[[#This Row],[Exit Year]]-Table1[[#This Row],[Join Year]])+1," ")</f>
        <v>4</v>
      </c>
      <c r="H1467" t="s">
        <v>40</v>
      </c>
      <c r="I1467" t="s">
        <v>23</v>
      </c>
      <c r="J1467" t="s">
        <v>12</v>
      </c>
      <c r="K1467">
        <v>35</v>
      </c>
      <c r="L1467" t="str">
        <f>IF(Table1[[#This Row],[Age]]&lt;30,"20-29",
IF(Table1[[#This Row],[Age]]&lt;40,"30-39",
IF(Table1[[#This Row],[Age]]&lt;50,"40-49",
IF(Table1[[#This Row],[Age]]&lt;60,"50-59","60+"))))</f>
        <v>30-39</v>
      </c>
      <c r="M1467" t="s">
        <v>16</v>
      </c>
      <c r="N1467" t="s">
        <v>25</v>
      </c>
    </row>
    <row r="1468" spans="1:14" x14ac:dyDescent="0.35">
      <c r="A1468">
        <v>1567</v>
      </c>
      <c r="B1468" t="s">
        <v>29</v>
      </c>
      <c r="C1468" s="6">
        <v>43534</v>
      </c>
      <c r="D1468">
        <f>YEAR(Table1[[#This Row],[Join Date]])</f>
        <v>2019</v>
      </c>
      <c r="E1468" s="6">
        <v>44117</v>
      </c>
      <c r="F1468">
        <f>IFERROR(YEAR(Table1[[#This Row],[Exit Date]]), " ")</f>
        <v>2020</v>
      </c>
      <c r="G1468">
        <f>IFERROR((Table1[[#This Row],[Exit Year]]-Table1[[#This Row],[Join Year]])+1," ")</f>
        <v>2</v>
      </c>
      <c r="H1468" t="s">
        <v>38</v>
      </c>
      <c r="I1468" t="s">
        <v>23</v>
      </c>
      <c r="J1468" t="s">
        <v>12</v>
      </c>
      <c r="K1468">
        <v>31</v>
      </c>
      <c r="L1468" t="str">
        <f>IF(Table1[[#This Row],[Age]]&lt;30,"20-29",
IF(Table1[[#This Row],[Age]]&lt;40,"30-39",
IF(Table1[[#This Row],[Age]]&lt;50,"40-49",
IF(Table1[[#This Row],[Age]]&lt;60,"50-59","60+"))))</f>
        <v>30-39</v>
      </c>
      <c r="M1468" t="s">
        <v>13</v>
      </c>
      <c r="N1468" t="s">
        <v>35</v>
      </c>
    </row>
    <row r="1469" spans="1:14" x14ac:dyDescent="0.35">
      <c r="A1469">
        <v>1568</v>
      </c>
      <c r="B1469" t="s">
        <v>36</v>
      </c>
      <c r="C1469" s="6">
        <v>44619</v>
      </c>
      <c r="D1469">
        <f>YEAR(Table1[[#This Row],[Join Date]])</f>
        <v>2022</v>
      </c>
      <c r="E1469" s="6" t="s">
        <v>48</v>
      </c>
      <c r="F1469" t="str">
        <f>IFERROR(YEAR(Table1[[#This Row],[Exit Date]]), " ")</f>
        <v xml:space="preserve"> </v>
      </c>
      <c r="G1469" t="str">
        <f>IFERROR((Table1[[#This Row],[Exit Year]]-Table1[[#This Row],[Join Year]])+1," ")</f>
        <v xml:space="preserve"> </v>
      </c>
      <c r="H1469" t="s">
        <v>48</v>
      </c>
      <c r="I1469" t="s">
        <v>11</v>
      </c>
      <c r="J1469" t="s">
        <v>12</v>
      </c>
      <c r="K1469">
        <v>51</v>
      </c>
      <c r="L1469" t="str">
        <f>IF(Table1[[#This Row],[Age]]&lt;30,"20-29",
IF(Table1[[#This Row],[Age]]&lt;40,"30-39",
IF(Table1[[#This Row],[Age]]&lt;50,"40-49",
IF(Table1[[#This Row],[Age]]&lt;60,"50-59","60+"))))</f>
        <v>50-59</v>
      </c>
      <c r="M1469" t="s">
        <v>20</v>
      </c>
      <c r="N1469" t="s">
        <v>17</v>
      </c>
    </row>
    <row r="1470" spans="1:14" x14ac:dyDescent="0.35">
      <c r="A1470">
        <v>1569</v>
      </c>
      <c r="B1470" t="s">
        <v>10</v>
      </c>
      <c r="C1470" s="6">
        <v>45485</v>
      </c>
      <c r="D1470">
        <f>YEAR(Table1[[#This Row],[Join Date]])</f>
        <v>2024</v>
      </c>
      <c r="E1470" s="6" t="s">
        <v>48</v>
      </c>
      <c r="F1470" t="str">
        <f>IFERROR(YEAR(Table1[[#This Row],[Exit Date]]), " ")</f>
        <v xml:space="preserve"> </v>
      </c>
      <c r="G1470" t="str">
        <f>IFERROR((Table1[[#This Row],[Exit Year]]-Table1[[#This Row],[Join Year]])+1," ")</f>
        <v xml:space="preserve"> </v>
      </c>
      <c r="H1470" t="s">
        <v>48</v>
      </c>
      <c r="I1470" t="s">
        <v>11</v>
      </c>
      <c r="J1470" t="s">
        <v>12</v>
      </c>
      <c r="K1470">
        <v>48</v>
      </c>
      <c r="L1470" t="str">
        <f>IF(Table1[[#This Row],[Age]]&lt;30,"20-29",
IF(Table1[[#This Row],[Age]]&lt;40,"30-39",
IF(Table1[[#This Row],[Age]]&lt;50,"40-49",
IF(Table1[[#This Row],[Age]]&lt;60,"50-59","60+"))))</f>
        <v>40-49</v>
      </c>
      <c r="M1470" t="s">
        <v>39</v>
      </c>
      <c r="N1470" t="s">
        <v>19</v>
      </c>
    </row>
    <row r="1471" spans="1:14" x14ac:dyDescent="0.35">
      <c r="A1471">
        <v>1570</v>
      </c>
      <c r="B1471" t="s">
        <v>29</v>
      </c>
      <c r="C1471" s="6">
        <v>43588</v>
      </c>
      <c r="D1471">
        <f>YEAR(Table1[[#This Row],[Join Date]])</f>
        <v>2019</v>
      </c>
      <c r="E1471" s="6">
        <v>44896</v>
      </c>
      <c r="F1471">
        <f>IFERROR(YEAR(Table1[[#This Row],[Exit Date]]), " ")</f>
        <v>2022</v>
      </c>
      <c r="G1471">
        <f>IFERROR((Table1[[#This Row],[Exit Year]]-Table1[[#This Row],[Join Year]])+1," ")</f>
        <v>4</v>
      </c>
      <c r="H1471" t="s">
        <v>41</v>
      </c>
      <c r="I1471" t="s">
        <v>23</v>
      </c>
      <c r="J1471" t="s">
        <v>12</v>
      </c>
      <c r="K1471">
        <v>41</v>
      </c>
      <c r="L1471" t="str">
        <f>IF(Table1[[#This Row],[Age]]&lt;30,"20-29",
IF(Table1[[#This Row],[Age]]&lt;40,"30-39",
IF(Table1[[#This Row],[Age]]&lt;50,"40-49",
IF(Table1[[#This Row],[Age]]&lt;60,"50-59","60+"))))</f>
        <v>40-49</v>
      </c>
      <c r="M1471" t="s">
        <v>13</v>
      </c>
      <c r="N1471" t="s">
        <v>21</v>
      </c>
    </row>
    <row r="1472" spans="1:14" x14ac:dyDescent="0.35">
      <c r="A1472">
        <v>1571</v>
      </c>
      <c r="B1472" t="s">
        <v>36</v>
      </c>
      <c r="C1472" s="6">
        <v>44250</v>
      </c>
      <c r="D1472">
        <f>YEAR(Table1[[#This Row],[Join Date]])</f>
        <v>2021</v>
      </c>
      <c r="E1472" s="6">
        <v>45392</v>
      </c>
      <c r="F1472">
        <f>IFERROR(YEAR(Table1[[#This Row],[Exit Date]]), " ")</f>
        <v>2024</v>
      </c>
      <c r="G1472">
        <f>IFERROR((Table1[[#This Row],[Exit Year]]-Table1[[#This Row],[Join Year]])+1," ")</f>
        <v>4</v>
      </c>
      <c r="H1472" t="s">
        <v>46</v>
      </c>
      <c r="I1472" t="s">
        <v>23</v>
      </c>
      <c r="J1472" t="s">
        <v>18</v>
      </c>
      <c r="K1472">
        <v>35</v>
      </c>
      <c r="L1472" t="str">
        <f>IF(Table1[[#This Row],[Age]]&lt;30,"20-29",
IF(Table1[[#This Row],[Age]]&lt;40,"30-39",
IF(Table1[[#This Row],[Age]]&lt;50,"40-49",
IF(Table1[[#This Row],[Age]]&lt;60,"50-59","60+"))))</f>
        <v>30-39</v>
      </c>
      <c r="M1472" t="s">
        <v>16</v>
      </c>
      <c r="N1472" t="s">
        <v>25</v>
      </c>
    </row>
    <row r="1473" spans="1:14" x14ac:dyDescent="0.35">
      <c r="A1473">
        <v>1572</v>
      </c>
      <c r="B1473" t="s">
        <v>26</v>
      </c>
      <c r="C1473" s="6">
        <v>45244</v>
      </c>
      <c r="D1473">
        <f>YEAR(Table1[[#This Row],[Join Date]])</f>
        <v>2023</v>
      </c>
      <c r="E1473" s="6">
        <v>45446</v>
      </c>
      <c r="F1473">
        <f>IFERROR(YEAR(Table1[[#This Row],[Exit Date]]), " ")</f>
        <v>2024</v>
      </c>
      <c r="G1473">
        <f>IFERROR((Table1[[#This Row],[Exit Year]]-Table1[[#This Row],[Join Year]])+1," ")</f>
        <v>2</v>
      </c>
      <c r="H1473" t="s">
        <v>40</v>
      </c>
      <c r="I1473" t="s">
        <v>23</v>
      </c>
      <c r="J1473" t="s">
        <v>12</v>
      </c>
      <c r="K1473">
        <v>24</v>
      </c>
      <c r="L1473" t="str">
        <f>IF(Table1[[#This Row],[Age]]&lt;30,"20-29",
IF(Table1[[#This Row],[Age]]&lt;40,"30-39",
IF(Table1[[#This Row],[Age]]&lt;50,"40-49",
IF(Table1[[#This Row],[Age]]&lt;60,"50-59","60+"))))</f>
        <v>20-29</v>
      </c>
      <c r="M1473" t="s">
        <v>16</v>
      </c>
      <c r="N1473" t="s">
        <v>35</v>
      </c>
    </row>
    <row r="1474" spans="1:14" x14ac:dyDescent="0.35">
      <c r="A1474">
        <v>1573</v>
      </c>
      <c r="B1474" t="s">
        <v>15</v>
      </c>
      <c r="C1474" s="6">
        <v>45256</v>
      </c>
      <c r="D1474">
        <f>YEAR(Table1[[#This Row],[Join Date]])</f>
        <v>2023</v>
      </c>
      <c r="E1474" s="6" t="s">
        <v>48</v>
      </c>
      <c r="F1474" t="str">
        <f>IFERROR(YEAR(Table1[[#This Row],[Exit Date]]), " ")</f>
        <v xml:space="preserve"> </v>
      </c>
      <c r="G1474" t="str">
        <f>IFERROR((Table1[[#This Row],[Exit Year]]-Table1[[#This Row],[Join Year]])+1," ")</f>
        <v xml:space="preserve"> </v>
      </c>
      <c r="H1474" t="s">
        <v>48</v>
      </c>
      <c r="I1474" t="s">
        <v>11</v>
      </c>
      <c r="J1474" t="s">
        <v>18</v>
      </c>
      <c r="K1474">
        <v>41</v>
      </c>
      <c r="L1474" t="str">
        <f>IF(Table1[[#This Row],[Age]]&lt;30,"20-29",
IF(Table1[[#This Row],[Age]]&lt;40,"30-39",
IF(Table1[[#This Row],[Age]]&lt;50,"40-49",
IF(Table1[[#This Row],[Age]]&lt;60,"50-59","60+"))))</f>
        <v>40-49</v>
      </c>
      <c r="M1474" t="s">
        <v>20</v>
      </c>
      <c r="N1474" t="s">
        <v>14</v>
      </c>
    </row>
    <row r="1475" spans="1:14" x14ac:dyDescent="0.35">
      <c r="A1475">
        <v>1574</v>
      </c>
      <c r="B1475" t="s">
        <v>26</v>
      </c>
      <c r="C1475" s="6">
        <v>45465</v>
      </c>
      <c r="D1475">
        <f>YEAR(Table1[[#This Row],[Join Date]])</f>
        <v>2024</v>
      </c>
      <c r="E1475" s="6" t="s">
        <v>48</v>
      </c>
      <c r="F1475" t="str">
        <f>IFERROR(YEAR(Table1[[#This Row],[Exit Date]]), " ")</f>
        <v xml:space="preserve"> </v>
      </c>
      <c r="G1475" t="str">
        <f>IFERROR((Table1[[#This Row],[Exit Year]]-Table1[[#This Row],[Join Year]])+1," ")</f>
        <v xml:space="preserve"> </v>
      </c>
      <c r="H1475" t="s">
        <v>48</v>
      </c>
      <c r="I1475" t="s">
        <v>11</v>
      </c>
      <c r="J1475" t="s">
        <v>18</v>
      </c>
      <c r="K1475">
        <v>40</v>
      </c>
      <c r="L1475" t="str">
        <f>IF(Table1[[#This Row],[Age]]&lt;30,"20-29",
IF(Table1[[#This Row],[Age]]&lt;40,"30-39",
IF(Table1[[#This Row],[Age]]&lt;50,"40-49",
IF(Table1[[#This Row],[Age]]&lt;60,"50-59","60+"))))</f>
        <v>40-49</v>
      </c>
      <c r="M1475" t="s">
        <v>24</v>
      </c>
      <c r="N1475" t="s">
        <v>19</v>
      </c>
    </row>
    <row r="1476" spans="1:14" x14ac:dyDescent="0.35">
      <c r="A1476">
        <v>1575</v>
      </c>
      <c r="B1476" t="s">
        <v>10</v>
      </c>
      <c r="C1476" s="6">
        <v>43597</v>
      </c>
      <c r="D1476">
        <f>YEAR(Table1[[#This Row],[Join Date]])</f>
        <v>2019</v>
      </c>
      <c r="E1476" s="6" t="s">
        <v>48</v>
      </c>
      <c r="F1476" t="str">
        <f>IFERROR(YEAR(Table1[[#This Row],[Exit Date]]), " ")</f>
        <v xml:space="preserve"> </v>
      </c>
      <c r="G1476" t="str">
        <f>IFERROR((Table1[[#This Row],[Exit Year]]-Table1[[#This Row],[Join Year]])+1," ")</f>
        <v xml:space="preserve"> </v>
      </c>
      <c r="H1476" t="s">
        <v>48</v>
      </c>
      <c r="I1476" t="s">
        <v>11</v>
      </c>
      <c r="J1476" t="s">
        <v>12</v>
      </c>
      <c r="K1476">
        <v>48</v>
      </c>
      <c r="L1476" t="str">
        <f>IF(Table1[[#This Row],[Age]]&lt;30,"20-29",
IF(Table1[[#This Row],[Age]]&lt;40,"30-39",
IF(Table1[[#This Row],[Age]]&lt;50,"40-49",
IF(Table1[[#This Row],[Age]]&lt;60,"50-59","60+"))))</f>
        <v>40-49</v>
      </c>
      <c r="M1476" t="s">
        <v>13</v>
      </c>
      <c r="N1476" t="s">
        <v>21</v>
      </c>
    </row>
    <row r="1477" spans="1:14" x14ac:dyDescent="0.35">
      <c r="A1477">
        <v>1576</v>
      </c>
      <c r="B1477" t="s">
        <v>15</v>
      </c>
      <c r="C1477" s="6">
        <v>44866</v>
      </c>
      <c r="D1477">
        <f>YEAR(Table1[[#This Row],[Join Date]])</f>
        <v>2022</v>
      </c>
      <c r="E1477" s="6" t="s">
        <v>48</v>
      </c>
      <c r="F1477" t="str">
        <f>IFERROR(YEAR(Table1[[#This Row],[Exit Date]]), " ")</f>
        <v xml:space="preserve"> </v>
      </c>
      <c r="G1477" t="str">
        <f>IFERROR((Table1[[#This Row],[Exit Year]]-Table1[[#This Row],[Join Year]])+1," ")</f>
        <v xml:space="preserve"> </v>
      </c>
      <c r="H1477" t="s">
        <v>48</v>
      </c>
      <c r="I1477" t="s">
        <v>11</v>
      </c>
      <c r="J1477" t="s">
        <v>18</v>
      </c>
      <c r="K1477">
        <v>52</v>
      </c>
      <c r="L1477" t="str">
        <f>IF(Table1[[#This Row],[Age]]&lt;30,"20-29",
IF(Table1[[#This Row],[Age]]&lt;40,"30-39",
IF(Table1[[#This Row],[Age]]&lt;50,"40-49",
IF(Table1[[#This Row],[Age]]&lt;60,"50-59","60+"))))</f>
        <v>50-59</v>
      </c>
      <c r="M1477" t="s">
        <v>42</v>
      </c>
      <c r="N1477" t="s">
        <v>37</v>
      </c>
    </row>
    <row r="1478" spans="1:14" x14ac:dyDescent="0.35">
      <c r="A1478">
        <v>1577</v>
      </c>
      <c r="B1478" t="s">
        <v>34</v>
      </c>
      <c r="C1478" s="6">
        <v>44006</v>
      </c>
      <c r="D1478">
        <f>YEAR(Table1[[#This Row],[Join Date]])</f>
        <v>2020</v>
      </c>
      <c r="E1478" s="6">
        <v>44463</v>
      </c>
      <c r="F1478">
        <f>IFERROR(YEAR(Table1[[#This Row],[Exit Date]]), " ")</f>
        <v>2021</v>
      </c>
      <c r="G1478">
        <f>IFERROR((Table1[[#This Row],[Exit Year]]-Table1[[#This Row],[Join Year]])+1," ")</f>
        <v>2</v>
      </c>
      <c r="H1478" t="s">
        <v>43</v>
      </c>
      <c r="I1478" t="s">
        <v>23</v>
      </c>
      <c r="J1478" t="s">
        <v>12</v>
      </c>
      <c r="K1478">
        <v>33</v>
      </c>
      <c r="L1478" t="str">
        <f>IF(Table1[[#This Row],[Age]]&lt;30,"20-29",
IF(Table1[[#This Row],[Age]]&lt;40,"30-39",
IF(Table1[[#This Row],[Age]]&lt;50,"40-49",
IF(Table1[[#This Row],[Age]]&lt;60,"50-59","60+"))))</f>
        <v>30-39</v>
      </c>
      <c r="M1478" t="s">
        <v>13</v>
      </c>
      <c r="N1478" t="s">
        <v>25</v>
      </c>
    </row>
    <row r="1479" spans="1:14" x14ac:dyDescent="0.35">
      <c r="A1479">
        <v>1578</v>
      </c>
      <c r="B1479" t="s">
        <v>26</v>
      </c>
      <c r="C1479" s="6">
        <v>45095</v>
      </c>
      <c r="D1479">
        <f>YEAR(Table1[[#This Row],[Join Date]])</f>
        <v>2023</v>
      </c>
      <c r="E1479" s="6" t="s">
        <v>48</v>
      </c>
      <c r="F1479" t="str">
        <f>IFERROR(YEAR(Table1[[#This Row],[Exit Date]]), " ")</f>
        <v xml:space="preserve"> </v>
      </c>
      <c r="G1479" t="str">
        <f>IFERROR((Table1[[#This Row],[Exit Year]]-Table1[[#This Row],[Join Year]])+1," ")</f>
        <v xml:space="preserve"> </v>
      </c>
      <c r="H1479" t="s">
        <v>48</v>
      </c>
      <c r="I1479" t="s">
        <v>11</v>
      </c>
      <c r="J1479" t="s">
        <v>12</v>
      </c>
      <c r="K1479">
        <v>51</v>
      </c>
      <c r="L1479" t="str">
        <f>IF(Table1[[#This Row],[Age]]&lt;30,"20-29",
IF(Table1[[#This Row],[Age]]&lt;40,"30-39",
IF(Table1[[#This Row],[Age]]&lt;50,"40-49",
IF(Table1[[#This Row],[Age]]&lt;60,"50-59","60+"))))</f>
        <v>50-59</v>
      </c>
      <c r="M1479" t="s">
        <v>13</v>
      </c>
      <c r="N1479" t="s">
        <v>35</v>
      </c>
    </row>
    <row r="1480" spans="1:14" x14ac:dyDescent="0.35">
      <c r="A1480">
        <v>1579</v>
      </c>
      <c r="B1480" t="s">
        <v>10</v>
      </c>
      <c r="C1480" s="6">
        <v>44360</v>
      </c>
      <c r="D1480">
        <f>YEAR(Table1[[#This Row],[Join Date]])</f>
        <v>2021</v>
      </c>
      <c r="E1480" s="6">
        <v>44755</v>
      </c>
      <c r="F1480">
        <f>IFERROR(YEAR(Table1[[#This Row],[Exit Date]]), " ")</f>
        <v>2022</v>
      </c>
      <c r="G1480">
        <f>IFERROR((Table1[[#This Row],[Exit Year]]-Table1[[#This Row],[Join Year]])+1," ")</f>
        <v>2</v>
      </c>
      <c r="H1480" t="s">
        <v>38</v>
      </c>
      <c r="I1480" t="s">
        <v>23</v>
      </c>
      <c r="J1480" t="s">
        <v>18</v>
      </c>
      <c r="K1480">
        <v>46</v>
      </c>
      <c r="L1480" t="str">
        <f>IF(Table1[[#This Row],[Age]]&lt;30,"20-29",
IF(Table1[[#This Row],[Age]]&lt;40,"30-39",
IF(Table1[[#This Row],[Age]]&lt;50,"40-49",
IF(Table1[[#This Row],[Age]]&lt;60,"50-59","60+"))))</f>
        <v>40-49</v>
      </c>
      <c r="M1480" t="s">
        <v>16</v>
      </c>
      <c r="N1480" t="s">
        <v>14</v>
      </c>
    </row>
    <row r="1481" spans="1:14" x14ac:dyDescent="0.35">
      <c r="A1481">
        <v>1580</v>
      </c>
      <c r="B1481" t="s">
        <v>26</v>
      </c>
      <c r="C1481" s="6">
        <v>43419</v>
      </c>
      <c r="D1481">
        <f>YEAR(Table1[[#This Row],[Join Date]])</f>
        <v>2018</v>
      </c>
      <c r="E1481" s="6">
        <v>44303</v>
      </c>
      <c r="F1481">
        <f>IFERROR(YEAR(Table1[[#This Row],[Exit Date]]), " ")</f>
        <v>2021</v>
      </c>
      <c r="G1481">
        <f>IFERROR((Table1[[#This Row],[Exit Year]]-Table1[[#This Row],[Join Year]])+1," ")</f>
        <v>4</v>
      </c>
      <c r="H1481" t="s">
        <v>22</v>
      </c>
      <c r="I1481" t="s">
        <v>23</v>
      </c>
      <c r="J1481" t="s">
        <v>12</v>
      </c>
      <c r="K1481">
        <v>53</v>
      </c>
      <c r="L1481" t="str">
        <f>IF(Table1[[#This Row],[Age]]&lt;30,"20-29",
IF(Table1[[#This Row],[Age]]&lt;40,"30-39",
IF(Table1[[#This Row],[Age]]&lt;50,"40-49",
IF(Table1[[#This Row],[Age]]&lt;60,"50-59","60+"))))</f>
        <v>50-59</v>
      </c>
      <c r="M1481" t="s">
        <v>13</v>
      </c>
      <c r="N1481" t="s">
        <v>17</v>
      </c>
    </row>
    <row r="1482" spans="1:14" x14ac:dyDescent="0.35">
      <c r="A1482">
        <v>1581</v>
      </c>
      <c r="B1482" t="s">
        <v>36</v>
      </c>
      <c r="C1482" s="6">
        <v>44249</v>
      </c>
      <c r="D1482">
        <f>YEAR(Table1[[#This Row],[Join Date]])</f>
        <v>2021</v>
      </c>
      <c r="E1482" s="6" t="s">
        <v>48</v>
      </c>
      <c r="F1482" t="str">
        <f>IFERROR(YEAR(Table1[[#This Row],[Exit Date]]), " ")</f>
        <v xml:space="preserve"> </v>
      </c>
      <c r="G1482" t="str">
        <f>IFERROR((Table1[[#This Row],[Exit Year]]-Table1[[#This Row],[Join Year]])+1," ")</f>
        <v xml:space="preserve"> </v>
      </c>
      <c r="H1482" t="s">
        <v>48</v>
      </c>
      <c r="I1482" t="s">
        <v>11</v>
      </c>
      <c r="J1482" t="s">
        <v>18</v>
      </c>
      <c r="K1482">
        <v>35</v>
      </c>
      <c r="L1482" t="str">
        <f>IF(Table1[[#This Row],[Age]]&lt;30,"20-29",
IF(Table1[[#This Row],[Age]]&lt;40,"30-39",
IF(Table1[[#This Row],[Age]]&lt;50,"40-49",
IF(Table1[[#This Row],[Age]]&lt;60,"50-59","60+"))))</f>
        <v>30-39</v>
      </c>
      <c r="M1482" t="s">
        <v>20</v>
      </c>
      <c r="N1482" t="s">
        <v>19</v>
      </c>
    </row>
    <row r="1483" spans="1:14" x14ac:dyDescent="0.35">
      <c r="A1483">
        <v>1582</v>
      </c>
      <c r="B1483" t="s">
        <v>10</v>
      </c>
      <c r="C1483" s="6">
        <v>45533</v>
      </c>
      <c r="D1483">
        <f>YEAR(Table1[[#This Row],[Join Date]])</f>
        <v>2024</v>
      </c>
      <c r="E1483" s="6" t="s">
        <v>48</v>
      </c>
      <c r="F1483" t="str">
        <f>IFERROR(YEAR(Table1[[#This Row],[Exit Date]]), " ")</f>
        <v xml:space="preserve"> </v>
      </c>
      <c r="G1483" t="str">
        <f>IFERROR((Table1[[#This Row],[Exit Year]]-Table1[[#This Row],[Join Year]])+1," ")</f>
        <v xml:space="preserve"> </v>
      </c>
      <c r="H1483" t="s">
        <v>48</v>
      </c>
      <c r="I1483" t="s">
        <v>11</v>
      </c>
      <c r="J1483" t="s">
        <v>18</v>
      </c>
      <c r="K1483">
        <v>32</v>
      </c>
      <c r="L1483" t="str">
        <f>IF(Table1[[#This Row],[Age]]&lt;30,"20-29",
IF(Table1[[#This Row],[Age]]&lt;40,"30-39",
IF(Table1[[#This Row],[Age]]&lt;50,"40-49",
IF(Table1[[#This Row],[Age]]&lt;60,"50-59","60+"))))</f>
        <v>30-39</v>
      </c>
      <c r="M1483" t="s">
        <v>44</v>
      </c>
      <c r="N1483" t="s">
        <v>21</v>
      </c>
    </row>
    <row r="1484" spans="1:14" x14ac:dyDescent="0.35">
      <c r="A1484">
        <v>1583</v>
      </c>
      <c r="B1484" t="s">
        <v>36</v>
      </c>
      <c r="C1484" s="6">
        <v>44377</v>
      </c>
      <c r="D1484">
        <f>YEAR(Table1[[#This Row],[Join Date]])</f>
        <v>2021</v>
      </c>
      <c r="E1484" s="6" t="s">
        <v>48</v>
      </c>
      <c r="F1484" t="str">
        <f>IFERROR(YEAR(Table1[[#This Row],[Exit Date]]), " ")</f>
        <v xml:space="preserve"> </v>
      </c>
      <c r="G1484" t="str">
        <f>IFERROR((Table1[[#This Row],[Exit Year]]-Table1[[#This Row],[Join Year]])+1," ")</f>
        <v xml:space="preserve"> </v>
      </c>
      <c r="H1484" t="s">
        <v>48</v>
      </c>
      <c r="I1484" t="s">
        <v>11</v>
      </c>
      <c r="J1484" t="s">
        <v>12</v>
      </c>
      <c r="K1484">
        <v>46</v>
      </c>
      <c r="L1484" t="str">
        <f>IF(Table1[[#This Row],[Age]]&lt;30,"20-29",
IF(Table1[[#This Row],[Age]]&lt;40,"30-39",
IF(Table1[[#This Row],[Age]]&lt;50,"40-49",
IF(Table1[[#This Row],[Age]]&lt;60,"50-59","60+"))))</f>
        <v>40-49</v>
      </c>
      <c r="M1484" t="s">
        <v>13</v>
      </c>
      <c r="N1484" t="s">
        <v>25</v>
      </c>
    </row>
    <row r="1485" spans="1:14" x14ac:dyDescent="0.35">
      <c r="A1485">
        <v>1584</v>
      </c>
      <c r="B1485" t="s">
        <v>10</v>
      </c>
      <c r="C1485" s="6">
        <v>44088</v>
      </c>
      <c r="D1485">
        <f>YEAR(Table1[[#This Row],[Join Date]])</f>
        <v>2020</v>
      </c>
      <c r="E1485" s="6" t="s">
        <v>48</v>
      </c>
      <c r="F1485" t="str">
        <f>IFERROR(YEAR(Table1[[#This Row],[Exit Date]]), " ")</f>
        <v xml:space="preserve"> </v>
      </c>
      <c r="G1485" t="str">
        <f>IFERROR((Table1[[#This Row],[Exit Year]]-Table1[[#This Row],[Join Year]])+1," ")</f>
        <v xml:space="preserve"> </v>
      </c>
      <c r="H1485" t="s">
        <v>48</v>
      </c>
      <c r="I1485" t="s">
        <v>11</v>
      </c>
      <c r="J1485" t="s">
        <v>12</v>
      </c>
      <c r="K1485">
        <v>50</v>
      </c>
      <c r="L1485" t="str">
        <f>IF(Table1[[#This Row],[Age]]&lt;30,"20-29",
IF(Table1[[#This Row],[Age]]&lt;40,"30-39",
IF(Table1[[#This Row],[Age]]&lt;50,"40-49",
IF(Table1[[#This Row],[Age]]&lt;60,"50-59","60+"))))</f>
        <v>50-59</v>
      </c>
      <c r="M1485" t="s">
        <v>16</v>
      </c>
      <c r="N1485" t="s">
        <v>28</v>
      </c>
    </row>
    <row r="1486" spans="1:14" x14ac:dyDescent="0.35">
      <c r="A1486">
        <v>1585</v>
      </c>
      <c r="B1486" t="s">
        <v>26</v>
      </c>
      <c r="C1486" s="6">
        <v>43373</v>
      </c>
      <c r="D1486">
        <f>YEAR(Table1[[#This Row],[Join Date]])</f>
        <v>2018</v>
      </c>
      <c r="E1486" s="6">
        <v>44825</v>
      </c>
      <c r="F1486">
        <f>IFERROR(YEAR(Table1[[#This Row],[Exit Date]]), " ")</f>
        <v>2022</v>
      </c>
      <c r="G1486">
        <f>IFERROR((Table1[[#This Row],[Exit Year]]-Table1[[#This Row],[Join Year]])+1," ")</f>
        <v>5</v>
      </c>
      <c r="H1486" t="s">
        <v>27</v>
      </c>
      <c r="I1486" t="s">
        <v>23</v>
      </c>
      <c r="J1486" t="s">
        <v>12</v>
      </c>
      <c r="K1486">
        <v>61</v>
      </c>
      <c r="L1486" t="str">
        <f>IF(Table1[[#This Row],[Age]]&lt;30,"20-29",
IF(Table1[[#This Row],[Age]]&lt;40,"30-39",
IF(Table1[[#This Row],[Age]]&lt;50,"40-49",
IF(Table1[[#This Row],[Age]]&lt;60,"50-59","60+"))))</f>
        <v>60+</v>
      </c>
      <c r="M1486" t="s">
        <v>16</v>
      </c>
      <c r="N1486" t="s">
        <v>31</v>
      </c>
    </row>
    <row r="1487" spans="1:14" x14ac:dyDescent="0.35">
      <c r="A1487">
        <v>1586</v>
      </c>
      <c r="B1487" t="s">
        <v>26</v>
      </c>
      <c r="C1487" s="6">
        <v>43314</v>
      </c>
      <c r="D1487">
        <f>YEAR(Table1[[#This Row],[Join Date]])</f>
        <v>2018</v>
      </c>
      <c r="E1487" s="6" t="s">
        <v>48</v>
      </c>
      <c r="F1487" t="str">
        <f>IFERROR(YEAR(Table1[[#This Row],[Exit Date]]), " ")</f>
        <v xml:space="preserve"> </v>
      </c>
      <c r="G1487" t="str">
        <f>IFERROR((Table1[[#This Row],[Exit Year]]-Table1[[#This Row],[Join Year]])+1," ")</f>
        <v xml:space="preserve"> </v>
      </c>
      <c r="H1487" t="s">
        <v>48</v>
      </c>
      <c r="I1487" t="s">
        <v>11</v>
      </c>
      <c r="J1487" t="s">
        <v>12</v>
      </c>
      <c r="K1487">
        <v>29</v>
      </c>
      <c r="L1487" t="str">
        <f>IF(Table1[[#This Row],[Age]]&lt;30,"20-29",
IF(Table1[[#This Row],[Age]]&lt;40,"30-39",
IF(Table1[[#This Row],[Age]]&lt;50,"40-49",
IF(Table1[[#This Row],[Age]]&lt;60,"50-59","60+"))))</f>
        <v>20-29</v>
      </c>
      <c r="M1487" t="s">
        <v>20</v>
      </c>
      <c r="N1487" t="s">
        <v>32</v>
      </c>
    </row>
    <row r="1488" spans="1:14" x14ac:dyDescent="0.35">
      <c r="A1488">
        <v>1587</v>
      </c>
      <c r="B1488" t="s">
        <v>26</v>
      </c>
      <c r="C1488" s="6">
        <v>44418</v>
      </c>
      <c r="D1488">
        <f>YEAR(Table1[[#This Row],[Join Date]])</f>
        <v>2021</v>
      </c>
      <c r="E1488" s="6">
        <v>45628</v>
      </c>
      <c r="F1488">
        <f>IFERROR(YEAR(Table1[[#This Row],[Exit Date]]), " ")</f>
        <v>2024</v>
      </c>
      <c r="G1488">
        <f>IFERROR((Table1[[#This Row],[Exit Year]]-Table1[[#This Row],[Join Year]])+1," ")</f>
        <v>4</v>
      </c>
      <c r="H1488" t="s">
        <v>46</v>
      </c>
      <c r="I1488" t="s">
        <v>23</v>
      </c>
      <c r="J1488" t="s">
        <v>12</v>
      </c>
      <c r="K1488">
        <v>27</v>
      </c>
      <c r="L1488" t="str">
        <f>IF(Table1[[#This Row],[Age]]&lt;30,"20-29",
IF(Table1[[#This Row],[Age]]&lt;40,"30-39",
IF(Table1[[#This Row],[Age]]&lt;50,"40-49",
IF(Table1[[#This Row],[Age]]&lt;60,"50-59","60+"))))</f>
        <v>20-29</v>
      </c>
      <c r="M1488" t="s">
        <v>24</v>
      </c>
      <c r="N1488" t="s">
        <v>33</v>
      </c>
    </row>
    <row r="1489" spans="1:14" x14ac:dyDescent="0.35">
      <c r="A1489">
        <v>1588</v>
      </c>
      <c r="B1489" t="s">
        <v>34</v>
      </c>
      <c r="C1489" s="6">
        <v>44324</v>
      </c>
      <c r="D1489">
        <f>YEAR(Table1[[#This Row],[Join Date]])</f>
        <v>2021</v>
      </c>
      <c r="E1489" s="6">
        <v>45076</v>
      </c>
      <c r="F1489">
        <f>IFERROR(YEAR(Table1[[#This Row],[Exit Date]]), " ")</f>
        <v>2023</v>
      </c>
      <c r="G1489">
        <f>IFERROR((Table1[[#This Row],[Exit Year]]-Table1[[#This Row],[Join Year]])+1," ")</f>
        <v>3</v>
      </c>
      <c r="H1489" t="s">
        <v>40</v>
      </c>
      <c r="I1489" t="s">
        <v>23</v>
      </c>
      <c r="J1489" t="s">
        <v>18</v>
      </c>
      <c r="K1489">
        <v>31</v>
      </c>
      <c r="L1489" t="str">
        <f>IF(Table1[[#This Row],[Age]]&lt;30,"20-29",
IF(Table1[[#This Row],[Age]]&lt;40,"30-39",
IF(Table1[[#This Row],[Age]]&lt;50,"40-49",
IF(Table1[[#This Row],[Age]]&lt;60,"50-59","60+"))))</f>
        <v>30-39</v>
      </c>
      <c r="M1489" t="s">
        <v>13</v>
      </c>
      <c r="N1489" t="s">
        <v>35</v>
      </c>
    </row>
    <row r="1490" spans="1:14" x14ac:dyDescent="0.35">
      <c r="A1490">
        <v>1589</v>
      </c>
      <c r="B1490" t="s">
        <v>10</v>
      </c>
      <c r="C1490" s="6">
        <v>43513</v>
      </c>
      <c r="D1490">
        <f>YEAR(Table1[[#This Row],[Join Date]])</f>
        <v>2019</v>
      </c>
      <c r="E1490" s="6">
        <v>44923</v>
      </c>
      <c r="F1490">
        <f>IFERROR(YEAR(Table1[[#This Row],[Exit Date]]), " ")</f>
        <v>2022</v>
      </c>
      <c r="G1490">
        <f>IFERROR((Table1[[#This Row],[Exit Year]]-Table1[[#This Row],[Join Year]])+1," ")</f>
        <v>4</v>
      </c>
      <c r="H1490" t="s">
        <v>38</v>
      </c>
      <c r="I1490" t="s">
        <v>23</v>
      </c>
      <c r="J1490" t="s">
        <v>18</v>
      </c>
      <c r="K1490">
        <v>24</v>
      </c>
      <c r="L1490" t="str">
        <f>IF(Table1[[#This Row],[Age]]&lt;30,"20-29",
IF(Table1[[#This Row],[Age]]&lt;40,"30-39",
IF(Table1[[#This Row],[Age]]&lt;50,"40-49",
IF(Table1[[#This Row],[Age]]&lt;60,"50-59","60+"))))</f>
        <v>20-29</v>
      </c>
      <c r="M1490" t="s">
        <v>44</v>
      </c>
      <c r="N1490" t="s">
        <v>37</v>
      </c>
    </row>
    <row r="1491" spans="1:14" x14ac:dyDescent="0.35">
      <c r="A1491">
        <v>1590</v>
      </c>
      <c r="B1491" t="s">
        <v>36</v>
      </c>
      <c r="C1491" s="6">
        <v>44180</v>
      </c>
      <c r="D1491">
        <f>YEAR(Table1[[#This Row],[Join Date]])</f>
        <v>2020</v>
      </c>
      <c r="E1491" s="6" t="s">
        <v>48</v>
      </c>
      <c r="F1491" t="str">
        <f>IFERROR(YEAR(Table1[[#This Row],[Exit Date]]), " ")</f>
        <v xml:space="preserve"> </v>
      </c>
      <c r="G1491" t="str">
        <f>IFERROR((Table1[[#This Row],[Exit Year]]-Table1[[#This Row],[Join Year]])+1," ")</f>
        <v xml:space="preserve"> </v>
      </c>
      <c r="H1491" t="s">
        <v>48</v>
      </c>
      <c r="I1491" t="s">
        <v>11</v>
      </c>
      <c r="J1491" t="s">
        <v>18</v>
      </c>
      <c r="K1491">
        <v>37</v>
      </c>
      <c r="L1491" t="str">
        <f>IF(Table1[[#This Row],[Age]]&lt;30,"20-29",
IF(Table1[[#This Row],[Age]]&lt;40,"30-39",
IF(Table1[[#This Row],[Age]]&lt;50,"40-49",
IF(Table1[[#This Row],[Age]]&lt;60,"50-59","60+"))))</f>
        <v>30-39</v>
      </c>
      <c r="M1491" t="s">
        <v>13</v>
      </c>
      <c r="N1491" t="s">
        <v>19</v>
      </c>
    </row>
    <row r="1492" spans="1:14" x14ac:dyDescent="0.35">
      <c r="A1492">
        <v>1591</v>
      </c>
      <c r="B1492" t="s">
        <v>34</v>
      </c>
      <c r="C1492" s="6">
        <v>44099</v>
      </c>
      <c r="D1492">
        <f>YEAR(Table1[[#This Row],[Join Date]])</f>
        <v>2020</v>
      </c>
      <c r="E1492" s="6" t="s">
        <v>48</v>
      </c>
      <c r="F1492" t="str">
        <f>IFERROR(YEAR(Table1[[#This Row],[Exit Date]]), " ")</f>
        <v xml:space="preserve"> </v>
      </c>
      <c r="G1492" t="str">
        <f>IFERROR((Table1[[#This Row],[Exit Year]]-Table1[[#This Row],[Join Year]])+1," ")</f>
        <v xml:space="preserve"> </v>
      </c>
      <c r="H1492" t="s">
        <v>48</v>
      </c>
      <c r="I1492" t="s">
        <v>11</v>
      </c>
      <c r="J1492" t="s">
        <v>18</v>
      </c>
      <c r="K1492">
        <v>23</v>
      </c>
      <c r="L1492" t="str">
        <f>IF(Table1[[#This Row],[Age]]&lt;30,"20-29",
IF(Table1[[#This Row],[Age]]&lt;40,"30-39",
IF(Table1[[#This Row],[Age]]&lt;50,"40-49",
IF(Table1[[#This Row],[Age]]&lt;60,"50-59","60+"))))</f>
        <v>20-29</v>
      </c>
      <c r="M1492" t="s">
        <v>13</v>
      </c>
      <c r="N1492" t="s">
        <v>25</v>
      </c>
    </row>
    <row r="1493" spans="1:14" x14ac:dyDescent="0.35">
      <c r="A1493">
        <v>1592</v>
      </c>
      <c r="B1493" t="s">
        <v>34</v>
      </c>
      <c r="C1493" s="6">
        <v>45632</v>
      </c>
      <c r="D1493">
        <f>YEAR(Table1[[#This Row],[Join Date]])</f>
        <v>2024</v>
      </c>
      <c r="E1493" s="6" t="s">
        <v>48</v>
      </c>
      <c r="F1493" t="str">
        <f>IFERROR(YEAR(Table1[[#This Row],[Exit Date]]), " ")</f>
        <v xml:space="preserve"> </v>
      </c>
      <c r="G1493" t="str">
        <f>IFERROR((Table1[[#This Row],[Exit Year]]-Table1[[#This Row],[Join Year]])+1," ")</f>
        <v xml:space="preserve"> </v>
      </c>
      <c r="H1493" t="s">
        <v>48</v>
      </c>
      <c r="I1493" t="s">
        <v>11</v>
      </c>
      <c r="J1493" t="s">
        <v>18</v>
      </c>
      <c r="K1493">
        <v>31</v>
      </c>
      <c r="L1493" t="str">
        <f>IF(Table1[[#This Row],[Age]]&lt;30,"20-29",
IF(Table1[[#This Row],[Age]]&lt;40,"30-39",
IF(Table1[[#This Row],[Age]]&lt;50,"40-49",
IF(Table1[[#This Row],[Age]]&lt;60,"50-59","60+"))))</f>
        <v>30-39</v>
      </c>
      <c r="M1493" t="s">
        <v>16</v>
      </c>
      <c r="N1493" t="s">
        <v>35</v>
      </c>
    </row>
    <row r="1494" spans="1:14" x14ac:dyDescent="0.35">
      <c r="A1494">
        <v>1593</v>
      </c>
      <c r="B1494" t="s">
        <v>36</v>
      </c>
      <c r="C1494" s="6">
        <v>45294</v>
      </c>
      <c r="D1494">
        <f>YEAR(Table1[[#This Row],[Join Date]])</f>
        <v>2024</v>
      </c>
      <c r="E1494" s="6" t="s">
        <v>48</v>
      </c>
      <c r="F1494" t="str">
        <f>IFERROR(YEAR(Table1[[#This Row],[Exit Date]]), " ")</f>
        <v xml:space="preserve"> </v>
      </c>
      <c r="G1494" t="str">
        <f>IFERROR((Table1[[#This Row],[Exit Year]]-Table1[[#This Row],[Join Year]])+1," ")</f>
        <v xml:space="preserve"> </v>
      </c>
      <c r="H1494" t="s">
        <v>48</v>
      </c>
      <c r="I1494" t="s">
        <v>11</v>
      </c>
      <c r="J1494" t="s">
        <v>12</v>
      </c>
      <c r="K1494">
        <v>52</v>
      </c>
      <c r="L1494" t="str">
        <f>IF(Table1[[#This Row],[Age]]&lt;30,"20-29",
IF(Table1[[#This Row],[Age]]&lt;40,"30-39",
IF(Table1[[#This Row],[Age]]&lt;50,"40-49",
IF(Table1[[#This Row],[Age]]&lt;60,"50-59","60+"))))</f>
        <v>50-59</v>
      </c>
      <c r="M1494" t="s">
        <v>13</v>
      </c>
      <c r="N1494" t="s">
        <v>17</v>
      </c>
    </row>
    <row r="1495" spans="1:14" x14ac:dyDescent="0.35">
      <c r="A1495">
        <v>1594</v>
      </c>
      <c r="B1495" t="s">
        <v>26</v>
      </c>
      <c r="C1495" s="6">
        <v>44590</v>
      </c>
      <c r="D1495">
        <f>YEAR(Table1[[#This Row],[Join Date]])</f>
        <v>2022</v>
      </c>
      <c r="E1495" s="6" t="s">
        <v>48</v>
      </c>
      <c r="F1495" t="str">
        <f>IFERROR(YEAR(Table1[[#This Row],[Exit Date]]), " ")</f>
        <v xml:space="preserve"> </v>
      </c>
      <c r="G1495" t="str">
        <f>IFERROR((Table1[[#This Row],[Exit Year]]-Table1[[#This Row],[Join Year]])+1," ")</f>
        <v xml:space="preserve"> </v>
      </c>
      <c r="H1495" t="s">
        <v>48</v>
      </c>
      <c r="I1495" t="s">
        <v>11</v>
      </c>
      <c r="J1495" t="s">
        <v>18</v>
      </c>
      <c r="K1495">
        <v>25</v>
      </c>
      <c r="L1495" t="str">
        <f>IF(Table1[[#This Row],[Age]]&lt;30,"20-29",
IF(Table1[[#This Row],[Age]]&lt;40,"30-39",
IF(Table1[[#This Row],[Age]]&lt;50,"40-49",
IF(Table1[[#This Row],[Age]]&lt;60,"50-59","60+"))))</f>
        <v>20-29</v>
      </c>
      <c r="M1495" t="s">
        <v>20</v>
      </c>
      <c r="N1495" t="s">
        <v>19</v>
      </c>
    </row>
    <row r="1496" spans="1:14" x14ac:dyDescent="0.35">
      <c r="A1496">
        <v>1595</v>
      </c>
      <c r="B1496" t="s">
        <v>15</v>
      </c>
      <c r="C1496" s="6">
        <v>45215</v>
      </c>
      <c r="D1496">
        <f>YEAR(Table1[[#This Row],[Join Date]])</f>
        <v>2023</v>
      </c>
      <c r="E1496" s="6" t="s">
        <v>48</v>
      </c>
      <c r="F1496" t="str">
        <f>IFERROR(YEAR(Table1[[#This Row],[Exit Date]]), " ")</f>
        <v xml:space="preserve"> </v>
      </c>
      <c r="G1496" t="str">
        <f>IFERROR((Table1[[#This Row],[Exit Year]]-Table1[[#This Row],[Join Year]])+1," ")</f>
        <v xml:space="preserve"> </v>
      </c>
      <c r="H1496" t="s">
        <v>48</v>
      </c>
      <c r="I1496" t="s">
        <v>11</v>
      </c>
      <c r="J1496" t="s">
        <v>18</v>
      </c>
      <c r="K1496">
        <v>46</v>
      </c>
      <c r="L1496" t="str">
        <f>IF(Table1[[#This Row],[Age]]&lt;30,"20-29",
IF(Table1[[#This Row],[Age]]&lt;40,"30-39",
IF(Table1[[#This Row],[Age]]&lt;50,"40-49",
IF(Table1[[#This Row],[Age]]&lt;60,"50-59","60+"))))</f>
        <v>40-49</v>
      </c>
      <c r="M1496" t="s">
        <v>39</v>
      </c>
      <c r="N1496" t="s">
        <v>21</v>
      </c>
    </row>
    <row r="1497" spans="1:14" x14ac:dyDescent="0.35">
      <c r="A1497">
        <v>1596</v>
      </c>
      <c r="B1497" t="s">
        <v>15</v>
      </c>
      <c r="C1497" s="6">
        <v>43624</v>
      </c>
      <c r="D1497">
        <f>YEAR(Table1[[#This Row],[Join Date]])</f>
        <v>2019</v>
      </c>
      <c r="E1497" s="6">
        <v>44228</v>
      </c>
      <c r="F1497">
        <f>IFERROR(YEAR(Table1[[#This Row],[Exit Date]]), " ")</f>
        <v>2021</v>
      </c>
      <c r="G1497">
        <f>IFERROR((Table1[[#This Row],[Exit Year]]-Table1[[#This Row],[Join Year]])+1," ")</f>
        <v>3</v>
      </c>
      <c r="H1497" t="s">
        <v>41</v>
      </c>
      <c r="I1497" t="s">
        <v>23</v>
      </c>
      <c r="J1497" t="s">
        <v>18</v>
      </c>
      <c r="K1497">
        <v>24</v>
      </c>
      <c r="L1497" t="str">
        <f>IF(Table1[[#This Row],[Age]]&lt;30,"20-29",
IF(Table1[[#This Row],[Age]]&lt;40,"30-39",
IF(Table1[[#This Row],[Age]]&lt;50,"40-49",
IF(Table1[[#This Row],[Age]]&lt;60,"50-59","60+"))))</f>
        <v>20-29</v>
      </c>
      <c r="M1497" t="s">
        <v>13</v>
      </c>
      <c r="N1497" t="s">
        <v>25</v>
      </c>
    </row>
    <row r="1498" spans="1:14" x14ac:dyDescent="0.35">
      <c r="A1498">
        <v>1597</v>
      </c>
      <c r="B1498" t="s">
        <v>15</v>
      </c>
      <c r="C1498" s="6">
        <v>44514</v>
      </c>
      <c r="D1498">
        <f>YEAR(Table1[[#This Row],[Join Date]])</f>
        <v>2021</v>
      </c>
      <c r="E1498" s="6">
        <v>45529</v>
      </c>
      <c r="F1498">
        <f>IFERROR(YEAR(Table1[[#This Row],[Exit Date]]), " ")</f>
        <v>2024</v>
      </c>
      <c r="G1498">
        <f>IFERROR((Table1[[#This Row],[Exit Year]]-Table1[[#This Row],[Join Year]])+1," ")</f>
        <v>4</v>
      </c>
      <c r="H1498" t="s">
        <v>46</v>
      </c>
      <c r="I1498" t="s">
        <v>23</v>
      </c>
      <c r="J1498" t="s">
        <v>12</v>
      </c>
      <c r="K1498">
        <v>38</v>
      </c>
      <c r="L1498" t="str">
        <f>IF(Table1[[#This Row],[Age]]&lt;30,"20-29",
IF(Table1[[#This Row],[Age]]&lt;40,"30-39",
IF(Table1[[#This Row],[Age]]&lt;50,"40-49",
IF(Table1[[#This Row],[Age]]&lt;60,"50-59","60+"))))</f>
        <v>30-39</v>
      </c>
      <c r="M1498" t="s">
        <v>16</v>
      </c>
      <c r="N1498" t="s">
        <v>35</v>
      </c>
    </row>
    <row r="1499" spans="1:14" x14ac:dyDescent="0.35">
      <c r="A1499">
        <v>1598</v>
      </c>
      <c r="B1499" t="s">
        <v>29</v>
      </c>
      <c r="C1499" s="6">
        <v>43700</v>
      </c>
      <c r="D1499">
        <f>YEAR(Table1[[#This Row],[Join Date]])</f>
        <v>2019</v>
      </c>
      <c r="E1499" s="6" t="s">
        <v>48</v>
      </c>
      <c r="F1499" t="str">
        <f>IFERROR(YEAR(Table1[[#This Row],[Exit Date]]), " ")</f>
        <v xml:space="preserve"> </v>
      </c>
      <c r="G1499" t="str">
        <f>IFERROR((Table1[[#This Row],[Exit Year]]-Table1[[#This Row],[Join Year]])+1," ")</f>
        <v xml:space="preserve"> </v>
      </c>
      <c r="H1499" t="s">
        <v>48</v>
      </c>
      <c r="I1499" t="s">
        <v>11</v>
      </c>
      <c r="J1499" t="s">
        <v>12</v>
      </c>
      <c r="K1499">
        <v>49</v>
      </c>
      <c r="L1499" t="str">
        <f>IF(Table1[[#This Row],[Age]]&lt;30,"20-29",
IF(Table1[[#This Row],[Age]]&lt;40,"30-39",
IF(Table1[[#This Row],[Age]]&lt;50,"40-49",
IF(Table1[[#This Row],[Age]]&lt;60,"50-59","60+"))))</f>
        <v>40-49</v>
      </c>
      <c r="M1499" t="s">
        <v>16</v>
      </c>
      <c r="N1499" t="s">
        <v>14</v>
      </c>
    </row>
    <row r="1500" spans="1:14" x14ac:dyDescent="0.35">
      <c r="A1500">
        <v>1599</v>
      </c>
      <c r="B1500" t="s">
        <v>34</v>
      </c>
      <c r="C1500" s="6">
        <v>45540</v>
      </c>
      <c r="D1500">
        <f>YEAR(Table1[[#This Row],[Join Date]])</f>
        <v>2024</v>
      </c>
      <c r="E1500" s="6" t="s">
        <v>48</v>
      </c>
      <c r="F1500" t="str">
        <f>IFERROR(YEAR(Table1[[#This Row],[Exit Date]]), " ")</f>
        <v xml:space="preserve"> </v>
      </c>
      <c r="G1500" t="str">
        <f>IFERROR((Table1[[#This Row],[Exit Year]]-Table1[[#This Row],[Join Year]])+1," ")</f>
        <v xml:space="preserve"> </v>
      </c>
      <c r="H1500" t="s">
        <v>48</v>
      </c>
      <c r="I1500" t="s">
        <v>11</v>
      </c>
      <c r="J1500" t="s">
        <v>18</v>
      </c>
      <c r="K1500">
        <v>31</v>
      </c>
      <c r="L1500" t="str">
        <f>IF(Table1[[#This Row],[Age]]&lt;30,"20-29",
IF(Table1[[#This Row],[Age]]&lt;40,"30-39",
IF(Table1[[#This Row],[Age]]&lt;50,"40-49",
IF(Table1[[#This Row],[Age]]&lt;60,"50-59","60+"))))</f>
        <v>30-39</v>
      </c>
      <c r="M1500" t="s">
        <v>20</v>
      </c>
      <c r="N1500" t="s">
        <v>19</v>
      </c>
    </row>
    <row r="1501" spans="1:14" x14ac:dyDescent="0.35">
      <c r="A1501">
        <v>1600</v>
      </c>
      <c r="B1501" t="s">
        <v>10</v>
      </c>
      <c r="C1501" s="6">
        <v>43297</v>
      </c>
      <c r="D1501">
        <f>YEAR(Table1[[#This Row],[Join Date]])</f>
        <v>2018</v>
      </c>
      <c r="E1501" s="6">
        <v>44682</v>
      </c>
      <c r="F1501">
        <f>IFERROR(YEAR(Table1[[#This Row],[Exit Date]]), " ")</f>
        <v>2022</v>
      </c>
      <c r="G1501">
        <f>IFERROR((Table1[[#This Row],[Exit Year]]-Table1[[#This Row],[Join Year]])+1," ")</f>
        <v>5</v>
      </c>
      <c r="H1501" t="s">
        <v>40</v>
      </c>
      <c r="I1501" t="s">
        <v>23</v>
      </c>
      <c r="J1501" t="s">
        <v>12</v>
      </c>
      <c r="K1501">
        <v>51</v>
      </c>
      <c r="L1501" t="str">
        <f>IF(Table1[[#This Row],[Age]]&lt;30,"20-29",
IF(Table1[[#This Row],[Age]]&lt;40,"30-39",
IF(Table1[[#This Row],[Age]]&lt;50,"40-49",
IF(Table1[[#This Row],[Age]]&lt;60,"50-59","60+"))))</f>
        <v>50-59</v>
      </c>
      <c r="M1501" t="s">
        <v>24</v>
      </c>
      <c r="N1501" t="s">
        <v>21</v>
      </c>
    </row>
    <row r="1502" spans="1:14" x14ac:dyDescent="0.35">
      <c r="A1502">
        <v>1601</v>
      </c>
      <c r="B1502" t="s">
        <v>10</v>
      </c>
      <c r="C1502" s="6">
        <v>43407</v>
      </c>
      <c r="D1502">
        <f>YEAR(Table1[[#This Row],[Join Date]])</f>
        <v>2018</v>
      </c>
      <c r="E1502" s="6" t="s">
        <v>48</v>
      </c>
      <c r="F1502" t="str">
        <f>IFERROR(YEAR(Table1[[#This Row],[Exit Date]]), " ")</f>
        <v xml:space="preserve"> </v>
      </c>
      <c r="G1502" t="str">
        <f>IFERROR((Table1[[#This Row],[Exit Year]]-Table1[[#This Row],[Join Year]])+1," ")</f>
        <v xml:space="preserve"> </v>
      </c>
      <c r="H1502" t="s">
        <v>48</v>
      </c>
      <c r="I1502" t="s">
        <v>11</v>
      </c>
      <c r="J1502" t="s">
        <v>12</v>
      </c>
      <c r="K1502">
        <v>27</v>
      </c>
      <c r="L1502" t="str">
        <f>IF(Table1[[#This Row],[Age]]&lt;30,"20-29",
IF(Table1[[#This Row],[Age]]&lt;40,"30-39",
IF(Table1[[#This Row],[Age]]&lt;50,"40-49",
IF(Table1[[#This Row],[Age]]&lt;60,"50-59","60+"))))</f>
        <v>20-29</v>
      </c>
      <c r="M1502" t="s">
        <v>13</v>
      </c>
      <c r="N1502" t="s">
        <v>25</v>
      </c>
    </row>
    <row r="1503" spans="1:14" x14ac:dyDescent="0.35">
      <c r="A1503">
        <v>1602</v>
      </c>
      <c r="B1503" t="s">
        <v>15</v>
      </c>
      <c r="C1503" s="6">
        <v>44121</v>
      </c>
      <c r="D1503">
        <f>YEAR(Table1[[#This Row],[Join Date]])</f>
        <v>2020</v>
      </c>
      <c r="E1503" s="6" t="s">
        <v>48</v>
      </c>
      <c r="F1503" t="str">
        <f>IFERROR(YEAR(Table1[[#This Row],[Exit Date]]), " ")</f>
        <v xml:space="preserve"> </v>
      </c>
      <c r="G1503" t="str">
        <f>IFERROR((Table1[[#This Row],[Exit Year]]-Table1[[#This Row],[Join Year]])+1," ")</f>
        <v xml:space="preserve"> </v>
      </c>
      <c r="H1503" t="s">
        <v>48</v>
      </c>
      <c r="I1503" t="s">
        <v>11</v>
      </c>
      <c r="J1503" t="s">
        <v>18</v>
      </c>
      <c r="K1503">
        <v>22</v>
      </c>
      <c r="L1503" t="str">
        <f>IF(Table1[[#This Row],[Age]]&lt;30,"20-29",
IF(Table1[[#This Row],[Age]]&lt;40,"30-39",
IF(Table1[[#This Row],[Age]]&lt;50,"40-49",
IF(Table1[[#This Row],[Age]]&lt;60,"50-59","60+"))))</f>
        <v>20-29</v>
      </c>
      <c r="M1503" t="s">
        <v>30</v>
      </c>
      <c r="N1503" t="s">
        <v>35</v>
      </c>
    </row>
    <row r="1504" spans="1:14" x14ac:dyDescent="0.35">
      <c r="A1504">
        <v>1603</v>
      </c>
      <c r="B1504" t="s">
        <v>15</v>
      </c>
      <c r="C1504" s="6">
        <v>44423</v>
      </c>
      <c r="D1504">
        <f>YEAR(Table1[[#This Row],[Join Date]])</f>
        <v>2021</v>
      </c>
      <c r="E1504" s="6" t="s">
        <v>48</v>
      </c>
      <c r="F1504" t="str">
        <f>IFERROR(YEAR(Table1[[#This Row],[Exit Date]]), " ")</f>
        <v xml:space="preserve"> </v>
      </c>
      <c r="G1504" t="str">
        <f>IFERROR((Table1[[#This Row],[Exit Year]]-Table1[[#This Row],[Join Year]])+1," ")</f>
        <v xml:space="preserve"> </v>
      </c>
      <c r="H1504" t="s">
        <v>48</v>
      </c>
      <c r="I1504" t="s">
        <v>11</v>
      </c>
      <c r="J1504" t="s">
        <v>12</v>
      </c>
      <c r="K1504">
        <v>50</v>
      </c>
      <c r="L1504" t="str">
        <f>IF(Table1[[#This Row],[Age]]&lt;30,"20-29",
IF(Table1[[#This Row],[Age]]&lt;40,"30-39",
IF(Table1[[#This Row],[Age]]&lt;50,"40-49",
IF(Table1[[#This Row],[Age]]&lt;60,"50-59","60+"))))</f>
        <v>50-59</v>
      </c>
      <c r="M1504" t="s">
        <v>13</v>
      </c>
      <c r="N1504" t="s">
        <v>17</v>
      </c>
    </row>
    <row r="1505" spans="1:14" x14ac:dyDescent="0.35">
      <c r="A1505">
        <v>1604</v>
      </c>
      <c r="B1505" t="s">
        <v>15</v>
      </c>
      <c r="C1505" s="6">
        <v>45087</v>
      </c>
      <c r="D1505">
        <f>YEAR(Table1[[#This Row],[Join Date]])</f>
        <v>2023</v>
      </c>
      <c r="E1505" s="6" t="s">
        <v>48</v>
      </c>
      <c r="F1505" t="str">
        <f>IFERROR(YEAR(Table1[[#This Row],[Exit Date]]), " ")</f>
        <v xml:space="preserve"> </v>
      </c>
      <c r="G1505" t="str">
        <f>IFERROR((Table1[[#This Row],[Exit Year]]-Table1[[#This Row],[Join Year]])+1," ")</f>
        <v xml:space="preserve"> </v>
      </c>
      <c r="H1505" t="s">
        <v>48</v>
      </c>
      <c r="I1505" t="s">
        <v>11</v>
      </c>
      <c r="J1505" t="s">
        <v>12</v>
      </c>
      <c r="K1505">
        <v>24</v>
      </c>
      <c r="L1505" t="str">
        <f>IF(Table1[[#This Row],[Age]]&lt;30,"20-29",
IF(Table1[[#This Row],[Age]]&lt;40,"30-39",
IF(Table1[[#This Row],[Age]]&lt;50,"40-49",
IF(Table1[[#This Row],[Age]]&lt;60,"50-59","60+"))))</f>
        <v>20-29</v>
      </c>
      <c r="M1505" t="s">
        <v>13</v>
      </c>
      <c r="N1505" t="s">
        <v>19</v>
      </c>
    </row>
    <row r="1506" spans="1:14" x14ac:dyDescent="0.35">
      <c r="A1506">
        <v>1605</v>
      </c>
      <c r="B1506" t="s">
        <v>15</v>
      </c>
      <c r="C1506" s="6">
        <v>43479</v>
      </c>
      <c r="D1506">
        <f>YEAR(Table1[[#This Row],[Join Date]])</f>
        <v>2019</v>
      </c>
      <c r="E1506" s="6">
        <v>44449</v>
      </c>
      <c r="F1506">
        <f>IFERROR(YEAR(Table1[[#This Row],[Exit Date]]), " ")</f>
        <v>2021</v>
      </c>
      <c r="G1506">
        <f>IFERROR((Table1[[#This Row],[Exit Year]]-Table1[[#This Row],[Join Year]])+1," ")</f>
        <v>3</v>
      </c>
      <c r="H1506" t="s">
        <v>22</v>
      </c>
      <c r="I1506" t="s">
        <v>23</v>
      </c>
      <c r="J1506" t="s">
        <v>12</v>
      </c>
      <c r="K1506">
        <v>50</v>
      </c>
      <c r="L1506" t="str">
        <f>IF(Table1[[#This Row],[Age]]&lt;30,"20-29",
IF(Table1[[#This Row],[Age]]&lt;40,"30-39",
IF(Table1[[#This Row],[Age]]&lt;50,"40-49",
IF(Table1[[#This Row],[Age]]&lt;60,"50-59","60+"))))</f>
        <v>50-59</v>
      </c>
      <c r="M1506" t="s">
        <v>16</v>
      </c>
      <c r="N1506" t="s">
        <v>21</v>
      </c>
    </row>
    <row r="1507" spans="1:14" x14ac:dyDescent="0.35">
      <c r="A1507">
        <v>1606</v>
      </c>
      <c r="B1507" t="s">
        <v>26</v>
      </c>
      <c r="C1507" s="6">
        <v>44749</v>
      </c>
      <c r="D1507">
        <f>YEAR(Table1[[#This Row],[Join Date]])</f>
        <v>2022</v>
      </c>
      <c r="E1507" s="6">
        <v>44972</v>
      </c>
      <c r="F1507">
        <f>IFERROR(YEAR(Table1[[#This Row],[Exit Date]]), " ")</f>
        <v>2023</v>
      </c>
      <c r="G1507">
        <f>IFERROR((Table1[[#This Row],[Exit Year]]-Table1[[#This Row],[Join Year]])+1," ")</f>
        <v>2</v>
      </c>
      <c r="H1507" t="s">
        <v>46</v>
      </c>
      <c r="I1507" t="s">
        <v>23</v>
      </c>
      <c r="J1507" t="s">
        <v>18</v>
      </c>
      <c r="K1507">
        <v>28</v>
      </c>
      <c r="L1507" t="str">
        <f>IF(Table1[[#This Row],[Age]]&lt;30,"20-29",
IF(Table1[[#This Row],[Age]]&lt;40,"30-39",
IF(Table1[[#This Row],[Age]]&lt;50,"40-49",
IF(Table1[[#This Row],[Age]]&lt;60,"50-59","60+"))))</f>
        <v>20-29</v>
      </c>
      <c r="M1507" t="s">
        <v>13</v>
      </c>
      <c r="N1507" t="s">
        <v>25</v>
      </c>
    </row>
    <row r="1508" spans="1:14" x14ac:dyDescent="0.35">
      <c r="A1508">
        <v>1607</v>
      </c>
      <c r="B1508" t="s">
        <v>29</v>
      </c>
      <c r="C1508" s="6">
        <v>45457</v>
      </c>
      <c r="D1508">
        <f>YEAR(Table1[[#This Row],[Join Date]])</f>
        <v>2024</v>
      </c>
      <c r="E1508" s="6" t="s">
        <v>48</v>
      </c>
      <c r="F1508" t="str">
        <f>IFERROR(YEAR(Table1[[#This Row],[Exit Date]]), " ")</f>
        <v xml:space="preserve"> </v>
      </c>
      <c r="G1508" t="str">
        <f>IFERROR((Table1[[#This Row],[Exit Year]]-Table1[[#This Row],[Join Year]])+1," ")</f>
        <v xml:space="preserve"> </v>
      </c>
      <c r="H1508" t="s">
        <v>48</v>
      </c>
      <c r="I1508" t="s">
        <v>11</v>
      </c>
      <c r="J1508" t="s">
        <v>12</v>
      </c>
      <c r="K1508">
        <v>40</v>
      </c>
      <c r="L1508" t="str">
        <f>IF(Table1[[#This Row],[Age]]&lt;30,"20-29",
IF(Table1[[#This Row],[Age]]&lt;40,"30-39",
IF(Table1[[#This Row],[Age]]&lt;50,"40-49",
IF(Table1[[#This Row],[Age]]&lt;60,"50-59","60+"))))</f>
        <v>40-49</v>
      </c>
      <c r="M1508" t="s">
        <v>20</v>
      </c>
      <c r="N1508" t="s">
        <v>35</v>
      </c>
    </row>
    <row r="1509" spans="1:14" x14ac:dyDescent="0.35">
      <c r="A1509">
        <v>1608</v>
      </c>
      <c r="B1509" t="s">
        <v>10</v>
      </c>
      <c r="C1509" s="6">
        <v>43304</v>
      </c>
      <c r="D1509">
        <f>YEAR(Table1[[#This Row],[Join Date]])</f>
        <v>2018</v>
      </c>
      <c r="E1509" s="6" t="s">
        <v>48</v>
      </c>
      <c r="F1509" t="str">
        <f>IFERROR(YEAR(Table1[[#This Row],[Exit Date]]), " ")</f>
        <v xml:space="preserve"> </v>
      </c>
      <c r="G1509" t="str">
        <f>IFERROR((Table1[[#This Row],[Exit Year]]-Table1[[#This Row],[Join Year]])+1," ")</f>
        <v xml:space="preserve"> </v>
      </c>
      <c r="H1509" t="s">
        <v>48</v>
      </c>
      <c r="I1509" t="s">
        <v>11</v>
      </c>
      <c r="J1509" t="s">
        <v>18</v>
      </c>
      <c r="K1509">
        <v>32</v>
      </c>
      <c r="L1509" t="str">
        <f>IF(Table1[[#This Row],[Age]]&lt;30,"20-29",
IF(Table1[[#This Row],[Age]]&lt;40,"30-39",
IF(Table1[[#This Row],[Age]]&lt;50,"40-49",
IF(Table1[[#This Row],[Age]]&lt;60,"50-59","60+"))))</f>
        <v>30-39</v>
      </c>
      <c r="M1509" t="s">
        <v>44</v>
      </c>
      <c r="N1509" t="s">
        <v>14</v>
      </c>
    </row>
    <row r="1510" spans="1:14" x14ac:dyDescent="0.35">
      <c r="A1510">
        <v>1609</v>
      </c>
      <c r="B1510" t="s">
        <v>15</v>
      </c>
      <c r="C1510" s="6">
        <v>44987</v>
      </c>
      <c r="D1510">
        <f>YEAR(Table1[[#This Row],[Join Date]])</f>
        <v>2023</v>
      </c>
      <c r="E1510" s="6" t="s">
        <v>48</v>
      </c>
      <c r="F1510" t="str">
        <f>IFERROR(YEAR(Table1[[#This Row],[Exit Date]]), " ")</f>
        <v xml:space="preserve"> </v>
      </c>
      <c r="G1510" t="str">
        <f>IFERROR((Table1[[#This Row],[Exit Year]]-Table1[[#This Row],[Join Year]])+1," ")</f>
        <v xml:space="preserve"> </v>
      </c>
      <c r="H1510" t="s">
        <v>48</v>
      </c>
      <c r="I1510" t="s">
        <v>11</v>
      </c>
      <c r="J1510" t="s">
        <v>18</v>
      </c>
      <c r="K1510">
        <v>50</v>
      </c>
      <c r="L1510" t="str">
        <f>IF(Table1[[#This Row],[Age]]&lt;30,"20-29",
IF(Table1[[#This Row],[Age]]&lt;40,"30-39",
IF(Table1[[#This Row],[Age]]&lt;50,"40-49",
IF(Table1[[#This Row],[Age]]&lt;60,"50-59","60+"))))</f>
        <v>50-59</v>
      </c>
      <c r="M1510" t="s">
        <v>13</v>
      </c>
      <c r="N1510" t="s">
        <v>19</v>
      </c>
    </row>
    <row r="1511" spans="1:14" x14ac:dyDescent="0.35">
      <c r="A1511">
        <v>1610</v>
      </c>
      <c r="B1511" t="s">
        <v>34</v>
      </c>
      <c r="C1511" s="6">
        <v>45326</v>
      </c>
      <c r="D1511">
        <f>YEAR(Table1[[#This Row],[Join Date]])</f>
        <v>2024</v>
      </c>
      <c r="E1511" s="6" t="s">
        <v>48</v>
      </c>
      <c r="F1511" t="str">
        <f>IFERROR(YEAR(Table1[[#This Row],[Exit Date]]), " ")</f>
        <v xml:space="preserve"> </v>
      </c>
      <c r="G1511" t="str">
        <f>IFERROR((Table1[[#This Row],[Exit Year]]-Table1[[#This Row],[Join Year]])+1," ")</f>
        <v xml:space="preserve"> </v>
      </c>
      <c r="H1511" t="s">
        <v>48</v>
      </c>
      <c r="I1511" t="s">
        <v>11</v>
      </c>
      <c r="J1511" t="s">
        <v>18</v>
      </c>
      <c r="K1511">
        <v>24</v>
      </c>
      <c r="L1511" t="str">
        <f>IF(Table1[[#This Row],[Age]]&lt;30,"20-29",
IF(Table1[[#This Row],[Age]]&lt;40,"30-39",
IF(Table1[[#This Row],[Age]]&lt;50,"40-49",
IF(Table1[[#This Row],[Age]]&lt;60,"50-59","60+"))))</f>
        <v>20-29</v>
      </c>
      <c r="M1511" t="s">
        <v>16</v>
      </c>
      <c r="N1511" t="s">
        <v>21</v>
      </c>
    </row>
    <row r="1512" spans="1:14" x14ac:dyDescent="0.35">
      <c r="A1512">
        <v>1611</v>
      </c>
      <c r="B1512" t="s">
        <v>36</v>
      </c>
      <c r="C1512" s="6">
        <v>45474</v>
      </c>
      <c r="D1512">
        <f>YEAR(Table1[[#This Row],[Join Date]])</f>
        <v>2024</v>
      </c>
      <c r="E1512" s="6" t="s">
        <v>48</v>
      </c>
      <c r="F1512" t="str">
        <f>IFERROR(YEAR(Table1[[#This Row],[Exit Date]]), " ")</f>
        <v xml:space="preserve"> </v>
      </c>
      <c r="G1512" t="str">
        <f>IFERROR((Table1[[#This Row],[Exit Year]]-Table1[[#This Row],[Join Year]])+1," ")</f>
        <v xml:space="preserve"> </v>
      </c>
      <c r="H1512" t="s">
        <v>48</v>
      </c>
      <c r="I1512" t="s">
        <v>11</v>
      </c>
      <c r="J1512" t="s">
        <v>12</v>
      </c>
      <c r="K1512">
        <v>36</v>
      </c>
      <c r="L1512" t="str">
        <f>IF(Table1[[#This Row],[Age]]&lt;30,"20-29",
IF(Table1[[#This Row],[Age]]&lt;40,"30-39",
IF(Table1[[#This Row],[Age]]&lt;50,"40-49",
IF(Table1[[#This Row],[Age]]&lt;60,"50-59","60+"))))</f>
        <v>30-39</v>
      </c>
      <c r="M1512" t="s">
        <v>16</v>
      </c>
      <c r="N1512" t="s">
        <v>37</v>
      </c>
    </row>
    <row r="1513" spans="1:14" x14ac:dyDescent="0.35">
      <c r="A1513">
        <v>1612</v>
      </c>
      <c r="B1513" t="s">
        <v>29</v>
      </c>
      <c r="C1513" s="6">
        <v>44227</v>
      </c>
      <c r="D1513">
        <f>YEAR(Table1[[#This Row],[Join Date]])</f>
        <v>2021</v>
      </c>
      <c r="E1513" s="6">
        <v>45322</v>
      </c>
      <c r="F1513">
        <f>IFERROR(YEAR(Table1[[#This Row],[Exit Date]]), " ")</f>
        <v>2024</v>
      </c>
      <c r="G1513">
        <f>IFERROR((Table1[[#This Row],[Exit Year]]-Table1[[#This Row],[Join Year]])+1," ")</f>
        <v>4</v>
      </c>
      <c r="H1513" t="s">
        <v>46</v>
      </c>
      <c r="I1513" t="s">
        <v>23</v>
      </c>
      <c r="J1513" t="s">
        <v>12</v>
      </c>
      <c r="K1513">
        <v>49</v>
      </c>
      <c r="L1513" t="str">
        <f>IF(Table1[[#This Row],[Age]]&lt;30,"20-29",
IF(Table1[[#This Row],[Age]]&lt;40,"30-39",
IF(Table1[[#This Row],[Age]]&lt;50,"40-49",
IF(Table1[[#This Row],[Age]]&lt;60,"50-59","60+"))))</f>
        <v>40-49</v>
      </c>
      <c r="M1513" t="s">
        <v>20</v>
      </c>
      <c r="N1513" t="s">
        <v>25</v>
      </c>
    </row>
    <row r="1514" spans="1:14" x14ac:dyDescent="0.35">
      <c r="A1514">
        <v>1613</v>
      </c>
      <c r="B1514" t="s">
        <v>10</v>
      </c>
      <c r="C1514" s="6">
        <v>43446</v>
      </c>
      <c r="D1514">
        <f>YEAR(Table1[[#This Row],[Join Date]])</f>
        <v>2018</v>
      </c>
      <c r="E1514" s="6">
        <v>43936</v>
      </c>
      <c r="F1514">
        <f>IFERROR(YEAR(Table1[[#This Row],[Exit Date]]), " ")</f>
        <v>2020</v>
      </c>
      <c r="G1514">
        <f>IFERROR((Table1[[#This Row],[Exit Year]]-Table1[[#This Row],[Join Year]])+1," ")</f>
        <v>3</v>
      </c>
      <c r="H1514" t="s">
        <v>46</v>
      </c>
      <c r="I1514" t="s">
        <v>23</v>
      </c>
      <c r="J1514" t="s">
        <v>18</v>
      </c>
      <c r="K1514">
        <v>43</v>
      </c>
      <c r="L1514" t="str">
        <f>IF(Table1[[#This Row],[Age]]&lt;30,"20-29",
IF(Table1[[#This Row],[Age]]&lt;40,"30-39",
IF(Table1[[#This Row],[Age]]&lt;50,"40-49",
IF(Table1[[#This Row],[Age]]&lt;60,"50-59","60+"))))</f>
        <v>40-49</v>
      </c>
      <c r="M1514" t="s">
        <v>24</v>
      </c>
      <c r="N1514" t="s">
        <v>35</v>
      </c>
    </row>
    <row r="1515" spans="1:14" x14ac:dyDescent="0.35">
      <c r="A1515">
        <v>1614</v>
      </c>
      <c r="B1515" t="s">
        <v>15</v>
      </c>
      <c r="C1515" s="6">
        <v>45314</v>
      </c>
      <c r="D1515">
        <f>YEAR(Table1[[#This Row],[Join Date]])</f>
        <v>2024</v>
      </c>
      <c r="E1515" s="6" t="s">
        <v>48</v>
      </c>
      <c r="F1515" t="str">
        <f>IFERROR(YEAR(Table1[[#This Row],[Exit Date]]), " ")</f>
        <v xml:space="preserve"> </v>
      </c>
      <c r="G1515" t="str">
        <f>IFERROR((Table1[[#This Row],[Exit Year]]-Table1[[#This Row],[Join Year]])+1," ")</f>
        <v xml:space="preserve"> </v>
      </c>
      <c r="H1515" t="s">
        <v>48</v>
      </c>
      <c r="I1515" t="s">
        <v>11</v>
      </c>
      <c r="J1515" t="s">
        <v>18</v>
      </c>
      <c r="K1515">
        <v>40</v>
      </c>
      <c r="L1515" t="str">
        <f>IF(Table1[[#This Row],[Age]]&lt;30,"20-29",
IF(Table1[[#This Row],[Age]]&lt;40,"30-39",
IF(Table1[[#This Row],[Age]]&lt;50,"40-49",
IF(Table1[[#This Row],[Age]]&lt;60,"50-59","60+"))))</f>
        <v>40-49</v>
      </c>
      <c r="M1515" t="s">
        <v>13</v>
      </c>
      <c r="N1515" t="s">
        <v>14</v>
      </c>
    </row>
    <row r="1516" spans="1:14" x14ac:dyDescent="0.35">
      <c r="A1516">
        <v>1615</v>
      </c>
      <c r="B1516" t="s">
        <v>15</v>
      </c>
      <c r="C1516" s="6">
        <v>43123</v>
      </c>
      <c r="D1516">
        <f>YEAR(Table1[[#This Row],[Join Date]])</f>
        <v>2018</v>
      </c>
      <c r="E1516" s="6" t="s">
        <v>48</v>
      </c>
      <c r="F1516" t="str">
        <f>IFERROR(YEAR(Table1[[#This Row],[Exit Date]]), " ")</f>
        <v xml:space="preserve"> </v>
      </c>
      <c r="G1516" t="str">
        <f>IFERROR((Table1[[#This Row],[Exit Year]]-Table1[[#This Row],[Join Year]])+1," ")</f>
        <v xml:space="preserve"> </v>
      </c>
      <c r="H1516" t="s">
        <v>48</v>
      </c>
      <c r="I1516" t="s">
        <v>11</v>
      </c>
      <c r="J1516" t="s">
        <v>12</v>
      </c>
      <c r="K1516">
        <v>42</v>
      </c>
      <c r="L1516" t="str">
        <f>IF(Table1[[#This Row],[Age]]&lt;30,"20-29",
IF(Table1[[#This Row],[Age]]&lt;40,"30-39",
IF(Table1[[#This Row],[Age]]&lt;50,"40-49",
IF(Table1[[#This Row],[Age]]&lt;60,"50-59","60+"))))</f>
        <v>40-49</v>
      </c>
      <c r="M1516" t="s">
        <v>30</v>
      </c>
      <c r="N1516" t="s">
        <v>17</v>
      </c>
    </row>
    <row r="1517" spans="1:14" x14ac:dyDescent="0.35">
      <c r="A1517">
        <v>1616</v>
      </c>
      <c r="B1517" t="s">
        <v>10</v>
      </c>
      <c r="C1517" s="6">
        <v>43717</v>
      </c>
      <c r="D1517">
        <f>YEAR(Table1[[#This Row],[Join Date]])</f>
        <v>2019</v>
      </c>
      <c r="E1517" s="6">
        <v>44677</v>
      </c>
      <c r="F1517">
        <f>IFERROR(YEAR(Table1[[#This Row],[Exit Date]]), " ")</f>
        <v>2022</v>
      </c>
      <c r="G1517">
        <f>IFERROR((Table1[[#This Row],[Exit Year]]-Table1[[#This Row],[Join Year]])+1," ")</f>
        <v>4</v>
      </c>
      <c r="H1517" t="s">
        <v>40</v>
      </c>
      <c r="I1517" t="s">
        <v>23</v>
      </c>
      <c r="J1517" t="s">
        <v>12</v>
      </c>
      <c r="K1517">
        <v>35</v>
      </c>
      <c r="L1517" t="str">
        <f>IF(Table1[[#This Row],[Age]]&lt;30,"20-29",
IF(Table1[[#This Row],[Age]]&lt;40,"30-39",
IF(Table1[[#This Row],[Age]]&lt;50,"40-49",
IF(Table1[[#This Row],[Age]]&lt;60,"50-59","60+"))))</f>
        <v>30-39</v>
      </c>
      <c r="M1517" t="s">
        <v>13</v>
      </c>
      <c r="N1517" t="s">
        <v>19</v>
      </c>
    </row>
    <row r="1518" spans="1:14" x14ac:dyDescent="0.35">
      <c r="A1518">
        <v>1617</v>
      </c>
      <c r="B1518" t="s">
        <v>29</v>
      </c>
      <c r="C1518" s="6">
        <v>43534</v>
      </c>
      <c r="D1518">
        <f>YEAR(Table1[[#This Row],[Join Date]])</f>
        <v>2019</v>
      </c>
      <c r="E1518" s="6">
        <v>44117</v>
      </c>
      <c r="F1518">
        <f>IFERROR(YEAR(Table1[[#This Row],[Exit Date]]), " ")</f>
        <v>2020</v>
      </c>
      <c r="G1518">
        <f>IFERROR((Table1[[#This Row],[Exit Year]]-Table1[[#This Row],[Join Year]])+1," ")</f>
        <v>2</v>
      </c>
      <c r="H1518" t="s">
        <v>38</v>
      </c>
      <c r="I1518" t="s">
        <v>23</v>
      </c>
      <c r="J1518" t="s">
        <v>12</v>
      </c>
      <c r="K1518">
        <v>31</v>
      </c>
      <c r="L1518" t="str">
        <f>IF(Table1[[#This Row],[Age]]&lt;30,"20-29",
IF(Table1[[#This Row],[Age]]&lt;40,"30-39",
IF(Table1[[#This Row],[Age]]&lt;50,"40-49",
IF(Table1[[#This Row],[Age]]&lt;60,"50-59","60+"))))</f>
        <v>30-39</v>
      </c>
      <c r="M1518" t="s">
        <v>13</v>
      </c>
      <c r="N1518" t="s">
        <v>21</v>
      </c>
    </row>
    <row r="1519" spans="1:14" x14ac:dyDescent="0.35">
      <c r="A1519">
        <v>1618</v>
      </c>
      <c r="B1519" t="s">
        <v>36</v>
      </c>
      <c r="C1519" s="6">
        <v>44619</v>
      </c>
      <c r="D1519">
        <f>YEAR(Table1[[#This Row],[Join Date]])</f>
        <v>2022</v>
      </c>
      <c r="E1519" s="6" t="s">
        <v>48</v>
      </c>
      <c r="F1519" t="str">
        <f>IFERROR(YEAR(Table1[[#This Row],[Exit Date]]), " ")</f>
        <v xml:space="preserve"> </v>
      </c>
      <c r="G1519" t="str">
        <f>IFERROR((Table1[[#This Row],[Exit Year]]-Table1[[#This Row],[Join Year]])+1," ")</f>
        <v xml:space="preserve"> </v>
      </c>
      <c r="H1519" t="s">
        <v>48</v>
      </c>
      <c r="I1519" t="s">
        <v>11</v>
      </c>
      <c r="J1519" t="s">
        <v>12</v>
      </c>
      <c r="K1519">
        <v>51</v>
      </c>
      <c r="L1519" t="str">
        <f>IF(Table1[[#This Row],[Age]]&lt;30,"20-29",
IF(Table1[[#This Row],[Age]]&lt;40,"30-39",
IF(Table1[[#This Row],[Age]]&lt;50,"40-49",
IF(Table1[[#This Row],[Age]]&lt;60,"50-59","60+"))))</f>
        <v>50-59</v>
      </c>
      <c r="M1519" t="s">
        <v>16</v>
      </c>
      <c r="N1519" t="s">
        <v>25</v>
      </c>
    </row>
    <row r="1520" spans="1:14" x14ac:dyDescent="0.35">
      <c r="A1520">
        <v>1619</v>
      </c>
      <c r="B1520" t="s">
        <v>10</v>
      </c>
      <c r="C1520" s="6">
        <v>45485</v>
      </c>
      <c r="D1520">
        <f>YEAR(Table1[[#This Row],[Join Date]])</f>
        <v>2024</v>
      </c>
      <c r="E1520" s="6" t="s">
        <v>48</v>
      </c>
      <c r="F1520" t="str">
        <f>IFERROR(YEAR(Table1[[#This Row],[Exit Date]]), " ")</f>
        <v xml:space="preserve"> </v>
      </c>
      <c r="G1520" t="str">
        <f>IFERROR((Table1[[#This Row],[Exit Year]]-Table1[[#This Row],[Join Year]])+1," ")</f>
        <v xml:space="preserve"> </v>
      </c>
      <c r="H1520" t="s">
        <v>48</v>
      </c>
      <c r="I1520" t="s">
        <v>11</v>
      </c>
      <c r="J1520" t="s">
        <v>18</v>
      </c>
      <c r="K1520">
        <v>48</v>
      </c>
      <c r="L1520" t="str">
        <f>IF(Table1[[#This Row],[Age]]&lt;30,"20-29",
IF(Table1[[#This Row],[Age]]&lt;40,"30-39",
IF(Table1[[#This Row],[Age]]&lt;50,"40-49",
IF(Table1[[#This Row],[Age]]&lt;60,"50-59","60+"))))</f>
        <v>40-49</v>
      </c>
      <c r="M1520" t="s">
        <v>13</v>
      </c>
      <c r="N1520" t="s">
        <v>28</v>
      </c>
    </row>
    <row r="1521" spans="1:14" x14ac:dyDescent="0.35">
      <c r="A1521">
        <v>1620</v>
      </c>
      <c r="B1521" t="s">
        <v>29</v>
      </c>
      <c r="C1521" s="6">
        <v>43588</v>
      </c>
      <c r="D1521">
        <f>YEAR(Table1[[#This Row],[Join Date]])</f>
        <v>2019</v>
      </c>
      <c r="E1521" s="6">
        <v>44896</v>
      </c>
      <c r="F1521">
        <f>IFERROR(YEAR(Table1[[#This Row],[Exit Date]]), " ")</f>
        <v>2022</v>
      </c>
      <c r="G1521">
        <f>IFERROR((Table1[[#This Row],[Exit Year]]-Table1[[#This Row],[Join Year]])+1," ")</f>
        <v>4</v>
      </c>
      <c r="H1521" t="s">
        <v>41</v>
      </c>
      <c r="I1521" t="s">
        <v>23</v>
      </c>
      <c r="J1521" t="s">
        <v>12</v>
      </c>
      <c r="K1521">
        <v>41</v>
      </c>
      <c r="L1521" t="str">
        <f>IF(Table1[[#This Row],[Age]]&lt;30,"20-29",
IF(Table1[[#This Row],[Age]]&lt;40,"30-39",
IF(Table1[[#This Row],[Age]]&lt;50,"40-49",
IF(Table1[[#This Row],[Age]]&lt;60,"50-59","60+"))))</f>
        <v>40-49</v>
      </c>
      <c r="M1521" t="s">
        <v>20</v>
      </c>
      <c r="N1521" t="s">
        <v>31</v>
      </c>
    </row>
    <row r="1522" spans="1:14" x14ac:dyDescent="0.35">
      <c r="A1522">
        <v>1621</v>
      </c>
      <c r="B1522" t="s">
        <v>36</v>
      </c>
      <c r="C1522" s="6">
        <v>44250</v>
      </c>
      <c r="D1522">
        <f>YEAR(Table1[[#This Row],[Join Date]])</f>
        <v>2021</v>
      </c>
      <c r="E1522" s="6">
        <v>45392</v>
      </c>
      <c r="F1522">
        <f>IFERROR(YEAR(Table1[[#This Row],[Exit Date]]), " ")</f>
        <v>2024</v>
      </c>
      <c r="G1522">
        <f>IFERROR((Table1[[#This Row],[Exit Year]]-Table1[[#This Row],[Join Year]])+1," ")</f>
        <v>4</v>
      </c>
      <c r="H1522" t="s">
        <v>46</v>
      </c>
      <c r="I1522" t="s">
        <v>23</v>
      </c>
      <c r="J1522" t="s">
        <v>18</v>
      </c>
      <c r="K1522">
        <v>35</v>
      </c>
      <c r="L1522" t="str">
        <f>IF(Table1[[#This Row],[Age]]&lt;30,"20-29",
IF(Table1[[#This Row],[Age]]&lt;40,"30-39",
IF(Table1[[#This Row],[Age]]&lt;50,"40-49",
IF(Table1[[#This Row],[Age]]&lt;60,"50-59","60+"))))</f>
        <v>30-39</v>
      </c>
      <c r="M1522" t="s">
        <v>39</v>
      </c>
      <c r="N1522" t="s">
        <v>32</v>
      </c>
    </row>
    <row r="1523" spans="1:14" x14ac:dyDescent="0.35">
      <c r="A1523">
        <v>1622</v>
      </c>
      <c r="B1523" t="s">
        <v>26</v>
      </c>
      <c r="C1523" s="6">
        <v>45244</v>
      </c>
      <c r="D1523">
        <f>YEAR(Table1[[#This Row],[Join Date]])</f>
        <v>2023</v>
      </c>
      <c r="E1523" s="6">
        <v>45446</v>
      </c>
      <c r="F1523">
        <f>IFERROR(YEAR(Table1[[#This Row],[Exit Date]]), " ")</f>
        <v>2024</v>
      </c>
      <c r="G1523">
        <f>IFERROR((Table1[[#This Row],[Exit Year]]-Table1[[#This Row],[Join Year]])+1," ")</f>
        <v>2</v>
      </c>
      <c r="H1523" t="s">
        <v>40</v>
      </c>
      <c r="I1523" t="s">
        <v>23</v>
      </c>
      <c r="J1523" t="s">
        <v>18</v>
      </c>
      <c r="K1523">
        <v>24</v>
      </c>
      <c r="L1523" t="str">
        <f>IF(Table1[[#This Row],[Age]]&lt;30,"20-29",
IF(Table1[[#This Row],[Age]]&lt;40,"30-39",
IF(Table1[[#This Row],[Age]]&lt;50,"40-49",
IF(Table1[[#This Row],[Age]]&lt;60,"50-59","60+"))))</f>
        <v>20-29</v>
      </c>
      <c r="M1523" t="s">
        <v>13</v>
      </c>
      <c r="N1523" t="s">
        <v>33</v>
      </c>
    </row>
    <row r="1524" spans="1:14" x14ac:dyDescent="0.35">
      <c r="A1524">
        <v>1623</v>
      </c>
      <c r="B1524" t="s">
        <v>15</v>
      </c>
      <c r="C1524" s="6">
        <v>45256</v>
      </c>
      <c r="D1524">
        <f>YEAR(Table1[[#This Row],[Join Date]])</f>
        <v>2023</v>
      </c>
      <c r="E1524" s="6" t="s">
        <v>48</v>
      </c>
      <c r="F1524" t="str">
        <f>IFERROR(YEAR(Table1[[#This Row],[Exit Date]]), " ")</f>
        <v xml:space="preserve"> </v>
      </c>
      <c r="G1524" t="str">
        <f>IFERROR((Table1[[#This Row],[Exit Year]]-Table1[[#This Row],[Join Year]])+1," ")</f>
        <v xml:space="preserve"> </v>
      </c>
      <c r="H1524" t="s">
        <v>48</v>
      </c>
      <c r="I1524" t="s">
        <v>11</v>
      </c>
      <c r="J1524" t="s">
        <v>12</v>
      </c>
      <c r="K1524">
        <v>41</v>
      </c>
      <c r="L1524" t="str">
        <f>IF(Table1[[#This Row],[Age]]&lt;30,"20-29",
IF(Table1[[#This Row],[Age]]&lt;40,"30-39",
IF(Table1[[#This Row],[Age]]&lt;50,"40-49",
IF(Table1[[#This Row],[Age]]&lt;60,"50-59","60+"))))</f>
        <v>40-49</v>
      </c>
      <c r="M1524" t="s">
        <v>16</v>
      </c>
      <c r="N1524" t="s">
        <v>35</v>
      </c>
    </row>
    <row r="1525" spans="1:14" x14ac:dyDescent="0.35">
      <c r="A1525">
        <v>1624</v>
      </c>
      <c r="B1525" t="s">
        <v>26</v>
      </c>
      <c r="C1525" s="6">
        <v>45465</v>
      </c>
      <c r="D1525">
        <f>YEAR(Table1[[#This Row],[Join Date]])</f>
        <v>2024</v>
      </c>
      <c r="E1525" s="6" t="s">
        <v>48</v>
      </c>
      <c r="F1525" t="str">
        <f>IFERROR(YEAR(Table1[[#This Row],[Exit Date]]), " ")</f>
        <v xml:space="preserve"> </v>
      </c>
      <c r="G1525" t="str">
        <f>IFERROR((Table1[[#This Row],[Exit Year]]-Table1[[#This Row],[Join Year]])+1," ")</f>
        <v xml:space="preserve"> </v>
      </c>
      <c r="H1525" t="s">
        <v>48</v>
      </c>
      <c r="I1525" t="s">
        <v>11</v>
      </c>
      <c r="J1525" t="s">
        <v>12</v>
      </c>
      <c r="K1525">
        <v>40</v>
      </c>
      <c r="L1525" t="str">
        <f>IF(Table1[[#This Row],[Age]]&lt;30,"20-29",
IF(Table1[[#This Row],[Age]]&lt;40,"30-39",
IF(Table1[[#This Row],[Age]]&lt;50,"40-49",
IF(Table1[[#This Row],[Age]]&lt;60,"50-59","60+"))))</f>
        <v>40-49</v>
      </c>
      <c r="M1525" t="s">
        <v>16</v>
      </c>
      <c r="N1525" t="s">
        <v>37</v>
      </c>
    </row>
    <row r="1526" spans="1:14" x14ac:dyDescent="0.35">
      <c r="A1526">
        <v>1625</v>
      </c>
      <c r="B1526" t="s">
        <v>10</v>
      </c>
      <c r="C1526" s="6">
        <v>43597</v>
      </c>
      <c r="D1526">
        <f>YEAR(Table1[[#This Row],[Join Date]])</f>
        <v>2019</v>
      </c>
      <c r="E1526" s="6" t="s">
        <v>48</v>
      </c>
      <c r="F1526" t="str">
        <f>IFERROR(YEAR(Table1[[#This Row],[Exit Date]]), " ")</f>
        <v xml:space="preserve"> </v>
      </c>
      <c r="G1526" t="str">
        <f>IFERROR((Table1[[#This Row],[Exit Year]]-Table1[[#This Row],[Join Year]])+1," ")</f>
        <v xml:space="preserve"> </v>
      </c>
      <c r="H1526" t="s">
        <v>48</v>
      </c>
      <c r="I1526" t="s">
        <v>11</v>
      </c>
      <c r="J1526" t="s">
        <v>12</v>
      </c>
      <c r="K1526">
        <v>48</v>
      </c>
      <c r="L1526" t="str">
        <f>IF(Table1[[#This Row],[Age]]&lt;30,"20-29",
IF(Table1[[#This Row],[Age]]&lt;40,"30-39",
IF(Table1[[#This Row],[Age]]&lt;50,"40-49",
IF(Table1[[#This Row],[Age]]&lt;60,"50-59","60+"))))</f>
        <v>40-49</v>
      </c>
      <c r="M1526" t="s">
        <v>20</v>
      </c>
      <c r="N1526" t="s">
        <v>19</v>
      </c>
    </row>
    <row r="1527" spans="1:14" x14ac:dyDescent="0.35">
      <c r="A1527">
        <v>1626</v>
      </c>
      <c r="B1527" t="s">
        <v>15</v>
      </c>
      <c r="C1527" s="6">
        <v>44866</v>
      </c>
      <c r="D1527">
        <f>YEAR(Table1[[#This Row],[Join Date]])</f>
        <v>2022</v>
      </c>
      <c r="E1527" s="6" t="s">
        <v>48</v>
      </c>
      <c r="F1527" t="str">
        <f>IFERROR(YEAR(Table1[[#This Row],[Exit Date]]), " ")</f>
        <v xml:space="preserve"> </v>
      </c>
      <c r="G1527" t="str">
        <f>IFERROR((Table1[[#This Row],[Exit Year]]-Table1[[#This Row],[Join Year]])+1," ")</f>
        <v xml:space="preserve"> </v>
      </c>
      <c r="H1527" t="s">
        <v>48</v>
      </c>
      <c r="I1527" t="s">
        <v>11</v>
      </c>
      <c r="J1527" t="s">
        <v>18</v>
      </c>
      <c r="K1527">
        <v>52</v>
      </c>
      <c r="L1527" t="str">
        <f>IF(Table1[[#This Row],[Age]]&lt;30,"20-29",
IF(Table1[[#This Row],[Age]]&lt;40,"30-39",
IF(Table1[[#This Row],[Age]]&lt;50,"40-49",
IF(Table1[[#This Row],[Age]]&lt;60,"50-59","60+"))))</f>
        <v>50-59</v>
      </c>
      <c r="M1527" t="s">
        <v>24</v>
      </c>
      <c r="N1527" t="s">
        <v>25</v>
      </c>
    </row>
    <row r="1528" spans="1:14" x14ac:dyDescent="0.35">
      <c r="A1528">
        <v>1627</v>
      </c>
      <c r="B1528" t="s">
        <v>34</v>
      </c>
      <c r="C1528" s="6">
        <v>44006</v>
      </c>
      <c r="D1528">
        <f>YEAR(Table1[[#This Row],[Join Date]])</f>
        <v>2020</v>
      </c>
      <c r="E1528" s="6">
        <v>44463</v>
      </c>
      <c r="F1528">
        <f>IFERROR(YEAR(Table1[[#This Row],[Exit Date]]), " ")</f>
        <v>2021</v>
      </c>
      <c r="G1528">
        <f>IFERROR((Table1[[#This Row],[Exit Year]]-Table1[[#This Row],[Join Year]])+1," ")</f>
        <v>2</v>
      </c>
      <c r="H1528" t="s">
        <v>43</v>
      </c>
      <c r="I1528" t="s">
        <v>23</v>
      </c>
      <c r="J1528" t="s">
        <v>12</v>
      </c>
      <c r="K1528">
        <v>33</v>
      </c>
      <c r="L1528" t="str">
        <f>IF(Table1[[#This Row],[Age]]&lt;30,"20-29",
IF(Table1[[#This Row],[Age]]&lt;40,"30-39",
IF(Table1[[#This Row],[Age]]&lt;50,"40-49",
IF(Table1[[#This Row],[Age]]&lt;60,"50-59","60+"))))</f>
        <v>30-39</v>
      </c>
      <c r="M1528" t="s">
        <v>13</v>
      </c>
      <c r="N1528" t="s">
        <v>35</v>
      </c>
    </row>
    <row r="1529" spans="1:14" x14ac:dyDescent="0.35">
      <c r="A1529">
        <v>1628</v>
      </c>
      <c r="B1529" t="s">
        <v>26</v>
      </c>
      <c r="C1529" s="6">
        <v>45095</v>
      </c>
      <c r="D1529">
        <f>YEAR(Table1[[#This Row],[Join Date]])</f>
        <v>2023</v>
      </c>
      <c r="E1529" s="6" t="s">
        <v>48</v>
      </c>
      <c r="F1529" t="str">
        <f>IFERROR(YEAR(Table1[[#This Row],[Exit Date]]), " ")</f>
        <v xml:space="preserve"> </v>
      </c>
      <c r="G1529" t="str">
        <f>IFERROR((Table1[[#This Row],[Exit Year]]-Table1[[#This Row],[Join Year]])+1," ")</f>
        <v xml:space="preserve"> </v>
      </c>
      <c r="H1529" t="s">
        <v>48</v>
      </c>
      <c r="I1529" t="s">
        <v>11</v>
      </c>
      <c r="J1529" t="s">
        <v>18</v>
      </c>
      <c r="K1529">
        <v>51</v>
      </c>
      <c r="L1529" t="str">
        <f>IF(Table1[[#This Row],[Age]]&lt;30,"20-29",
IF(Table1[[#This Row],[Age]]&lt;40,"30-39",
IF(Table1[[#This Row],[Age]]&lt;50,"40-49",
IF(Table1[[#This Row],[Age]]&lt;60,"50-59","60+"))))</f>
        <v>50-59</v>
      </c>
      <c r="M1529" t="s">
        <v>42</v>
      </c>
      <c r="N1529" t="s">
        <v>17</v>
      </c>
    </row>
    <row r="1530" spans="1:14" x14ac:dyDescent="0.35">
      <c r="A1530">
        <v>1629</v>
      </c>
      <c r="B1530" t="s">
        <v>10</v>
      </c>
      <c r="C1530" s="6">
        <v>44360</v>
      </c>
      <c r="D1530">
        <f>YEAR(Table1[[#This Row],[Join Date]])</f>
        <v>2021</v>
      </c>
      <c r="E1530" s="6">
        <v>44755</v>
      </c>
      <c r="F1530">
        <f>IFERROR(YEAR(Table1[[#This Row],[Exit Date]]), " ")</f>
        <v>2022</v>
      </c>
      <c r="G1530">
        <f>IFERROR((Table1[[#This Row],[Exit Year]]-Table1[[#This Row],[Join Year]])+1," ")</f>
        <v>2</v>
      </c>
      <c r="H1530" t="s">
        <v>46</v>
      </c>
      <c r="I1530" t="s">
        <v>23</v>
      </c>
      <c r="J1530" t="s">
        <v>12</v>
      </c>
      <c r="K1530">
        <v>46</v>
      </c>
      <c r="L1530" t="str">
        <f>IF(Table1[[#This Row],[Age]]&lt;30,"20-29",
IF(Table1[[#This Row],[Age]]&lt;40,"30-39",
IF(Table1[[#This Row],[Age]]&lt;50,"40-49",
IF(Table1[[#This Row],[Age]]&lt;60,"50-59","60+"))))</f>
        <v>40-49</v>
      </c>
      <c r="M1530" t="s">
        <v>13</v>
      </c>
      <c r="N1530" t="s">
        <v>19</v>
      </c>
    </row>
    <row r="1531" spans="1:14" x14ac:dyDescent="0.35">
      <c r="A1531">
        <v>1630</v>
      </c>
      <c r="B1531" t="s">
        <v>26</v>
      </c>
      <c r="C1531" s="6">
        <v>43419</v>
      </c>
      <c r="D1531">
        <f>YEAR(Table1[[#This Row],[Join Date]])</f>
        <v>2018</v>
      </c>
      <c r="E1531" s="6">
        <v>44303</v>
      </c>
      <c r="F1531">
        <f>IFERROR(YEAR(Table1[[#This Row],[Exit Date]]), " ")</f>
        <v>2021</v>
      </c>
      <c r="G1531">
        <f>IFERROR((Table1[[#This Row],[Exit Year]]-Table1[[#This Row],[Join Year]])+1," ")</f>
        <v>4</v>
      </c>
      <c r="H1531" t="s">
        <v>22</v>
      </c>
      <c r="I1531" t="s">
        <v>23</v>
      </c>
      <c r="J1531" t="s">
        <v>12</v>
      </c>
      <c r="K1531">
        <v>53</v>
      </c>
      <c r="L1531" t="str">
        <f>IF(Table1[[#This Row],[Age]]&lt;30,"20-29",
IF(Table1[[#This Row],[Age]]&lt;40,"30-39",
IF(Table1[[#This Row],[Age]]&lt;50,"40-49",
IF(Table1[[#This Row],[Age]]&lt;60,"50-59","60+"))))</f>
        <v>50-59</v>
      </c>
      <c r="M1531" t="s">
        <v>13</v>
      </c>
      <c r="N1531" t="s">
        <v>21</v>
      </c>
    </row>
    <row r="1532" spans="1:14" x14ac:dyDescent="0.35">
      <c r="A1532">
        <v>1631</v>
      </c>
      <c r="B1532" t="s">
        <v>36</v>
      </c>
      <c r="C1532" s="6">
        <v>44249</v>
      </c>
      <c r="D1532">
        <f>YEAR(Table1[[#This Row],[Join Date]])</f>
        <v>2021</v>
      </c>
      <c r="E1532" s="6" t="s">
        <v>48</v>
      </c>
      <c r="F1532" t="str">
        <f>IFERROR(YEAR(Table1[[#This Row],[Exit Date]]), " ")</f>
        <v xml:space="preserve"> </v>
      </c>
      <c r="G1532" t="str">
        <f>IFERROR((Table1[[#This Row],[Exit Year]]-Table1[[#This Row],[Join Year]])+1," ")</f>
        <v xml:space="preserve"> </v>
      </c>
      <c r="H1532" t="s">
        <v>48</v>
      </c>
      <c r="I1532" t="s">
        <v>11</v>
      </c>
      <c r="J1532" t="s">
        <v>18</v>
      </c>
      <c r="K1532">
        <v>35</v>
      </c>
      <c r="L1532" t="str">
        <f>IF(Table1[[#This Row],[Age]]&lt;30,"20-29",
IF(Table1[[#This Row],[Age]]&lt;40,"30-39",
IF(Table1[[#This Row],[Age]]&lt;50,"40-49",
IF(Table1[[#This Row],[Age]]&lt;60,"50-59","60+"))))</f>
        <v>30-39</v>
      </c>
      <c r="M1532" t="s">
        <v>16</v>
      </c>
      <c r="N1532" t="s">
        <v>25</v>
      </c>
    </row>
    <row r="1533" spans="1:14" x14ac:dyDescent="0.35">
      <c r="A1533">
        <v>1632</v>
      </c>
      <c r="B1533" t="s">
        <v>10</v>
      </c>
      <c r="C1533" s="6">
        <v>45533</v>
      </c>
      <c r="D1533">
        <f>YEAR(Table1[[#This Row],[Join Date]])</f>
        <v>2024</v>
      </c>
      <c r="E1533" s="6" t="s">
        <v>48</v>
      </c>
      <c r="F1533" t="str">
        <f>IFERROR(YEAR(Table1[[#This Row],[Exit Date]]), " ")</f>
        <v xml:space="preserve"> </v>
      </c>
      <c r="G1533" t="str">
        <f>IFERROR((Table1[[#This Row],[Exit Year]]-Table1[[#This Row],[Join Year]])+1," ")</f>
        <v xml:space="preserve"> </v>
      </c>
      <c r="H1533" t="s">
        <v>48</v>
      </c>
      <c r="I1533" t="s">
        <v>11</v>
      </c>
      <c r="J1533" t="s">
        <v>18</v>
      </c>
      <c r="K1533">
        <v>32</v>
      </c>
      <c r="L1533" t="str">
        <f>IF(Table1[[#This Row],[Age]]&lt;30,"20-29",
IF(Table1[[#This Row],[Age]]&lt;40,"30-39",
IF(Table1[[#This Row],[Age]]&lt;50,"40-49",
IF(Table1[[#This Row],[Age]]&lt;60,"50-59","60+"))))</f>
        <v>30-39</v>
      </c>
      <c r="M1533" t="s">
        <v>13</v>
      </c>
      <c r="N1533" t="s">
        <v>35</v>
      </c>
    </row>
    <row r="1534" spans="1:14" x14ac:dyDescent="0.35">
      <c r="A1534">
        <v>1633</v>
      </c>
      <c r="B1534" t="s">
        <v>36</v>
      </c>
      <c r="C1534" s="6">
        <v>44377</v>
      </c>
      <c r="D1534">
        <f>YEAR(Table1[[#This Row],[Join Date]])</f>
        <v>2021</v>
      </c>
      <c r="E1534" s="6" t="s">
        <v>48</v>
      </c>
      <c r="F1534" t="str">
        <f>IFERROR(YEAR(Table1[[#This Row],[Exit Date]]), " ")</f>
        <v xml:space="preserve"> </v>
      </c>
      <c r="G1534" t="str">
        <f>IFERROR((Table1[[#This Row],[Exit Year]]-Table1[[#This Row],[Join Year]])+1," ")</f>
        <v xml:space="preserve"> </v>
      </c>
      <c r="H1534" t="s">
        <v>48</v>
      </c>
      <c r="I1534" t="s">
        <v>11</v>
      </c>
      <c r="J1534" t="s">
        <v>12</v>
      </c>
      <c r="K1534">
        <v>46</v>
      </c>
      <c r="L1534" t="str">
        <f>IF(Table1[[#This Row],[Age]]&lt;30,"20-29",
IF(Table1[[#This Row],[Age]]&lt;40,"30-39",
IF(Table1[[#This Row],[Age]]&lt;50,"40-49",
IF(Table1[[#This Row],[Age]]&lt;60,"50-59","60+"))))</f>
        <v>40-49</v>
      </c>
      <c r="M1534" t="s">
        <v>20</v>
      </c>
      <c r="N1534" t="s">
        <v>14</v>
      </c>
    </row>
    <row r="1535" spans="1:14" x14ac:dyDescent="0.35">
      <c r="A1535">
        <v>1634</v>
      </c>
      <c r="B1535" t="s">
        <v>10</v>
      </c>
      <c r="C1535" s="6">
        <v>44088</v>
      </c>
      <c r="D1535">
        <f>YEAR(Table1[[#This Row],[Join Date]])</f>
        <v>2020</v>
      </c>
      <c r="E1535" s="6" t="s">
        <v>48</v>
      </c>
      <c r="F1535" t="str">
        <f>IFERROR(YEAR(Table1[[#This Row],[Exit Date]]), " ")</f>
        <v xml:space="preserve"> </v>
      </c>
      <c r="G1535" t="str">
        <f>IFERROR((Table1[[#This Row],[Exit Year]]-Table1[[#This Row],[Join Year]])+1," ")</f>
        <v xml:space="preserve"> </v>
      </c>
      <c r="H1535" t="s">
        <v>48</v>
      </c>
      <c r="I1535" t="s">
        <v>11</v>
      </c>
      <c r="J1535" t="s">
        <v>18</v>
      </c>
      <c r="K1535">
        <v>50</v>
      </c>
      <c r="L1535" t="str">
        <f>IF(Table1[[#This Row],[Age]]&lt;30,"20-29",
IF(Table1[[#This Row],[Age]]&lt;40,"30-39",
IF(Table1[[#This Row],[Age]]&lt;50,"40-49",
IF(Table1[[#This Row],[Age]]&lt;60,"50-59","60+"))))</f>
        <v>50-59</v>
      </c>
      <c r="M1535" t="s">
        <v>39</v>
      </c>
      <c r="N1535" t="s">
        <v>19</v>
      </c>
    </row>
    <row r="1536" spans="1:14" x14ac:dyDescent="0.35">
      <c r="A1536">
        <v>1635</v>
      </c>
      <c r="B1536" t="s">
        <v>26</v>
      </c>
      <c r="C1536" s="6">
        <v>43373</v>
      </c>
      <c r="D1536">
        <f>YEAR(Table1[[#This Row],[Join Date]])</f>
        <v>2018</v>
      </c>
      <c r="E1536" s="6">
        <v>44825</v>
      </c>
      <c r="F1536">
        <f>IFERROR(YEAR(Table1[[#This Row],[Exit Date]]), " ")</f>
        <v>2022</v>
      </c>
      <c r="G1536">
        <f>IFERROR((Table1[[#This Row],[Exit Year]]-Table1[[#This Row],[Join Year]])+1," ")</f>
        <v>5</v>
      </c>
      <c r="H1536" t="s">
        <v>27</v>
      </c>
      <c r="I1536" t="s">
        <v>23</v>
      </c>
      <c r="J1536" t="s">
        <v>12</v>
      </c>
      <c r="K1536">
        <v>63</v>
      </c>
      <c r="L1536" t="str">
        <f>IF(Table1[[#This Row],[Age]]&lt;30,"20-29",
IF(Table1[[#This Row],[Age]]&lt;40,"30-39",
IF(Table1[[#This Row],[Age]]&lt;50,"40-49",
IF(Table1[[#This Row],[Age]]&lt;60,"50-59","60+"))))</f>
        <v>60+</v>
      </c>
      <c r="M1536" t="s">
        <v>13</v>
      </c>
      <c r="N1536" t="s">
        <v>21</v>
      </c>
    </row>
    <row r="1537" spans="1:14" x14ac:dyDescent="0.35">
      <c r="A1537">
        <v>1636</v>
      </c>
      <c r="B1537" t="s">
        <v>26</v>
      </c>
      <c r="C1537" s="6">
        <v>43314</v>
      </c>
      <c r="D1537">
        <f>YEAR(Table1[[#This Row],[Join Date]])</f>
        <v>2018</v>
      </c>
      <c r="E1537" s="6" t="s">
        <v>48</v>
      </c>
      <c r="F1537" t="str">
        <f>IFERROR(YEAR(Table1[[#This Row],[Exit Date]]), " ")</f>
        <v xml:space="preserve"> </v>
      </c>
      <c r="G1537" t="str">
        <f>IFERROR((Table1[[#This Row],[Exit Year]]-Table1[[#This Row],[Join Year]])+1," ")</f>
        <v xml:space="preserve"> </v>
      </c>
      <c r="H1537" t="s">
        <v>48</v>
      </c>
      <c r="I1537" t="s">
        <v>11</v>
      </c>
      <c r="J1537" t="s">
        <v>12</v>
      </c>
      <c r="K1537">
        <v>29</v>
      </c>
      <c r="L1537" t="str">
        <f>IF(Table1[[#This Row],[Age]]&lt;30,"20-29",
IF(Table1[[#This Row],[Age]]&lt;40,"30-39",
IF(Table1[[#This Row],[Age]]&lt;50,"40-49",
IF(Table1[[#This Row],[Age]]&lt;60,"50-59","60+"))))</f>
        <v>20-29</v>
      </c>
      <c r="M1537" t="s">
        <v>16</v>
      </c>
      <c r="N1537" t="s">
        <v>17</v>
      </c>
    </row>
    <row r="1538" spans="1:14" x14ac:dyDescent="0.35">
      <c r="A1538">
        <v>1637</v>
      </c>
      <c r="B1538" t="s">
        <v>26</v>
      </c>
      <c r="C1538" s="6">
        <v>44418</v>
      </c>
      <c r="D1538">
        <f>YEAR(Table1[[#This Row],[Join Date]])</f>
        <v>2021</v>
      </c>
      <c r="E1538" s="6">
        <v>45628</v>
      </c>
      <c r="F1538">
        <f>IFERROR(YEAR(Table1[[#This Row],[Exit Date]]), " ")</f>
        <v>2024</v>
      </c>
      <c r="G1538">
        <f>IFERROR((Table1[[#This Row],[Exit Year]]-Table1[[#This Row],[Join Year]])+1," ")</f>
        <v>4</v>
      </c>
      <c r="H1538" t="s">
        <v>22</v>
      </c>
      <c r="I1538" t="s">
        <v>23</v>
      </c>
      <c r="J1538" t="s">
        <v>12</v>
      </c>
      <c r="K1538">
        <v>27</v>
      </c>
      <c r="L1538" t="str">
        <f>IF(Table1[[#This Row],[Age]]&lt;30,"20-29",
IF(Table1[[#This Row],[Age]]&lt;40,"30-39",
IF(Table1[[#This Row],[Age]]&lt;50,"40-49",
IF(Table1[[#This Row],[Age]]&lt;60,"50-59","60+"))))</f>
        <v>20-29</v>
      </c>
      <c r="M1538" t="s">
        <v>16</v>
      </c>
      <c r="N1538" t="s">
        <v>19</v>
      </c>
    </row>
    <row r="1539" spans="1:14" x14ac:dyDescent="0.35">
      <c r="A1539">
        <v>1638</v>
      </c>
      <c r="B1539" t="s">
        <v>34</v>
      </c>
      <c r="C1539" s="6">
        <v>44324</v>
      </c>
      <c r="D1539">
        <f>YEAR(Table1[[#This Row],[Join Date]])</f>
        <v>2021</v>
      </c>
      <c r="E1539" s="6">
        <v>45076</v>
      </c>
      <c r="F1539">
        <f>IFERROR(YEAR(Table1[[#This Row],[Exit Date]]), " ")</f>
        <v>2023</v>
      </c>
      <c r="G1539">
        <f>IFERROR((Table1[[#This Row],[Exit Year]]-Table1[[#This Row],[Join Year]])+1," ")</f>
        <v>3</v>
      </c>
      <c r="H1539" t="s">
        <v>40</v>
      </c>
      <c r="I1539" t="s">
        <v>23</v>
      </c>
      <c r="J1539" t="s">
        <v>18</v>
      </c>
      <c r="K1539">
        <v>31</v>
      </c>
      <c r="L1539" t="str">
        <f>IF(Table1[[#This Row],[Age]]&lt;30,"20-29",
IF(Table1[[#This Row],[Age]]&lt;40,"30-39",
IF(Table1[[#This Row],[Age]]&lt;50,"40-49",
IF(Table1[[#This Row],[Age]]&lt;60,"50-59","60+"))))</f>
        <v>30-39</v>
      </c>
      <c r="M1539" t="s">
        <v>20</v>
      </c>
      <c r="N1539" t="s">
        <v>21</v>
      </c>
    </row>
    <row r="1540" spans="1:14" x14ac:dyDescent="0.35">
      <c r="A1540">
        <v>1639</v>
      </c>
      <c r="B1540" t="s">
        <v>10</v>
      </c>
      <c r="C1540" s="6">
        <v>43513</v>
      </c>
      <c r="D1540">
        <f>YEAR(Table1[[#This Row],[Join Date]])</f>
        <v>2019</v>
      </c>
      <c r="E1540" s="6">
        <v>44923</v>
      </c>
      <c r="F1540">
        <f>IFERROR(YEAR(Table1[[#This Row],[Exit Date]]), " ")</f>
        <v>2022</v>
      </c>
      <c r="G1540">
        <f>IFERROR((Table1[[#This Row],[Exit Year]]-Table1[[#This Row],[Join Year]])+1," ")</f>
        <v>4</v>
      </c>
      <c r="H1540" t="s">
        <v>38</v>
      </c>
      <c r="I1540" t="s">
        <v>23</v>
      </c>
      <c r="J1540" t="s">
        <v>12</v>
      </c>
      <c r="K1540">
        <v>24</v>
      </c>
      <c r="L1540" t="str">
        <f>IF(Table1[[#This Row],[Age]]&lt;30,"20-29",
IF(Table1[[#This Row],[Age]]&lt;40,"30-39",
IF(Table1[[#This Row],[Age]]&lt;50,"40-49",
IF(Table1[[#This Row],[Age]]&lt;60,"50-59","60+"))))</f>
        <v>20-29</v>
      </c>
      <c r="M1540" t="s">
        <v>24</v>
      </c>
      <c r="N1540" t="s">
        <v>25</v>
      </c>
    </row>
    <row r="1541" spans="1:14" x14ac:dyDescent="0.35">
      <c r="A1541">
        <v>1640</v>
      </c>
      <c r="B1541" t="s">
        <v>36</v>
      </c>
      <c r="C1541" s="6">
        <v>44180</v>
      </c>
      <c r="D1541">
        <f>YEAR(Table1[[#This Row],[Join Date]])</f>
        <v>2020</v>
      </c>
      <c r="E1541" s="6" t="s">
        <v>48</v>
      </c>
      <c r="F1541" t="str">
        <f>IFERROR(YEAR(Table1[[#This Row],[Exit Date]]), " ")</f>
        <v xml:space="preserve"> </v>
      </c>
      <c r="G1541" t="str">
        <f>IFERROR((Table1[[#This Row],[Exit Year]]-Table1[[#This Row],[Join Year]])+1," ")</f>
        <v xml:space="preserve"> </v>
      </c>
      <c r="H1541" t="s">
        <v>48</v>
      </c>
      <c r="I1541" t="s">
        <v>11</v>
      </c>
      <c r="J1541" t="s">
        <v>18</v>
      </c>
      <c r="K1541">
        <v>37</v>
      </c>
      <c r="L1541" t="str">
        <f>IF(Table1[[#This Row],[Age]]&lt;30,"20-29",
IF(Table1[[#This Row],[Age]]&lt;40,"30-39",
IF(Table1[[#This Row],[Age]]&lt;50,"40-49",
IF(Table1[[#This Row],[Age]]&lt;60,"50-59","60+"))))</f>
        <v>30-39</v>
      </c>
      <c r="M1541" t="s">
        <v>13</v>
      </c>
      <c r="N1541" t="s">
        <v>28</v>
      </c>
    </row>
    <row r="1542" spans="1:14" x14ac:dyDescent="0.35">
      <c r="A1542">
        <v>1641</v>
      </c>
      <c r="B1542" t="s">
        <v>34</v>
      </c>
      <c r="C1542" s="6">
        <v>44099</v>
      </c>
      <c r="D1542">
        <f>YEAR(Table1[[#This Row],[Join Date]])</f>
        <v>2020</v>
      </c>
      <c r="E1542" s="6" t="s">
        <v>48</v>
      </c>
      <c r="F1542" t="str">
        <f>IFERROR(YEAR(Table1[[#This Row],[Exit Date]]), " ")</f>
        <v xml:space="preserve"> </v>
      </c>
      <c r="G1542" t="str">
        <f>IFERROR((Table1[[#This Row],[Exit Year]]-Table1[[#This Row],[Join Year]])+1," ")</f>
        <v xml:space="preserve"> </v>
      </c>
      <c r="H1542" t="s">
        <v>48</v>
      </c>
      <c r="I1542" t="s">
        <v>11</v>
      </c>
      <c r="J1542" t="s">
        <v>12</v>
      </c>
      <c r="K1542">
        <v>23</v>
      </c>
      <c r="L1542" t="str">
        <f>IF(Table1[[#This Row],[Age]]&lt;30,"20-29",
IF(Table1[[#This Row],[Age]]&lt;40,"30-39",
IF(Table1[[#This Row],[Age]]&lt;50,"40-49",
IF(Table1[[#This Row],[Age]]&lt;60,"50-59","60+"))))</f>
        <v>20-29</v>
      </c>
      <c r="M1542" t="s">
        <v>30</v>
      </c>
      <c r="N1542" t="s">
        <v>31</v>
      </c>
    </row>
    <row r="1543" spans="1:14" x14ac:dyDescent="0.35">
      <c r="A1543">
        <v>1642</v>
      </c>
      <c r="B1543" t="s">
        <v>34</v>
      </c>
      <c r="C1543" s="6">
        <v>45632</v>
      </c>
      <c r="D1543">
        <f>YEAR(Table1[[#This Row],[Join Date]])</f>
        <v>2024</v>
      </c>
      <c r="E1543" s="6" t="s">
        <v>48</v>
      </c>
      <c r="F1543" t="str">
        <f>IFERROR(YEAR(Table1[[#This Row],[Exit Date]]), " ")</f>
        <v xml:space="preserve"> </v>
      </c>
      <c r="G1543" t="str">
        <f>IFERROR((Table1[[#This Row],[Exit Year]]-Table1[[#This Row],[Join Year]])+1," ")</f>
        <v xml:space="preserve"> </v>
      </c>
      <c r="H1543" t="s">
        <v>48</v>
      </c>
      <c r="I1543" t="s">
        <v>11</v>
      </c>
      <c r="J1543" t="s">
        <v>18</v>
      </c>
      <c r="K1543">
        <v>31</v>
      </c>
      <c r="L1543" t="str">
        <f>IF(Table1[[#This Row],[Age]]&lt;30,"20-29",
IF(Table1[[#This Row],[Age]]&lt;40,"30-39",
IF(Table1[[#This Row],[Age]]&lt;50,"40-49",
IF(Table1[[#This Row],[Age]]&lt;60,"50-59","60+"))))</f>
        <v>30-39</v>
      </c>
      <c r="M1543" t="s">
        <v>13</v>
      </c>
      <c r="N1543" t="s">
        <v>32</v>
      </c>
    </row>
    <row r="1544" spans="1:14" x14ac:dyDescent="0.35">
      <c r="A1544">
        <v>1643</v>
      </c>
      <c r="B1544" t="s">
        <v>36</v>
      </c>
      <c r="C1544" s="6">
        <v>45294</v>
      </c>
      <c r="D1544">
        <f>YEAR(Table1[[#This Row],[Join Date]])</f>
        <v>2024</v>
      </c>
      <c r="E1544" s="6" t="s">
        <v>48</v>
      </c>
      <c r="F1544" t="str">
        <f>IFERROR(YEAR(Table1[[#This Row],[Exit Date]]), " ")</f>
        <v xml:space="preserve"> </v>
      </c>
      <c r="G1544" t="str">
        <f>IFERROR((Table1[[#This Row],[Exit Year]]-Table1[[#This Row],[Join Year]])+1," ")</f>
        <v xml:space="preserve"> </v>
      </c>
      <c r="H1544" t="s">
        <v>48</v>
      </c>
      <c r="I1544" t="s">
        <v>11</v>
      </c>
      <c r="J1544" t="s">
        <v>18</v>
      </c>
      <c r="K1544">
        <v>52</v>
      </c>
      <c r="L1544" t="str">
        <f>IF(Table1[[#This Row],[Age]]&lt;30,"20-29",
IF(Table1[[#This Row],[Age]]&lt;40,"30-39",
IF(Table1[[#This Row],[Age]]&lt;50,"40-49",
IF(Table1[[#This Row],[Age]]&lt;60,"50-59","60+"))))</f>
        <v>50-59</v>
      </c>
      <c r="M1544" t="s">
        <v>13</v>
      </c>
      <c r="N1544" t="s">
        <v>33</v>
      </c>
    </row>
    <row r="1545" spans="1:14" x14ac:dyDescent="0.35">
      <c r="A1545">
        <v>1644</v>
      </c>
      <c r="B1545" t="s">
        <v>26</v>
      </c>
      <c r="C1545" s="6">
        <v>44590</v>
      </c>
      <c r="D1545">
        <f>YEAR(Table1[[#This Row],[Join Date]])</f>
        <v>2022</v>
      </c>
      <c r="E1545" s="6" t="s">
        <v>48</v>
      </c>
      <c r="F1545" t="str">
        <f>IFERROR(YEAR(Table1[[#This Row],[Exit Date]]), " ")</f>
        <v xml:space="preserve"> </v>
      </c>
      <c r="G1545" t="str">
        <f>IFERROR((Table1[[#This Row],[Exit Year]]-Table1[[#This Row],[Join Year]])+1," ")</f>
        <v xml:space="preserve"> </v>
      </c>
      <c r="H1545" t="s">
        <v>48</v>
      </c>
      <c r="I1545" t="s">
        <v>11</v>
      </c>
      <c r="J1545" t="s">
        <v>12</v>
      </c>
      <c r="K1545">
        <v>25</v>
      </c>
      <c r="L1545" t="str">
        <f>IF(Table1[[#This Row],[Age]]&lt;30,"20-29",
IF(Table1[[#This Row],[Age]]&lt;40,"30-39",
IF(Table1[[#This Row],[Age]]&lt;50,"40-49",
IF(Table1[[#This Row],[Age]]&lt;60,"50-59","60+"))))</f>
        <v>20-29</v>
      </c>
      <c r="M1545" t="s">
        <v>16</v>
      </c>
      <c r="N1545" t="s">
        <v>35</v>
      </c>
    </row>
    <row r="1546" spans="1:14" x14ac:dyDescent="0.35">
      <c r="A1546">
        <v>1645</v>
      </c>
      <c r="B1546" t="s">
        <v>15</v>
      </c>
      <c r="C1546" s="6">
        <v>45215</v>
      </c>
      <c r="D1546">
        <f>YEAR(Table1[[#This Row],[Join Date]])</f>
        <v>2023</v>
      </c>
      <c r="E1546" s="6" t="s">
        <v>48</v>
      </c>
      <c r="F1546" t="str">
        <f>IFERROR(YEAR(Table1[[#This Row],[Exit Date]]), " ")</f>
        <v xml:space="preserve"> </v>
      </c>
      <c r="G1546" t="str">
        <f>IFERROR((Table1[[#This Row],[Exit Year]]-Table1[[#This Row],[Join Year]])+1," ")</f>
        <v xml:space="preserve"> </v>
      </c>
      <c r="H1546" t="s">
        <v>48</v>
      </c>
      <c r="I1546" t="s">
        <v>11</v>
      </c>
      <c r="J1546" t="s">
        <v>18</v>
      </c>
      <c r="K1546">
        <v>46</v>
      </c>
      <c r="L1546" t="str">
        <f>IF(Table1[[#This Row],[Age]]&lt;30,"20-29",
IF(Table1[[#This Row],[Age]]&lt;40,"30-39",
IF(Table1[[#This Row],[Age]]&lt;50,"40-49",
IF(Table1[[#This Row],[Age]]&lt;60,"50-59","60+"))))</f>
        <v>40-49</v>
      </c>
      <c r="M1546" t="s">
        <v>13</v>
      </c>
      <c r="N1546" t="s">
        <v>37</v>
      </c>
    </row>
    <row r="1547" spans="1:14" x14ac:dyDescent="0.35">
      <c r="A1547">
        <v>1646</v>
      </c>
      <c r="B1547" t="s">
        <v>15</v>
      </c>
      <c r="C1547" s="6">
        <v>43624</v>
      </c>
      <c r="D1547">
        <f>YEAR(Table1[[#This Row],[Join Date]])</f>
        <v>2019</v>
      </c>
      <c r="E1547" s="6">
        <v>44228</v>
      </c>
      <c r="F1547">
        <f>IFERROR(YEAR(Table1[[#This Row],[Exit Date]]), " ")</f>
        <v>2021</v>
      </c>
      <c r="G1547">
        <f>IFERROR((Table1[[#This Row],[Exit Year]]-Table1[[#This Row],[Join Year]])+1," ")</f>
        <v>3</v>
      </c>
      <c r="H1547" t="s">
        <v>41</v>
      </c>
      <c r="I1547" t="s">
        <v>23</v>
      </c>
      <c r="J1547" t="s">
        <v>18</v>
      </c>
      <c r="K1547">
        <v>24</v>
      </c>
      <c r="L1547" t="str">
        <f>IF(Table1[[#This Row],[Age]]&lt;30,"20-29",
IF(Table1[[#This Row],[Age]]&lt;40,"30-39",
IF(Table1[[#This Row],[Age]]&lt;50,"40-49",
IF(Table1[[#This Row],[Age]]&lt;60,"50-59","60+"))))</f>
        <v>20-29</v>
      </c>
      <c r="M1547" t="s">
        <v>20</v>
      </c>
      <c r="N1547" t="s">
        <v>19</v>
      </c>
    </row>
    <row r="1548" spans="1:14" x14ac:dyDescent="0.35">
      <c r="A1548">
        <v>1647</v>
      </c>
      <c r="B1548" t="s">
        <v>15</v>
      </c>
      <c r="C1548" s="6">
        <v>44514</v>
      </c>
      <c r="D1548">
        <f>YEAR(Table1[[#This Row],[Join Date]])</f>
        <v>2021</v>
      </c>
      <c r="E1548" s="6">
        <v>45529</v>
      </c>
      <c r="F1548">
        <f>IFERROR(YEAR(Table1[[#This Row],[Exit Date]]), " ")</f>
        <v>2024</v>
      </c>
      <c r="G1548">
        <f>IFERROR((Table1[[#This Row],[Exit Year]]-Table1[[#This Row],[Join Year]])+1," ")</f>
        <v>4</v>
      </c>
      <c r="H1548" t="s">
        <v>41</v>
      </c>
      <c r="I1548" t="s">
        <v>23</v>
      </c>
      <c r="J1548" t="s">
        <v>12</v>
      </c>
      <c r="K1548">
        <v>38</v>
      </c>
      <c r="L1548" t="str">
        <f>IF(Table1[[#This Row],[Age]]&lt;30,"20-29",
IF(Table1[[#This Row],[Age]]&lt;40,"30-39",
IF(Table1[[#This Row],[Age]]&lt;50,"40-49",
IF(Table1[[#This Row],[Age]]&lt;60,"50-59","60+"))))</f>
        <v>30-39</v>
      </c>
      <c r="M1548" t="s">
        <v>39</v>
      </c>
      <c r="N1548" t="s">
        <v>25</v>
      </c>
    </row>
    <row r="1549" spans="1:14" x14ac:dyDescent="0.35">
      <c r="A1549">
        <v>1648</v>
      </c>
      <c r="B1549" t="s">
        <v>29</v>
      </c>
      <c r="C1549" s="6">
        <v>43700</v>
      </c>
      <c r="D1549">
        <f>YEAR(Table1[[#This Row],[Join Date]])</f>
        <v>2019</v>
      </c>
      <c r="E1549" s="6" t="s">
        <v>48</v>
      </c>
      <c r="F1549" t="str">
        <f>IFERROR(YEAR(Table1[[#This Row],[Exit Date]]), " ")</f>
        <v xml:space="preserve"> </v>
      </c>
      <c r="G1549" t="str">
        <f>IFERROR((Table1[[#This Row],[Exit Year]]-Table1[[#This Row],[Join Year]])+1," ")</f>
        <v xml:space="preserve"> </v>
      </c>
      <c r="H1549" t="s">
        <v>48</v>
      </c>
      <c r="I1549" t="s">
        <v>11</v>
      </c>
      <c r="J1549" t="s">
        <v>12</v>
      </c>
      <c r="K1549">
        <v>49</v>
      </c>
      <c r="L1549" t="str">
        <f>IF(Table1[[#This Row],[Age]]&lt;30,"20-29",
IF(Table1[[#This Row],[Age]]&lt;40,"30-39",
IF(Table1[[#This Row],[Age]]&lt;50,"40-49",
IF(Table1[[#This Row],[Age]]&lt;60,"50-59","60+"))))</f>
        <v>40-49</v>
      </c>
      <c r="M1549" t="s">
        <v>13</v>
      </c>
      <c r="N1549" t="s">
        <v>35</v>
      </c>
    </row>
    <row r="1550" spans="1:14" x14ac:dyDescent="0.35">
      <c r="A1550">
        <v>1649</v>
      </c>
      <c r="B1550" t="s">
        <v>34</v>
      </c>
      <c r="C1550" s="6">
        <v>45540</v>
      </c>
      <c r="D1550">
        <f>YEAR(Table1[[#This Row],[Join Date]])</f>
        <v>2024</v>
      </c>
      <c r="E1550" s="6" t="s">
        <v>48</v>
      </c>
      <c r="F1550" t="str">
        <f>IFERROR(YEAR(Table1[[#This Row],[Exit Date]]), " ")</f>
        <v xml:space="preserve"> </v>
      </c>
      <c r="G1550" t="str">
        <f>IFERROR((Table1[[#This Row],[Exit Year]]-Table1[[#This Row],[Join Year]])+1," ")</f>
        <v xml:space="preserve"> </v>
      </c>
      <c r="H1550" t="s">
        <v>48</v>
      </c>
      <c r="I1550" t="s">
        <v>11</v>
      </c>
      <c r="J1550" t="s">
        <v>18</v>
      </c>
      <c r="K1550">
        <v>31</v>
      </c>
      <c r="L1550" t="str">
        <f>IF(Table1[[#This Row],[Age]]&lt;30,"20-29",
IF(Table1[[#This Row],[Age]]&lt;40,"30-39",
IF(Table1[[#This Row],[Age]]&lt;50,"40-49",
IF(Table1[[#This Row],[Age]]&lt;60,"50-59","60+"))))</f>
        <v>30-39</v>
      </c>
      <c r="M1550" t="s">
        <v>16</v>
      </c>
      <c r="N1550" t="s">
        <v>17</v>
      </c>
    </row>
    <row r="1551" spans="1:14" x14ac:dyDescent="0.35">
      <c r="A1551">
        <v>1650</v>
      </c>
      <c r="B1551" t="s">
        <v>10</v>
      </c>
      <c r="C1551" s="6">
        <v>43297</v>
      </c>
      <c r="D1551">
        <f>YEAR(Table1[[#This Row],[Join Date]])</f>
        <v>2018</v>
      </c>
      <c r="E1551" s="6">
        <v>44682</v>
      </c>
      <c r="F1551">
        <f>IFERROR(YEAR(Table1[[#This Row],[Exit Date]]), " ")</f>
        <v>2022</v>
      </c>
      <c r="G1551">
        <f>IFERROR((Table1[[#This Row],[Exit Year]]-Table1[[#This Row],[Join Year]])+1," ")</f>
        <v>5</v>
      </c>
      <c r="H1551" t="s">
        <v>40</v>
      </c>
      <c r="I1551" t="s">
        <v>23</v>
      </c>
      <c r="J1551" t="s">
        <v>18</v>
      </c>
      <c r="K1551">
        <v>51</v>
      </c>
      <c r="L1551" t="str">
        <f>IF(Table1[[#This Row],[Age]]&lt;30,"20-29",
IF(Table1[[#This Row],[Age]]&lt;40,"30-39",
IF(Table1[[#This Row],[Age]]&lt;50,"40-49",
IF(Table1[[#This Row],[Age]]&lt;60,"50-59","60+"))))</f>
        <v>50-59</v>
      </c>
      <c r="M1551" t="s">
        <v>16</v>
      </c>
      <c r="N1551" t="s">
        <v>19</v>
      </c>
    </row>
    <row r="1552" spans="1:14" x14ac:dyDescent="0.35">
      <c r="A1552">
        <v>1651</v>
      </c>
      <c r="B1552" t="s">
        <v>10</v>
      </c>
      <c r="C1552" s="6">
        <v>43407</v>
      </c>
      <c r="D1552">
        <f>YEAR(Table1[[#This Row],[Join Date]])</f>
        <v>2018</v>
      </c>
      <c r="E1552" s="6" t="s">
        <v>48</v>
      </c>
      <c r="F1552" t="str">
        <f>IFERROR(YEAR(Table1[[#This Row],[Exit Date]]), " ")</f>
        <v xml:space="preserve"> </v>
      </c>
      <c r="G1552" t="str">
        <f>IFERROR((Table1[[#This Row],[Exit Year]]-Table1[[#This Row],[Join Year]])+1," ")</f>
        <v xml:space="preserve"> </v>
      </c>
      <c r="H1552" t="s">
        <v>48</v>
      </c>
      <c r="I1552" t="s">
        <v>11</v>
      </c>
      <c r="J1552" t="s">
        <v>12</v>
      </c>
      <c r="K1552">
        <v>27</v>
      </c>
      <c r="L1552" t="str">
        <f>IF(Table1[[#This Row],[Age]]&lt;30,"20-29",
IF(Table1[[#This Row],[Age]]&lt;40,"30-39",
IF(Table1[[#This Row],[Age]]&lt;50,"40-49",
IF(Table1[[#This Row],[Age]]&lt;60,"50-59","60+"))))</f>
        <v>20-29</v>
      </c>
      <c r="M1552" t="s">
        <v>20</v>
      </c>
      <c r="N1552" t="s">
        <v>21</v>
      </c>
    </row>
    <row r="1553" spans="1:14" x14ac:dyDescent="0.35">
      <c r="A1553">
        <v>1652</v>
      </c>
      <c r="B1553" t="s">
        <v>15</v>
      </c>
      <c r="C1553" s="6">
        <v>44121</v>
      </c>
      <c r="D1553">
        <f>YEAR(Table1[[#This Row],[Join Date]])</f>
        <v>2020</v>
      </c>
      <c r="E1553" s="6" t="s">
        <v>48</v>
      </c>
      <c r="F1553" t="str">
        <f>IFERROR(YEAR(Table1[[#This Row],[Exit Date]]), " ")</f>
        <v xml:space="preserve"> </v>
      </c>
      <c r="G1553" t="str">
        <f>IFERROR((Table1[[#This Row],[Exit Year]]-Table1[[#This Row],[Join Year]])+1," ")</f>
        <v xml:space="preserve"> </v>
      </c>
      <c r="H1553" t="s">
        <v>48</v>
      </c>
      <c r="I1553" t="s">
        <v>11</v>
      </c>
      <c r="J1553" t="s">
        <v>18</v>
      </c>
      <c r="K1553">
        <v>22</v>
      </c>
      <c r="L1553" t="str">
        <f>IF(Table1[[#This Row],[Age]]&lt;30,"20-29",
IF(Table1[[#This Row],[Age]]&lt;40,"30-39",
IF(Table1[[#This Row],[Age]]&lt;50,"40-49",
IF(Table1[[#This Row],[Age]]&lt;60,"50-59","60+"))))</f>
        <v>20-29</v>
      </c>
      <c r="M1553" t="s">
        <v>24</v>
      </c>
      <c r="N1553" t="s">
        <v>25</v>
      </c>
    </row>
    <row r="1554" spans="1:14" x14ac:dyDescent="0.35">
      <c r="A1554">
        <v>1653</v>
      </c>
      <c r="B1554" t="s">
        <v>15</v>
      </c>
      <c r="C1554" s="6">
        <v>44423</v>
      </c>
      <c r="D1554">
        <f>YEAR(Table1[[#This Row],[Join Date]])</f>
        <v>2021</v>
      </c>
      <c r="E1554" s="6" t="s">
        <v>48</v>
      </c>
      <c r="F1554" t="str">
        <f>IFERROR(YEAR(Table1[[#This Row],[Exit Date]]), " ")</f>
        <v xml:space="preserve"> </v>
      </c>
      <c r="G1554" t="str">
        <f>IFERROR((Table1[[#This Row],[Exit Year]]-Table1[[#This Row],[Join Year]])+1," ")</f>
        <v xml:space="preserve"> </v>
      </c>
      <c r="H1554" t="s">
        <v>48</v>
      </c>
      <c r="I1554" t="s">
        <v>11</v>
      </c>
      <c r="J1554" t="s">
        <v>12</v>
      </c>
      <c r="K1554">
        <v>50</v>
      </c>
      <c r="L1554" t="str">
        <f>IF(Table1[[#This Row],[Age]]&lt;30,"20-29",
IF(Table1[[#This Row],[Age]]&lt;40,"30-39",
IF(Table1[[#This Row],[Age]]&lt;50,"40-49",
IF(Table1[[#This Row],[Age]]&lt;60,"50-59","60+"))))</f>
        <v>50-59</v>
      </c>
      <c r="M1554" t="s">
        <v>13</v>
      </c>
      <c r="N1554" t="s">
        <v>35</v>
      </c>
    </row>
    <row r="1555" spans="1:14" x14ac:dyDescent="0.35">
      <c r="A1555">
        <v>1654</v>
      </c>
      <c r="B1555" t="s">
        <v>15</v>
      </c>
      <c r="C1555" s="6">
        <v>45087</v>
      </c>
      <c r="D1555">
        <f>YEAR(Table1[[#This Row],[Join Date]])</f>
        <v>2023</v>
      </c>
      <c r="E1555" s="6" t="s">
        <v>48</v>
      </c>
      <c r="F1555" t="str">
        <f>IFERROR(YEAR(Table1[[#This Row],[Exit Date]]), " ")</f>
        <v xml:space="preserve"> </v>
      </c>
      <c r="G1555" t="str">
        <f>IFERROR((Table1[[#This Row],[Exit Year]]-Table1[[#This Row],[Join Year]])+1," ")</f>
        <v xml:space="preserve"> </v>
      </c>
      <c r="H1555" t="s">
        <v>48</v>
      </c>
      <c r="I1555" t="s">
        <v>11</v>
      </c>
      <c r="J1555" t="s">
        <v>12</v>
      </c>
      <c r="K1555">
        <v>24</v>
      </c>
      <c r="L1555" t="str">
        <f>IF(Table1[[#This Row],[Age]]&lt;30,"20-29",
IF(Table1[[#This Row],[Age]]&lt;40,"30-39",
IF(Table1[[#This Row],[Age]]&lt;50,"40-49",
IF(Table1[[#This Row],[Age]]&lt;60,"50-59","60+"))))</f>
        <v>20-29</v>
      </c>
      <c r="M1555" t="s">
        <v>30</v>
      </c>
      <c r="N1555" t="s">
        <v>14</v>
      </c>
    </row>
    <row r="1556" spans="1:14" x14ac:dyDescent="0.35">
      <c r="A1556">
        <v>1655</v>
      </c>
      <c r="B1556" t="s">
        <v>15</v>
      </c>
      <c r="C1556" s="6">
        <v>43479</v>
      </c>
      <c r="D1556">
        <f>YEAR(Table1[[#This Row],[Join Date]])</f>
        <v>2019</v>
      </c>
      <c r="E1556" s="6">
        <v>44449</v>
      </c>
      <c r="F1556">
        <f>IFERROR(YEAR(Table1[[#This Row],[Exit Date]]), " ")</f>
        <v>2021</v>
      </c>
      <c r="G1556">
        <f>IFERROR((Table1[[#This Row],[Exit Year]]-Table1[[#This Row],[Join Year]])+1," ")</f>
        <v>3</v>
      </c>
      <c r="H1556" t="s">
        <v>22</v>
      </c>
      <c r="I1556" t="s">
        <v>23</v>
      </c>
      <c r="J1556" t="s">
        <v>12</v>
      </c>
      <c r="K1556">
        <v>50</v>
      </c>
      <c r="L1556" t="str">
        <f>IF(Table1[[#This Row],[Age]]&lt;30,"20-29",
IF(Table1[[#This Row],[Age]]&lt;40,"30-39",
IF(Table1[[#This Row],[Age]]&lt;50,"40-49",
IF(Table1[[#This Row],[Age]]&lt;60,"50-59","60+"))))</f>
        <v>50-59</v>
      </c>
      <c r="M1556" t="s">
        <v>13</v>
      </c>
      <c r="N1556" t="s">
        <v>19</v>
      </c>
    </row>
    <row r="1557" spans="1:14" x14ac:dyDescent="0.35">
      <c r="A1557">
        <v>1656</v>
      </c>
      <c r="B1557" t="s">
        <v>26</v>
      </c>
      <c r="C1557" s="6">
        <v>44749</v>
      </c>
      <c r="D1557">
        <f>YEAR(Table1[[#This Row],[Join Date]])</f>
        <v>2022</v>
      </c>
      <c r="E1557" s="6">
        <v>44972</v>
      </c>
      <c r="F1557">
        <f>IFERROR(YEAR(Table1[[#This Row],[Exit Date]]), " ")</f>
        <v>2023</v>
      </c>
      <c r="G1557">
        <f>IFERROR((Table1[[#This Row],[Exit Year]]-Table1[[#This Row],[Join Year]])+1," ")</f>
        <v>2</v>
      </c>
      <c r="H1557" t="s">
        <v>46</v>
      </c>
      <c r="I1557" t="s">
        <v>23</v>
      </c>
      <c r="J1557" t="s">
        <v>18</v>
      </c>
      <c r="K1557">
        <v>28</v>
      </c>
      <c r="L1557" t="str">
        <f>IF(Table1[[#This Row],[Age]]&lt;30,"20-29",
IF(Table1[[#This Row],[Age]]&lt;40,"30-39",
IF(Table1[[#This Row],[Age]]&lt;50,"40-49",
IF(Table1[[#This Row],[Age]]&lt;60,"50-59","60+"))))</f>
        <v>20-29</v>
      </c>
      <c r="M1557" t="s">
        <v>13</v>
      </c>
      <c r="N1557" t="s">
        <v>21</v>
      </c>
    </row>
    <row r="1558" spans="1:14" x14ac:dyDescent="0.35">
      <c r="A1558">
        <v>1657</v>
      </c>
      <c r="B1558" t="s">
        <v>29</v>
      </c>
      <c r="C1558" s="6">
        <v>45457</v>
      </c>
      <c r="D1558">
        <f>YEAR(Table1[[#This Row],[Join Date]])</f>
        <v>2024</v>
      </c>
      <c r="E1558" s="6" t="s">
        <v>48</v>
      </c>
      <c r="F1558" t="str">
        <f>IFERROR(YEAR(Table1[[#This Row],[Exit Date]]), " ")</f>
        <v xml:space="preserve"> </v>
      </c>
      <c r="G1558" t="str">
        <f>IFERROR((Table1[[#This Row],[Exit Year]]-Table1[[#This Row],[Join Year]])+1," ")</f>
        <v xml:space="preserve"> </v>
      </c>
      <c r="H1558" t="s">
        <v>48</v>
      </c>
      <c r="I1558" t="s">
        <v>11</v>
      </c>
      <c r="J1558" t="s">
        <v>12</v>
      </c>
      <c r="K1558">
        <v>40</v>
      </c>
      <c r="L1558" t="str">
        <f>IF(Table1[[#This Row],[Age]]&lt;30,"20-29",
IF(Table1[[#This Row],[Age]]&lt;40,"30-39",
IF(Table1[[#This Row],[Age]]&lt;50,"40-49",
IF(Table1[[#This Row],[Age]]&lt;60,"50-59","60+"))))</f>
        <v>40-49</v>
      </c>
      <c r="M1558" t="s">
        <v>16</v>
      </c>
      <c r="N1558" t="s">
        <v>25</v>
      </c>
    </row>
    <row r="1559" spans="1:14" x14ac:dyDescent="0.35">
      <c r="A1559">
        <v>1658</v>
      </c>
      <c r="B1559" t="s">
        <v>10</v>
      </c>
      <c r="C1559" s="6">
        <v>43304</v>
      </c>
      <c r="D1559">
        <f>YEAR(Table1[[#This Row],[Join Date]])</f>
        <v>2018</v>
      </c>
      <c r="E1559" s="6" t="s">
        <v>48</v>
      </c>
      <c r="F1559" t="str">
        <f>IFERROR(YEAR(Table1[[#This Row],[Exit Date]]), " ")</f>
        <v xml:space="preserve"> </v>
      </c>
      <c r="G1559" t="str">
        <f>IFERROR((Table1[[#This Row],[Exit Year]]-Table1[[#This Row],[Join Year]])+1," ")</f>
        <v xml:space="preserve"> </v>
      </c>
      <c r="H1559" t="s">
        <v>48</v>
      </c>
      <c r="I1559" t="s">
        <v>11</v>
      </c>
      <c r="J1559" t="s">
        <v>18</v>
      </c>
      <c r="K1559">
        <v>32</v>
      </c>
      <c r="L1559" t="str">
        <f>IF(Table1[[#This Row],[Age]]&lt;30,"20-29",
IF(Table1[[#This Row],[Age]]&lt;40,"30-39",
IF(Table1[[#This Row],[Age]]&lt;50,"40-49",
IF(Table1[[#This Row],[Age]]&lt;60,"50-59","60+"))))</f>
        <v>30-39</v>
      </c>
      <c r="M1559" t="s">
        <v>13</v>
      </c>
      <c r="N1559" t="s">
        <v>35</v>
      </c>
    </row>
    <row r="1560" spans="1:14" x14ac:dyDescent="0.35">
      <c r="A1560">
        <v>1659</v>
      </c>
      <c r="B1560" t="s">
        <v>15</v>
      </c>
      <c r="C1560" s="6">
        <v>44987</v>
      </c>
      <c r="D1560">
        <f>YEAR(Table1[[#This Row],[Join Date]])</f>
        <v>2023</v>
      </c>
      <c r="E1560" s="6" t="s">
        <v>48</v>
      </c>
      <c r="F1560" t="str">
        <f>IFERROR(YEAR(Table1[[#This Row],[Exit Date]]), " ")</f>
        <v xml:space="preserve"> </v>
      </c>
      <c r="G1560" t="str">
        <f>IFERROR((Table1[[#This Row],[Exit Year]]-Table1[[#This Row],[Join Year]])+1," ")</f>
        <v xml:space="preserve"> </v>
      </c>
      <c r="H1560" t="s">
        <v>48</v>
      </c>
      <c r="I1560" t="s">
        <v>11</v>
      </c>
      <c r="J1560" t="s">
        <v>12</v>
      </c>
      <c r="K1560">
        <v>50</v>
      </c>
      <c r="L1560" t="str">
        <f>IF(Table1[[#This Row],[Age]]&lt;30,"20-29",
IF(Table1[[#This Row],[Age]]&lt;40,"30-39",
IF(Table1[[#This Row],[Age]]&lt;50,"40-49",
IF(Table1[[#This Row],[Age]]&lt;60,"50-59","60+"))))</f>
        <v>50-59</v>
      </c>
      <c r="M1560" t="s">
        <v>20</v>
      </c>
      <c r="N1560" t="s">
        <v>17</v>
      </c>
    </row>
    <row r="1561" spans="1:14" x14ac:dyDescent="0.35">
      <c r="A1561">
        <v>1660</v>
      </c>
      <c r="B1561" t="s">
        <v>34</v>
      </c>
      <c r="C1561" s="6">
        <v>45326</v>
      </c>
      <c r="D1561">
        <f>YEAR(Table1[[#This Row],[Join Date]])</f>
        <v>2024</v>
      </c>
      <c r="E1561" s="6" t="s">
        <v>48</v>
      </c>
      <c r="F1561" t="str">
        <f>IFERROR(YEAR(Table1[[#This Row],[Exit Date]]), " ")</f>
        <v xml:space="preserve"> </v>
      </c>
      <c r="G1561" t="str">
        <f>IFERROR((Table1[[#This Row],[Exit Year]]-Table1[[#This Row],[Join Year]])+1," ")</f>
        <v xml:space="preserve"> </v>
      </c>
      <c r="H1561" t="s">
        <v>48</v>
      </c>
      <c r="I1561" t="s">
        <v>11</v>
      </c>
      <c r="J1561" t="s">
        <v>18</v>
      </c>
      <c r="K1561">
        <v>24</v>
      </c>
      <c r="L1561" t="str">
        <f>IF(Table1[[#This Row],[Age]]&lt;30,"20-29",
IF(Table1[[#This Row],[Age]]&lt;40,"30-39",
IF(Table1[[#This Row],[Age]]&lt;50,"40-49",
IF(Table1[[#This Row],[Age]]&lt;60,"50-59","60+"))))</f>
        <v>20-29</v>
      </c>
      <c r="M1561" t="s">
        <v>44</v>
      </c>
      <c r="N1561" t="s">
        <v>19</v>
      </c>
    </row>
    <row r="1562" spans="1:14" x14ac:dyDescent="0.35">
      <c r="A1562">
        <v>1661</v>
      </c>
      <c r="B1562" t="s">
        <v>36</v>
      </c>
      <c r="C1562" s="6">
        <v>45474</v>
      </c>
      <c r="D1562">
        <f>YEAR(Table1[[#This Row],[Join Date]])</f>
        <v>2024</v>
      </c>
      <c r="E1562" s="6" t="s">
        <v>48</v>
      </c>
      <c r="F1562" t="str">
        <f>IFERROR(YEAR(Table1[[#This Row],[Exit Date]]), " ")</f>
        <v xml:space="preserve"> </v>
      </c>
      <c r="G1562" t="str">
        <f>IFERROR((Table1[[#This Row],[Exit Year]]-Table1[[#This Row],[Join Year]])+1," ")</f>
        <v xml:space="preserve"> </v>
      </c>
      <c r="H1562" t="s">
        <v>48</v>
      </c>
      <c r="I1562" t="s">
        <v>11</v>
      </c>
      <c r="J1562" t="s">
        <v>18</v>
      </c>
      <c r="K1562">
        <v>36</v>
      </c>
      <c r="L1562" t="str">
        <f>IF(Table1[[#This Row],[Age]]&lt;30,"20-29",
IF(Table1[[#This Row],[Age]]&lt;40,"30-39",
IF(Table1[[#This Row],[Age]]&lt;50,"40-49",
IF(Table1[[#This Row],[Age]]&lt;60,"50-59","60+"))))</f>
        <v>30-39</v>
      </c>
      <c r="M1562" t="s">
        <v>13</v>
      </c>
      <c r="N1562" t="s">
        <v>21</v>
      </c>
    </row>
    <row r="1563" spans="1:14" x14ac:dyDescent="0.35">
      <c r="A1563">
        <v>1662</v>
      </c>
      <c r="B1563" t="s">
        <v>29</v>
      </c>
      <c r="C1563" s="6">
        <v>44227</v>
      </c>
      <c r="D1563">
        <f>YEAR(Table1[[#This Row],[Join Date]])</f>
        <v>2021</v>
      </c>
      <c r="E1563" s="6">
        <v>45322</v>
      </c>
      <c r="F1563">
        <f>IFERROR(YEAR(Table1[[#This Row],[Exit Date]]), " ")</f>
        <v>2024</v>
      </c>
      <c r="G1563">
        <f>IFERROR((Table1[[#This Row],[Exit Year]]-Table1[[#This Row],[Join Year]])+1," ")</f>
        <v>4</v>
      </c>
      <c r="H1563" t="s">
        <v>46</v>
      </c>
      <c r="I1563" t="s">
        <v>23</v>
      </c>
      <c r="J1563" t="s">
        <v>12</v>
      </c>
      <c r="K1563">
        <v>49</v>
      </c>
      <c r="L1563" t="str">
        <f>IF(Table1[[#This Row],[Age]]&lt;30,"20-29",
IF(Table1[[#This Row],[Age]]&lt;40,"30-39",
IF(Table1[[#This Row],[Age]]&lt;50,"40-49",
IF(Table1[[#This Row],[Age]]&lt;60,"50-59","60+"))))</f>
        <v>40-49</v>
      </c>
      <c r="M1563" t="s">
        <v>16</v>
      </c>
      <c r="N1563" t="s">
        <v>25</v>
      </c>
    </row>
    <row r="1564" spans="1:14" x14ac:dyDescent="0.35">
      <c r="A1564">
        <v>1663</v>
      </c>
      <c r="B1564" t="s">
        <v>10</v>
      </c>
      <c r="C1564" s="6">
        <v>43446</v>
      </c>
      <c r="D1564">
        <f>YEAR(Table1[[#This Row],[Join Date]])</f>
        <v>2018</v>
      </c>
      <c r="E1564" s="6">
        <v>43936</v>
      </c>
      <c r="F1564">
        <f>IFERROR(YEAR(Table1[[#This Row],[Exit Date]]), " ")</f>
        <v>2020</v>
      </c>
      <c r="G1564">
        <f>IFERROR((Table1[[#This Row],[Exit Year]]-Table1[[#This Row],[Join Year]])+1," ")</f>
        <v>3</v>
      </c>
      <c r="H1564" t="s">
        <v>38</v>
      </c>
      <c r="I1564" t="s">
        <v>23</v>
      </c>
      <c r="J1564" t="s">
        <v>18</v>
      </c>
      <c r="K1564">
        <v>43</v>
      </c>
      <c r="L1564" t="str">
        <f>IF(Table1[[#This Row],[Age]]&lt;30,"20-29",
IF(Table1[[#This Row],[Age]]&lt;40,"30-39",
IF(Table1[[#This Row],[Age]]&lt;50,"40-49",
IF(Table1[[#This Row],[Age]]&lt;60,"50-59","60+"))))</f>
        <v>40-49</v>
      </c>
      <c r="M1564" t="s">
        <v>16</v>
      </c>
      <c r="N1564" t="s">
        <v>35</v>
      </c>
    </row>
    <row r="1565" spans="1:14" x14ac:dyDescent="0.35">
      <c r="A1565">
        <v>1664</v>
      </c>
      <c r="B1565" t="s">
        <v>15</v>
      </c>
      <c r="C1565" s="6">
        <v>45314</v>
      </c>
      <c r="D1565">
        <f>YEAR(Table1[[#This Row],[Join Date]])</f>
        <v>2024</v>
      </c>
      <c r="E1565" s="6" t="s">
        <v>48</v>
      </c>
      <c r="F1565" t="str">
        <f>IFERROR(YEAR(Table1[[#This Row],[Exit Date]]), " ")</f>
        <v xml:space="preserve"> </v>
      </c>
      <c r="G1565" t="str">
        <f>IFERROR((Table1[[#This Row],[Exit Year]]-Table1[[#This Row],[Join Year]])+1," ")</f>
        <v xml:space="preserve"> </v>
      </c>
      <c r="H1565" t="s">
        <v>48</v>
      </c>
      <c r="I1565" t="s">
        <v>11</v>
      </c>
      <c r="J1565" t="s">
        <v>18</v>
      </c>
      <c r="K1565">
        <v>40</v>
      </c>
      <c r="L1565" t="str">
        <f>IF(Table1[[#This Row],[Age]]&lt;30,"20-29",
IF(Table1[[#This Row],[Age]]&lt;40,"30-39",
IF(Table1[[#This Row],[Age]]&lt;50,"40-49",
IF(Table1[[#This Row],[Age]]&lt;60,"50-59","60+"))))</f>
        <v>40-49</v>
      </c>
      <c r="M1565" t="s">
        <v>20</v>
      </c>
      <c r="N1565" t="s">
        <v>14</v>
      </c>
    </row>
    <row r="1566" spans="1:14" x14ac:dyDescent="0.35">
      <c r="A1566">
        <v>1665</v>
      </c>
      <c r="B1566" t="s">
        <v>15</v>
      </c>
      <c r="C1566" s="6">
        <v>43123</v>
      </c>
      <c r="D1566">
        <f>YEAR(Table1[[#This Row],[Join Date]])</f>
        <v>2018</v>
      </c>
      <c r="E1566" s="6" t="s">
        <v>48</v>
      </c>
      <c r="F1566" t="str">
        <f>IFERROR(YEAR(Table1[[#This Row],[Exit Date]]), " ")</f>
        <v xml:space="preserve"> </v>
      </c>
      <c r="G1566" t="str">
        <f>IFERROR((Table1[[#This Row],[Exit Year]]-Table1[[#This Row],[Join Year]])+1," ")</f>
        <v xml:space="preserve"> </v>
      </c>
      <c r="H1566" t="s">
        <v>48</v>
      </c>
      <c r="I1566" t="s">
        <v>11</v>
      </c>
      <c r="J1566" t="s">
        <v>12</v>
      </c>
      <c r="K1566">
        <v>42</v>
      </c>
      <c r="L1566" t="str">
        <f>IF(Table1[[#This Row],[Age]]&lt;30,"20-29",
IF(Table1[[#This Row],[Age]]&lt;40,"30-39",
IF(Table1[[#This Row],[Age]]&lt;50,"40-49",
IF(Table1[[#This Row],[Age]]&lt;60,"50-59","60+"))))</f>
        <v>40-49</v>
      </c>
      <c r="M1566" t="s">
        <v>24</v>
      </c>
      <c r="N1566" t="s">
        <v>19</v>
      </c>
    </row>
    <row r="1567" spans="1:14" x14ac:dyDescent="0.35">
      <c r="A1567">
        <v>1666</v>
      </c>
      <c r="B1567" t="s">
        <v>10</v>
      </c>
      <c r="C1567" s="6">
        <v>43717</v>
      </c>
      <c r="D1567">
        <f>YEAR(Table1[[#This Row],[Join Date]])</f>
        <v>2019</v>
      </c>
      <c r="E1567" s="6">
        <v>44677</v>
      </c>
      <c r="F1567">
        <f>IFERROR(YEAR(Table1[[#This Row],[Exit Date]]), " ")</f>
        <v>2022</v>
      </c>
      <c r="G1567">
        <f>IFERROR((Table1[[#This Row],[Exit Year]]-Table1[[#This Row],[Join Year]])+1," ")</f>
        <v>4</v>
      </c>
      <c r="H1567" t="s">
        <v>40</v>
      </c>
      <c r="I1567" t="s">
        <v>23</v>
      </c>
      <c r="J1567" t="s">
        <v>12</v>
      </c>
      <c r="K1567">
        <v>35</v>
      </c>
      <c r="L1567" t="str">
        <f>IF(Table1[[#This Row],[Age]]&lt;30,"20-29",
IF(Table1[[#This Row],[Age]]&lt;40,"30-39",
IF(Table1[[#This Row],[Age]]&lt;50,"40-49",
IF(Table1[[#This Row],[Age]]&lt;60,"50-59","60+"))))</f>
        <v>30-39</v>
      </c>
      <c r="M1567" t="s">
        <v>13</v>
      </c>
      <c r="N1567" t="s">
        <v>21</v>
      </c>
    </row>
    <row r="1568" spans="1:14" x14ac:dyDescent="0.35">
      <c r="A1568">
        <v>1667</v>
      </c>
      <c r="B1568" t="s">
        <v>29</v>
      </c>
      <c r="C1568" s="6">
        <v>43534</v>
      </c>
      <c r="D1568">
        <f>YEAR(Table1[[#This Row],[Join Date]])</f>
        <v>2019</v>
      </c>
      <c r="E1568" s="6">
        <v>44117</v>
      </c>
      <c r="F1568">
        <f>IFERROR(YEAR(Table1[[#This Row],[Exit Date]]), " ")</f>
        <v>2020</v>
      </c>
      <c r="G1568">
        <f>IFERROR((Table1[[#This Row],[Exit Year]]-Table1[[#This Row],[Join Year]])+1," ")</f>
        <v>2</v>
      </c>
      <c r="H1568" t="s">
        <v>46</v>
      </c>
      <c r="I1568" t="s">
        <v>23</v>
      </c>
      <c r="J1568" t="s">
        <v>12</v>
      </c>
      <c r="K1568">
        <v>31</v>
      </c>
      <c r="L1568" t="str">
        <f>IF(Table1[[#This Row],[Age]]&lt;30,"20-29",
IF(Table1[[#This Row],[Age]]&lt;40,"30-39",
IF(Table1[[#This Row],[Age]]&lt;50,"40-49",
IF(Table1[[#This Row],[Age]]&lt;60,"50-59","60+"))))</f>
        <v>30-39</v>
      </c>
      <c r="M1568" t="s">
        <v>44</v>
      </c>
      <c r="N1568" t="s">
        <v>37</v>
      </c>
    </row>
    <row r="1569" spans="1:14" x14ac:dyDescent="0.35">
      <c r="A1569">
        <v>1668</v>
      </c>
      <c r="B1569" t="s">
        <v>36</v>
      </c>
      <c r="C1569" s="6">
        <v>44619</v>
      </c>
      <c r="D1569">
        <f>YEAR(Table1[[#This Row],[Join Date]])</f>
        <v>2022</v>
      </c>
      <c r="E1569" s="6" t="s">
        <v>48</v>
      </c>
      <c r="F1569" t="str">
        <f>IFERROR(YEAR(Table1[[#This Row],[Exit Date]]), " ")</f>
        <v xml:space="preserve"> </v>
      </c>
      <c r="G1569" t="str">
        <f>IFERROR((Table1[[#This Row],[Exit Year]]-Table1[[#This Row],[Join Year]])+1," ")</f>
        <v xml:space="preserve"> </v>
      </c>
      <c r="H1569" t="s">
        <v>48</v>
      </c>
      <c r="I1569" t="s">
        <v>11</v>
      </c>
      <c r="J1569" t="s">
        <v>18</v>
      </c>
      <c r="K1569">
        <v>51</v>
      </c>
      <c r="L1569" t="str">
        <f>IF(Table1[[#This Row],[Age]]&lt;30,"20-29",
IF(Table1[[#This Row],[Age]]&lt;40,"30-39",
IF(Table1[[#This Row],[Age]]&lt;50,"40-49",
IF(Table1[[#This Row],[Age]]&lt;60,"50-59","60+"))))</f>
        <v>50-59</v>
      </c>
      <c r="M1569" t="s">
        <v>13</v>
      </c>
      <c r="N1569" t="s">
        <v>25</v>
      </c>
    </row>
    <row r="1570" spans="1:14" x14ac:dyDescent="0.35">
      <c r="A1570">
        <v>1669</v>
      </c>
      <c r="B1570" t="s">
        <v>10</v>
      </c>
      <c r="C1570" s="6">
        <v>45485</v>
      </c>
      <c r="D1570">
        <f>YEAR(Table1[[#This Row],[Join Date]])</f>
        <v>2024</v>
      </c>
      <c r="E1570" s="6" t="s">
        <v>48</v>
      </c>
      <c r="F1570" t="str">
        <f>IFERROR(YEAR(Table1[[#This Row],[Exit Date]]), " ")</f>
        <v xml:space="preserve"> </v>
      </c>
      <c r="G1570" t="str">
        <f>IFERROR((Table1[[#This Row],[Exit Year]]-Table1[[#This Row],[Join Year]])+1," ")</f>
        <v xml:space="preserve"> </v>
      </c>
      <c r="H1570" t="s">
        <v>48</v>
      </c>
      <c r="I1570" t="s">
        <v>11</v>
      </c>
      <c r="J1570" t="s">
        <v>18</v>
      </c>
      <c r="K1570">
        <v>48</v>
      </c>
      <c r="L1570" t="str">
        <f>IF(Table1[[#This Row],[Age]]&lt;30,"20-29",
IF(Table1[[#This Row],[Age]]&lt;40,"30-39",
IF(Table1[[#This Row],[Age]]&lt;50,"40-49",
IF(Table1[[#This Row],[Age]]&lt;60,"50-59","60+"))))</f>
        <v>40-49</v>
      </c>
      <c r="M1570" t="s">
        <v>13</v>
      </c>
      <c r="N1570" t="s">
        <v>35</v>
      </c>
    </row>
    <row r="1571" spans="1:14" x14ac:dyDescent="0.35">
      <c r="A1571">
        <v>1670</v>
      </c>
      <c r="B1571" t="s">
        <v>29</v>
      </c>
      <c r="C1571" s="6">
        <v>43588</v>
      </c>
      <c r="D1571">
        <f>YEAR(Table1[[#This Row],[Join Date]])</f>
        <v>2019</v>
      </c>
      <c r="E1571" s="6">
        <v>44896</v>
      </c>
      <c r="F1571">
        <f>IFERROR(YEAR(Table1[[#This Row],[Exit Date]]), " ")</f>
        <v>2022</v>
      </c>
      <c r="G1571">
        <f>IFERROR((Table1[[#This Row],[Exit Year]]-Table1[[#This Row],[Join Year]])+1," ")</f>
        <v>4</v>
      </c>
      <c r="H1571" t="s">
        <v>41</v>
      </c>
      <c r="I1571" t="s">
        <v>23</v>
      </c>
      <c r="J1571" t="s">
        <v>12</v>
      </c>
      <c r="K1571">
        <v>41</v>
      </c>
      <c r="L1571" t="str">
        <f>IF(Table1[[#This Row],[Age]]&lt;30,"20-29",
IF(Table1[[#This Row],[Age]]&lt;40,"30-39",
IF(Table1[[#This Row],[Age]]&lt;50,"40-49",
IF(Table1[[#This Row],[Age]]&lt;60,"50-59","60+"))))</f>
        <v>40-49</v>
      </c>
      <c r="M1571" t="s">
        <v>16</v>
      </c>
      <c r="N1571" t="s">
        <v>14</v>
      </c>
    </row>
    <row r="1572" spans="1:14" x14ac:dyDescent="0.35">
      <c r="A1572">
        <v>1671</v>
      </c>
      <c r="B1572" t="s">
        <v>36</v>
      </c>
      <c r="C1572" s="6">
        <v>44250</v>
      </c>
      <c r="D1572">
        <f>YEAR(Table1[[#This Row],[Join Date]])</f>
        <v>2021</v>
      </c>
      <c r="E1572" s="6">
        <v>45392</v>
      </c>
      <c r="F1572">
        <f>IFERROR(YEAR(Table1[[#This Row],[Exit Date]]), " ")</f>
        <v>2024</v>
      </c>
      <c r="G1572">
        <f>IFERROR((Table1[[#This Row],[Exit Year]]-Table1[[#This Row],[Join Year]])+1," ")</f>
        <v>4</v>
      </c>
      <c r="H1572" t="s">
        <v>46</v>
      </c>
      <c r="I1572" t="s">
        <v>23</v>
      </c>
      <c r="J1572" t="s">
        <v>18</v>
      </c>
      <c r="K1572">
        <v>35</v>
      </c>
      <c r="L1572" t="str">
        <f>IF(Table1[[#This Row],[Age]]&lt;30,"20-29",
IF(Table1[[#This Row],[Age]]&lt;40,"30-39",
IF(Table1[[#This Row],[Age]]&lt;50,"40-49",
IF(Table1[[#This Row],[Age]]&lt;60,"50-59","60+"))))</f>
        <v>30-39</v>
      </c>
      <c r="M1572" t="s">
        <v>13</v>
      </c>
      <c r="N1572" t="s">
        <v>17</v>
      </c>
    </row>
    <row r="1573" spans="1:14" x14ac:dyDescent="0.35">
      <c r="A1573">
        <v>1672</v>
      </c>
      <c r="B1573" t="s">
        <v>26</v>
      </c>
      <c r="C1573" s="6">
        <v>45244</v>
      </c>
      <c r="D1573">
        <f>YEAR(Table1[[#This Row],[Join Date]])</f>
        <v>2023</v>
      </c>
      <c r="E1573" s="6">
        <v>45446</v>
      </c>
      <c r="F1573">
        <f>IFERROR(YEAR(Table1[[#This Row],[Exit Date]]), " ")</f>
        <v>2024</v>
      </c>
      <c r="G1573">
        <f>IFERROR((Table1[[#This Row],[Exit Year]]-Table1[[#This Row],[Join Year]])+1," ")</f>
        <v>2</v>
      </c>
      <c r="H1573" t="s">
        <v>40</v>
      </c>
      <c r="I1573" t="s">
        <v>23</v>
      </c>
      <c r="J1573" t="s">
        <v>12</v>
      </c>
      <c r="K1573">
        <v>24</v>
      </c>
      <c r="L1573" t="str">
        <f>IF(Table1[[#This Row],[Age]]&lt;30,"20-29",
IF(Table1[[#This Row],[Age]]&lt;40,"30-39",
IF(Table1[[#This Row],[Age]]&lt;50,"40-49",
IF(Table1[[#This Row],[Age]]&lt;60,"50-59","60+"))))</f>
        <v>20-29</v>
      </c>
      <c r="M1573" t="s">
        <v>20</v>
      </c>
      <c r="N1573" t="s">
        <v>19</v>
      </c>
    </row>
    <row r="1574" spans="1:14" x14ac:dyDescent="0.35">
      <c r="A1574">
        <v>1673</v>
      </c>
      <c r="B1574" t="s">
        <v>15</v>
      </c>
      <c r="C1574" s="6">
        <v>45256</v>
      </c>
      <c r="D1574">
        <f>YEAR(Table1[[#This Row],[Join Date]])</f>
        <v>2023</v>
      </c>
      <c r="E1574" s="6" t="s">
        <v>48</v>
      </c>
      <c r="F1574" t="str">
        <f>IFERROR(YEAR(Table1[[#This Row],[Exit Date]]), " ")</f>
        <v xml:space="preserve"> </v>
      </c>
      <c r="G1574" t="str">
        <f>IFERROR((Table1[[#This Row],[Exit Year]]-Table1[[#This Row],[Join Year]])+1," ")</f>
        <v xml:space="preserve"> </v>
      </c>
      <c r="H1574" t="s">
        <v>48</v>
      </c>
      <c r="I1574" t="s">
        <v>11</v>
      </c>
      <c r="J1574" t="s">
        <v>12</v>
      </c>
      <c r="K1574">
        <v>41</v>
      </c>
      <c r="L1574" t="str">
        <f>IF(Table1[[#This Row],[Age]]&lt;30,"20-29",
IF(Table1[[#This Row],[Age]]&lt;40,"30-39",
IF(Table1[[#This Row],[Age]]&lt;50,"40-49",
IF(Table1[[#This Row],[Age]]&lt;60,"50-59","60+"))))</f>
        <v>40-49</v>
      </c>
      <c r="M1574" t="s">
        <v>39</v>
      </c>
      <c r="N1574" t="s">
        <v>21</v>
      </c>
    </row>
    <row r="1575" spans="1:14" x14ac:dyDescent="0.35">
      <c r="A1575">
        <v>1674</v>
      </c>
      <c r="B1575" t="s">
        <v>26</v>
      </c>
      <c r="C1575" s="6">
        <v>45465</v>
      </c>
      <c r="D1575">
        <f>YEAR(Table1[[#This Row],[Join Date]])</f>
        <v>2024</v>
      </c>
      <c r="E1575" s="6" t="s">
        <v>48</v>
      </c>
      <c r="F1575" t="str">
        <f>IFERROR(YEAR(Table1[[#This Row],[Exit Date]]), " ")</f>
        <v xml:space="preserve"> </v>
      </c>
      <c r="G1575" t="str">
        <f>IFERROR((Table1[[#This Row],[Exit Year]]-Table1[[#This Row],[Join Year]])+1," ")</f>
        <v xml:space="preserve"> </v>
      </c>
      <c r="H1575" t="s">
        <v>48</v>
      </c>
      <c r="I1575" t="s">
        <v>11</v>
      </c>
      <c r="J1575" t="s">
        <v>12</v>
      </c>
      <c r="K1575">
        <v>40</v>
      </c>
      <c r="L1575" t="str">
        <f>IF(Table1[[#This Row],[Age]]&lt;30,"20-29",
IF(Table1[[#This Row],[Age]]&lt;40,"30-39",
IF(Table1[[#This Row],[Age]]&lt;50,"40-49",
IF(Table1[[#This Row],[Age]]&lt;60,"50-59","60+"))))</f>
        <v>40-49</v>
      </c>
      <c r="M1575" t="s">
        <v>13</v>
      </c>
      <c r="N1575" t="s">
        <v>17</v>
      </c>
    </row>
    <row r="1576" spans="1:14" x14ac:dyDescent="0.35">
      <c r="A1576">
        <v>1675</v>
      </c>
      <c r="B1576" t="s">
        <v>10</v>
      </c>
      <c r="C1576" s="6">
        <v>43597</v>
      </c>
      <c r="D1576">
        <f>YEAR(Table1[[#This Row],[Join Date]])</f>
        <v>2019</v>
      </c>
      <c r="E1576" s="6" t="s">
        <v>48</v>
      </c>
      <c r="F1576" t="str">
        <f>IFERROR(YEAR(Table1[[#This Row],[Exit Date]]), " ")</f>
        <v xml:space="preserve"> </v>
      </c>
      <c r="G1576" t="str">
        <f>IFERROR((Table1[[#This Row],[Exit Year]]-Table1[[#This Row],[Join Year]])+1," ")</f>
        <v xml:space="preserve"> </v>
      </c>
      <c r="H1576" t="s">
        <v>48</v>
      </c>
      <c r="I1576" t="s">
        <v>11</v>
      </c>
      <c r="J1576" t="s">
        <v>18</v>
      </c>
      <c r="K1576">
        <v>48</v>
      </c>
      <c r="L1576" t="str">
        <f>IF(Table1[[#This Row],[Age]]&lt;30,"20-29",
IF(Table1[[#This Row],[Age]]&lt;40,"30-39",
IF(Table1[[#This Row],[Age]]&lt;50,"40-49",
IF(Table1[[#This Row],[Age]]&lt;60,"50-59","60+"))))</f>
        <v>40-49</v>
      </c>
      <c r="M1576" t="s">
        <v>16</v>
      </c>
      <c r="N1576" t="s">
        <v>19</v>
      </c>
    </row>
    <row r="1577" spans="1:14" x14ac:dyDescent="0.35">
      <c r="A1577">
        <v>1676</v>
      </c>
      <c r="B1577" t="s">
        <v>15</v>
      </c>
      <c r="C1577" s="6">
        <v>44866</v>
      </c>
      <c r="D1577">
        <f>YEAR(Table1[[#This Row],[Join Date]])</f>
        <v>2022</v>
      </c>
      <c r="E1577" s="6" t="s">
        <v>48</v>
      </c>
      <c r="F1577" t="str">
        <f>IFERROR(YEAR(Table1[[#This Row],[Exit Date]]), " ")</f>
        <v xml:space="preserve"> </v>
      </c>
      <c r="G1577" t="str">
        <f>IFERROR((Table1[[#This Row],[Exit Year]]-Table1[[#This Row],[Join Year]])+1," ")</f>
        <v xml:space="preserve"> </v>
      </c>
      <c r="H1577" t="s">
        <v>48</v>
      </c>
      <c r="I1577" t="s">
        <v>11</v>
      </c>
      <c r="J1577" t="s">
        <v>12</v>
      </c>
      <c r="K1577">
        <v>52</v>
      </c>
      <c r="L1577" t="str">
        <f>IF(Table1[[#This Row],[Age]]&lt;30,"20-29",
IF(Table1[[#This Row],[Age]]&lt;40,"30-39",
IF(Table1[[#This Row],[Age]]&lt;50,"40-49",
IF(Table1[[#This Row],[Age]]&lt;60,"50-59","60+"))))</f>
        <v>50-59</v>
      </c>
      <c r="M1577" t="s">
        <v>16</v>
      </c>
      <c r="N1577" t="s">
        <v>21</v>
      </c>
    </row>
    <row r="1578" spans="1:14" x14ac:dyDescent="0.35">
      <c r="A1578">
        <v>1677</v>
      </c>
      <c r="B1578" t="s">
        <v>34</v>
      </c>
      <c r="C1578" s="6">
        <v>44006</v>
      </c>
      <c r="D1578">
        <f>YEAR(Table1[[#This Row],[Join Date]])</f>
        <v>2020</v>
      </c>
      <c r="E1578" s="6">
        <v>44463</v>
      </c>
      <c r="F1578">
        <f>IFERROR(YEAR(Table1[[#This Row],[Exit Date]]), " ")</f>
        <v>2021</v>
      </c>
      <c r="G1578">
        <f>IFERROR((Table1[[#This Row],[Exit Year]]-Table1[[#This Row],[Join Year]])+1," ")</f>
        <v>2</v>
      </c>
      <c r="H1578" t="s">
        <v>46</v>
      </c>
      <c r="I1578" t="s">
        <v>23</v>
      </c>
      <c r="J1578" t="s">
        <v>18</v>
      </c>
      <c r="K1578">
        <v>33</v>
      </c>
      <c r="L1578" t="str">
        <f>IF(Table1[[#This Row],[Age]]&lt;30,"20-29",
IF(Table1[[#This Row],[Age]]&lt;40,"30-39",
IF(Table1[[#This Row],[Age]]&lt;50,"40-49",
IF(Table1[[#This Row],[Age]]&lt;60,"50-59","60+"))))</f>
        <v>30-39</v>
      </c>
      <c r="M1578" t="s">
        <v>20</v>
      </c>
      <c r="N1578" t="s">
        <v>25</v>
      </c>
    </row>
    <row r="1579" spans="1:14" x14ac:dyDescent="0.35">
      <c r="A1579">
        <v>1678</v>
      </c>
      <c r="B1579" t="s">
        <v>26</v>
      </c>
      <c r="C1579" s="6">
        <v>45095</v>
      </c>
      <c r="D1579">
        <f>YEAR(Table1[[#This Row],[Join Date]])</f>
        <v>2023</v>
      </c>
      <c r="E1579" s="6" t="s">
        <v>48</v>
      </c>
      <c r="F1579" t="str">
        <f>IFERROR(YEAR(Table1[[#This Row],[Exit Date]]), " ")</f>
        <v xml:space="preserve"> </v>
      </c>
      <c r="G1579" t="str">
        <f>IFERROR((Table1[[#This Row],[Exit Year]]-Table1[[#This Row],[Join Year]])+1," ")</f>
        <v xml:space="preserve"> </v>
      </c>
      <c r="H1579" t="s">
        <v>48</v>
      </c>
      <c r="I1579" t="s">
        <v>11</v>
      </c>
      <c r="J1579" t="s">
        <v>12</v>
      </c>
      <c r="K1579">
        <v>51</v>
      </c>
      <c r="L1579" t="str">
        <f>IF(Table1[[#This Row],[Age]]&lt;30,"20-29",
IF(Table1[[#This Row],[Age]]&lt;40,"30-39",
IF(Table1[[#This Row],[Age]]&lt;50,"40-49",
IF(Table1[[#This Row],[Age]]&lt;60,"50-59","60+"))))</f>
        <v>50-59</v>
      </c>
      <c r="M1579" t="s">
        <v>24</v>
      </c>
      <c r="N1579" t="s">
        <v>28</v>
      </c>
    </row>
    <row r="1580" spans="1:14" x14ac:dyDescent="0.35">
      <c r="A1580">
        <v>1679</v>
      </c>
      <c r="B1580" t="s">
        <v>10</v>
      </c>
      <c r="C1580" s="6">
        <v>44360</v>
      </c>
      <c r="D1580">
        <f>YEAR(Table1[[#This Row],[Join Date]])</f>
        <v>2021</v>
      </c>
      <c r="E1580" s="6">
        <v>44755</v>
      </c>
      <c r="F1580">
        <f>IFERROR(YEAR(Table1[[#This Row],[Exit Date]]), " ")</f>
        <v>2022</v>
      </c>
      <c r="G1580">
        <f>IFERROR((Table1[[#This Row],[Exit Year]]-Table1[[#This Row],[Join Year]])+1," ")</f>
        <v>2</v>
      </c>
      <c r="H1580" t="s">
        <v>38</v>
      </c>
      <c r="I1580" t="s">
        <v>23</v>
      </c>
      <c r="J1580" t="s">
        <v>18</v>
      </c>
      <c r="K1580">
        <v>46</v>
      </c>
      <c r="L1580" t="str">
        <f>IF(Table1[[#This Row],[Age]]&lt;30,"20-29",
IF(Table1[[#This Row],[Age]]&lt;40,"30-39",
IF(Table1[[#This Row],[Age]]&lt;50,"40-49",
IF(Table1[[#This Row],[Age]]&lt;60,"50-59","60+"))))</f>
        <v>40-49</v>
      </c>
      <c r="M1580" t="s">
        <v>13</v>
      </c>
      <c r="N1580" t="s">
        <v>31</v>
      </c>
    </row>
    <row r="1581" spans="1:14" x14ac:dyDescent="0.35">
      <c r="A1581">
        <v>1680</v>
      </c>
      <c r="B1581" t="s">
        <v>26</v>
      </c>
      <c r="C1581" s="6">
        <v>43419</v>
      </c>
      <c r="D1581">
        <f>YEAR(Table1[[#This Row],[Join Date]])</f>
        <v>2018</v>
      </c>
      <c r="E1581" s="6">
        <v>44303</v>
      </c>
      <c r="F1581">
        <f>IFERROR(YEAR(Table1[[#This Row],[Exit Date]]), " ")</f>
        <v>2021</v>
      </c>
      <c r="G1581">
        <f>IFERROR((Table1[[#This Row],[Exit Year]]-Table1[[#This Row],[Join Year]])+1," ")</f>
        <v>4</v>
      </c>
      <c r="H1581" t="s">
        <v>22</v>
      </c>
      <c r="I1581" t="s">
        <v>23</v>
      </c>
      <c r="J1581" t="s">
        <v>18</v>
      </c>
      <c r="K1581">
        <v>53</v>
      </c>
      <c r="L1581" t="str">
        <f>IF(Table1[[#This Row],[Age]]&lt;30,"20-29",
IF(Table1[[#This Row],[Age]]&lt;40,"30-39",
IF(Table1[[#This Row],[Age]]&lt;50,"40-49",
IF(Table1[[#This Row],[Age]]&lt;60,"50-59","60+"))))</f>
        <v>50-59</v>
      </c>
      <c r="M1581" t="s">
        <v>42</v>
      </c>
      <c r="N1581" t="s">
        <v>32</v>
      </c>
    </row>
    <row r="1582" spans="1:14" x14ac:dyDescent="0.35">
      <c r="A1582">
        <v>1681</v>
      </c>
      <c r="B1582" t="s">
        <v>36</v>
      </c>
      <c r="C1582" s="6">
        <v>44249</v>
      </c>
      <c r="D1582">
        <f>YEAR(Table1[[#This Row],[Join Date]])</f>
        <v>2021</v>
      </c>
      <c r="E1582" s="6" t="s">
        <v>48</v>
      </c>
      <c r="F1582" t="str">
        <f>IFERROR(YEAR(Table1[[#This Row],[Exit Date]]), " ")</f>
        <v xml:space="preserve"> </v>
      </c>
      <c r="G1582" t="str">
        <f>IFERROR((Table1[[#This Row],[Exit Year]]-Table1[[#This Row],[Join Year]])+1," ")</f>
        <v xml:space="preserve"> </v>
      </c>
      <c r="H1582" t="s">
        <v>48</v>
      </c>
      <c r="I1582" t="s">
        <v>11</v>
      </c>
      <c r="J1582" t="s">
        <v>12</v>
      </c>
      <c r="K1582">
        <v>35</v>
      </c>
      <c r="L1582" t="str">
        <f>IF(Table1[[#This Row],[Age]]&lt;30,"20-29",
IF(Table1[[#This Row],[Age]]&lt;40,"30-39",
IF(Table1[[#This Row],[Age]]&lt;50,"40-49",
IF(Table1[[#This Row],[Age]]&lt;60,"50-59","60+"))))</f>
        <v>30-39</v>
      </c>
      <c r="M1582" t="s">
        <v>13</v>
      </c>
      <c r="N1582" t="s">
        <v>33</v>
      </c>
    </row>
    <row r="1583" spans="1:14" x14ac:dyDescent="0.35">
      <c r="A1583">
        <v>1682</v>
      </c>
      <c r="B1583" t="s">
        <v>10</v>
      </c>
      <c r="C1583" s="6">
        <v>45533</v>
      </c>
      <c r="D1583">
        <f>YEAR(Table1[[#This Row],[Join Date]])</f>
        <v>2024</v>
      </c>
      <c r="E1583" s="6" t="s">
        <v>48</v>
      </c>
      <c r="F1583" t="str">
        <f>IFERROR(YEAR(Table1[[#This Row],[Exit Date]]), " ")</f>
        <v xml:space="preserve"> </v>
      </c>
      <c r="G1583" t="str">
        <f>IFERROR((Table1[[#This Row],[Exit Year]]-Table1[[#This Row],[Join Year]])+1," ")</f>
        <v xml:space="preserve"> </v>
      </c>
      <c r="H1583" t="s">
        <v>48</v>
      </c>
      <c r="I1583" t="s">
        <v>11</v>
      </c>
      <c r="J1583" t="s">
        <v>18</v>
      </c>
      <c r="K1583">
        <v>32</v>
      </c>
      <c r="L1583" t="str">
        <f>IF(Table1[[#This Row],[Age]]&lt;30,"20-29",
IF(Table1[[#This Row],[Age]]&lt;40,"30-39",
IF(Table1[[#This Row],[Age]]&lt;50,"40-49",
IF(Table1[[#This Row],[Age]]&lt;60,"50-59","60+"))))</f>
        <v>30-39</v>
      </c>
      <c r="M1583" t="s">
        <v>13</v>
      </c>
      <c r="N1583" t="s">
        <v>35</v>
      </c>
    </row>
    <row r="1584" spans="1:14" x14ac:dyDescent="0.35">
      <c r="A1584">
        <v>1683</v>
      </c>
      <c r="B1584" t="s">
        <v>36</v>
      </c>
      <c r="C1584" s="6">
        <v>44377</v>
      </c>
      <c r="D1584">
        <f>YEAR(Table1[[#This Row],[Join Date]])</f>
        <v>2021</v>
      </c>
      <c r="E1584" s="6" t="s">
        <v>48</v>
      </c>
      <c r="F1584" t="str">
        <f>IFERROR(YEAR(Table1[[#This Row],[Exit Date]]), " ")</f>
        <v xml:space="preserve"> </v>
      </c>
      <c r="G1584" t="str">
        <f>IFERROR((Table1[[#This Row],[Exit Year]]-Table1[[#This Row],[Join Year]])+1," ")</f>
        <v xml:space="preserve"> </v>
      </c>
      <c r="H1584" t="s">
        <v>48</v>
      </c>
      <c r="I1584" t="s">
        <v>11</v>
      </c>
      <c r="J1584" t="s">
        <v>18</v>
      </c>
      <c r="K1584">
        <v>46</v>
      </c>
      <c r="L1584" t="str">
        <f>IF(Table1[[#This Row],[Age]]&lt;30,"20-29",
IF(Table1[[#This Row],[Age]]&lt;40,"30-39",
IF(Table1[[#This Row],[Age]]&lt;50,"40-49",
IF(Table1[[#This Row],[Age]]&lt;60,"50-59","60+"))))</f>
        <v>40-49</v>
      </c>
      <c r="M1584" t="s">
        <v>16</v>
      </c>
      <c r="N1584" t="s">
        <v>37</v>
      </c>
    </row>
    <row r="1585" spans="1:14" x14ac:dyDescent="0.35">
      <c r="A1585">
        <v>1684</v>
      </c>
      <c r="B1585" t="s">
        <v>10</v>
      </c>
      <c r="C1585" s="6">
        <v>44088</v>
      </c>
      <c r="D1585">
        <f>YEAR(Table1[[#This Row],[Join Date]])</f>
        <v>2020</v>
      </c>
      <c r="E1585" s="6" t="s">
        <v>48</v>
      </c>
      <c r="F1585" t="str">
        <f>IFERROR(YEAR(Table1[[#This Row],[Exit Date]]), " ")</f>
        <v xml:space="preserve"> </v>
      </c>
      <c r="G1585" t="str">
        <f>IFERROR((Table1[[#This Row],[Exit Year]]-Table1[[#This Row],[Join Year]])+1," ")</f>
        <v xml:space="preserve"> </v>
      </c>
      <c r="H1585" t="s">
        <v>48</v>
      </c>
      <c r="I1585" t="s">
        <v>11</v>
      </c>
      <c r="J1585" t="s">
        <v>12</v>
      </c>
      <c r="K1585">
        <v>50</v>
      </c>
      <c r="L1585" t="str">
        <f>IF(Table1[[#This Row],[Age]]&lt;30,"20-29",
IF(Table1[[#This Row],[Age]]&lt;40,"30-39",
IF(Table1[[#This Row],[Age]]&lt;50,"40-49",
IF(Table1[[#This Row],[Age]]&lt;60,"50-59","60+"))))</f>
        <v>50-59</v>
      </c>
      <c r="M1585" t="s">
        <v>13</v>
      </c>
      <c r="N1585" t="s">
        <v>19</v>
      </c>
    </row>
    <row r="1586" spans="1:14" x14ac:dyDescent="0.35">
      <c r="A1586">
        <v>1685</v>
      </c>
      <c r="B1586" t="s">
        <v>26</v>
      </c>
      <c r="C1586" s="6">
        <v>43373</v>
      </c>
      <c r="D1586">
        <f>YEAR(Table1[[#This Row],[Join Date]])</f>
        <v>2018</v>
      </c>
      <c r="E1586" s="6">
        <v>44825</v>
      </c>
      <c r="F1586">
        <f>IFERROR(YEAR(Table1[[#This Row],[Exit Date]]), " ")</f>
        <v>2022</v>
      </c>
      <c r="G1586">
        <f>IFERROR((Table1[[#This Row],[Exit Year]]-Table1[[#This Row],[Join Year]])+1," ")</f>
        <v>5</v>
      </c>
      <c r="H1586" t="s">
        <v>27</v>
      </c>
      <c r="I1586" t="s">
        <v>23</v>
      </c>
      <c r="J1586" t="s">
        <v>12</v>
      </c>
      <c r="K1586">
        <v>63</v>
      </c>
      <c r="L1586" t="str">
        <f>IF(Table1[[#This Row],[Age]]&lt;30,"20-29",
IF(Table1[[#This Row],[Age]]&lt;40,"30-39",
IF(Table1[[#This Row],[Age]]&lt;50,"40-49",
IF(Table1[[#This Row],[Age]]&lt;60,"50-59","60+"))))</f>
        <v>60+</v>
      </c>
      <c r="M1586" t="s">
        <v>20</v>
      </c>
      <c r="N1586" t="s">
        <v>25</v>
      </c>
    </row>
    <row r="1587" spans="1:14" x14ac:dyDescent="0.35">
      <c r="A1587">
        <v>1686</v>
      </c>
      <c r="B1587" t="s">
        <v>26</v>
      </c>
      <c r="C1587" s="6">
        <v>43314</v>
      </c>
      <c r="D1587">
        <f>YEAR(Table1[[#This Row],[Join Date]])</f>
        <v>2018</v>
      </c>
      <c r="E1587" s="6" t="s">
        <v>48</v>
      </c>
      <c r="F1587" t="str">
        <f>IFERROR(YEAR(Table1[[#This Row],[Exit Date]]), " ")</f>
        <v xml:space="preserve"> </v>
      </c>
      <c r="G1587" t="str">
        <f>IFERROR((Table1[[#This Row],[Exit Year]]-Table1[[#This Row],[Join Year]])+1," ")</f>
        <v xml:space="preserve"> </v>
      </c>
      <c r="H1587" t="s">
        <v>48</v>
      </c>
      <c r="I1587" t="s">
        <v>11</v>
      </c>
      <c r="J1587" t="s">
        <v>12</v>
      </c>
      <c r="K1587">
        <v>29</v>
      </c>
      <c r="L1587" t="str">
        <f>IF(Table1[[#This Row],[Age]]&lt;30,"20-29",
IF(Table1[[#This Row],[Age]]&lt;40,"30-39",
IF(Table1[[#This Row],[Age]]&lt;50,"40-49",
IF(Table1[[#This Row],[Age]]&lt;60,"50-59","60+"))))</f>
        <v>20-29</v>
      </c>
      <c r="M1587" t="s">
        <v>44</v>
      </c>
      <c r="N1587" t="s">
        <v>35</v>
      </c>
    </row>
    <row r="1588" spans="1:14" x14ac:dyDescent="0.35">
      <c r="A1588">
        <v>1687</v>
      </c>
      <c r="B1588" t="s">
        <v>26</v>
      </c>
      <c r="C1588" s="6">
        <v>44418</v>
      </c>
      <c r="D1588">
        <f>YEAR(Table1[[#This Row],[Join Date]])</f>
        <v>2021</v>
      </c>
      <c r="E1588" s="6">
        <v>45628</v>
      </c>
      <c r="F1588">
        <f>IFERROR(YEAR(Table1[[#This Row],[Exit Date]]), " ")</f>
        <v>2024</v>
      </c>
      <c r="G1588">
        <f>IFERROR((Table1[[#This Row],[Exit Year]]-Table1[[#This Row],[Join Year]])+1," ")</f>
        <v>4</v>
      </c>
      <c r="H1588" t="s">
        <v>22</v>
      </c>
      <c r="I1588" t="s">
        <v>23</v>
      </c>
      <c r="J1588" t="s">
        <v>18</v>
      </c>
      <c r="K1588">
        <v>27</v>
      </c>
      <c r="L1588" t="str">
        <f>IF(Table1[[#This Row],[Age]]&lt;30,"20-29",
IF(Table1[[#This Row],[Age]]&lt;40,"30-39",
IF(Table1[[#This Row],[Age]]&lt;50,"40-49",
IF(Table1[[#This Row],[Age]]&lt;60,"50-59","60+"))))</f>
        <v>20-29</v>
      </c>
      <c r="M1588" t="s">
        <v>13</v>
      </c>
      <c r="N1588" t="s">
        <v>17</v>
      </c>
    </row>
    <row r="1589" spans="1:14" x14ac:dyDescent="0.35">
      <c r="A1589">
        <v>1688</v>
      </c>
      <c r="B1589" t="s">
        <v>34</v>
      </c>
      <c r="C1589" s="6">
        <v>44324</v>
      </c>
      <c r="D1589">
        <f>YEAR(Table1[[#This Row],[Join Date]])</f>
        <v>2021</v>
      </c>
      <c r="E1589" s="6">
        <v>45076</v>
      </c>
      <c r="F1589">
        <f>IFERROR(YEAR(Table1[[#This Row],[Exit Date]]), " ")</f>
        <v>2023</v>
      </c>
      <c r="G1589">
        <f>IFERROR((Table1[[#This Row],[Exit Year]]-Table1[[#This Row],[Join Year]])+1," ")</f>
        <v>3</v>
      </c>
      <c r="H1589" t="s">
        <v>40</v>
      </c>
      <c r="I1589" t="s">
        <v>23</v>
      </c>
      <c r="J1589" t="s">
        <v>18</v>
      </c>
      <c r="K1589">
        <v>31</v>
      </c>
      <c r="L1589" t="str">
        <f>IF(Table1[[#This Row],[Age]]&lt;30,"20-29",
IF(Table1[[#This Row],[Age]]&lt;40,"30-39",
IF(Table1[[#This Row],[Age]]&lt;50,"40-49",
IF(Table1[[#This Row],[Age]]&lt;60,"50-59","60+"))))</f>
        <v>30-39</v>
      </c>
      <c r="M1589" t="s">
        <v>16</v>
      </c>
      <c r="N1589" t="s">
        <v>19</v>
      </c>
    </row>
    <row r="1590" spans="1:14" x14ac:dyDescent="0.35">
      <c r="A1590">
        <v>1689</v>
      </c>
      <c r="B1590" t="s">
        <v>10</v>
      </c>
      <c r="C1590" s="6">
        <v>43513</v>
      </c>
      <c r="D1590">
        <f>YEAR(Table1[[#This Row],[Join Date]])</f>
        <v>2019</v>
      </c>
      <c r="E1590" s="6">
        <v>44923</v>
      </c>
      <c r="F1590">
        <f>IFERROR(YEAR(Table1[[#This Row],[Exit Date]]), " ")</f>
        <v>2022</v>
      </c>
      <c r="G1590">
        <f>IFERROR((Table1[[#This Row],[Exit Year]]-Table1[[#This Row],[Join Year]])+1," ")</f>
        <v>4</v>
      </c>
      <c r="H1590" t="s">
        <v>38</v>
      </c>
      <c r="I1590" t="s">
        <v>23</v>
      </c>
      <c r="J1590" t="s">
        <v>12</v>
      </c>
      <c r="K1590">
        <v>24</v>
      </c>
      <c r="L1590" t="str">
        <f>IF(Table1[[#This Row],[Age]]&lt;30,"20-29",
IF(Table1[[#This Row],[Age]]&lt;40,"30-39",
IF(Table1[[#This Row],[Age]]&lt;50,"40-49",
IF(Table1[[#This Row],[Age]]&lt;60,"50-59","60+"))))</f>
        <v>20-29</v>
      </c>
      <c r="M1590" t="s">
        <v>16</v>
      </c>
      <c r="N1590" t="s">
        <v>21</v>
      </c>
    </row>
    <row r="1591" spans="1:14" x14ac:dyDescent="0.35">
      <c r="A1591">
        <v>1690</v>
      </c>
      <c r="B1591" t="s">
        <v>36</v>
      </c>
      <c r="C1591" s="6">
        <v>44180</v>
      </c>
      <c r="D1591">
        <f>YEAR(Table1[[#This Row],[Join Date]])</f>
        <v>2020</v>
      </c>
      <c r="E1591" s="6" t="s">
        <v>48</v>
      </c>
      <c r="F1591" t="str">
        <f>IFERROR(YEAR(Table1[[#This Row],[Exit Date]]), " ")</f>
        <v xml:space="preserve"> </v>
      </c>
      <c r="G1591" t="str">
        <f>IFERROR((Table1[[#This Row],[Exit Year]]-Table1[[#This Row],[Join Year]])+1," ")</f>
        <v xml:space="preserve"> </v>
      </c>
      <c r="H1591" t="s">
        <v>48</v>
      </c>
      <c r="I1591" t="s">
        <v>11</v>
      </c>
      <c r="J1591" t="s">
        <v>18</v>
      </c>
      <c r="K1591">
        <v>37</v>
      </c>
      <c r="L1591" t="str">
        <f>IF(Table1[[#This Row],[Age]]&lt;30,"20-29",
IF(Table1[[#This Row],[Age]]&lt;40,"30-39",
IF(Table1[[#This Row],[Age]]&lt;50,"40-49",
IF(Table1[[#This Row],[Age]]&lt;60,"50-59","60+"))))</f>
        <v>30-39</v>
      </c>
      <c r="M1591" t="s">
        <v>20</v>
      </c>
      <c r="N1591" t="s">
        <v>25</v>
      </c>
    </row>
    <row r="1592" spans="1:14" x14ac:dyDescent="0.35">
      <c r="A1592">
        <v>1691</v>
      </c>
      <c r="B1592" t="s">
        <v>34</v>
      </c>
      <c r="C1592" s="6">
        <v>44099</v>
      </c>
      <c r="D1592">
        <f>YEAR(Table1[[#This Row],[Join Date]])</f>
        <v>2020</v>
      </c>
      <c r="E1592" s="6" t="s">
        <v>48</v>
      </c>
      <c r="F1592" t="str">
        <f>IFERROR(YEAR(Table1[[#This Row],[Exit Date]]), " ")</f>
        <v xml:space="preserve"> </v>
      </c>
      <c r="G1592" t="str">
        <f>IFERROR((Table1[[#This Row],[Exit Year]]-Table1[[#This Row],[Join Year]])+1," ")</f>
        <v xml:space="preserve"> </v>
      </c>
      <c r="H1592" t="s">
        <v>48</v>
      </c>
      <c r="I1592" t="s">
        <v>11</v>
      </c>
      <c r="J1592" t="s">
        <v>12</v>
      </c>
      <c r="K1592">
        <v>23</v>
      </c>
      <c r="L1592" t="str">
        <f>IF(Table1[[#This Row],[Age]]&lt;30,"20-29",
IF(Table1[[#This Row],[Age]]&lt;40,"30-39",
IF(Table1[[#This Row],[Age]]&lt;50,"40-49",
IF(Table1[[#This Row],[Age]]&lt;60,"50-59","60+"))))</f>
        <v>20-29</v>
      </c>
      <c r="M1592" t="s">
        <v>24</v>
      </c>
      <c r="N1592" t="s">
        <v>35</v>
      </c>
    </row>
    <row r="1593" spans="1:14" x14ac:dyDescent="0.35">
      <c r="A1593">
        <v>1692</v>
      </c>
      <c r="B1593" t="s">
        <v>34</v>
      </c>
      <c r="C1593" s="6">
        <v>45632</v>
      </c>
      <c r="D1593">
        <f>YEAR(Table1[[#This Row],[Join Date]])</f>
        <v>2024</v>
      </c>
      <c r="E1593" s="6" t="s">
        <v>48</v>
      </c>
      <c r="F1593" t="str">
        <f>IFERROR(YEAR(Table1[[#This Row],[Exit Date]]), " ")</f>
        <v xml:space="preserve"> </v>
      </c>
      <c r="G1593" t="str">
        <f>IFERROR((Table1[[#This Row],[Exit Year]]-Table1[[#This Row],[Join Year]])+1," ")</f>
        <v xml:space="preserve"> </v>
      </c>
      <c r="H1593" t="s">
        <v>48</v>
      </c>
      <c r="I1593" t="s">
        <v>11</v>
      </c>
      <c r="J1593" t="s">
        <v>12</v>
      </c>
      <c r="K1593">
        <v>31</v>
      </c>
      <c r="L1593" t="str">
        <f>IF(Table1[[#This Row],[Age]]&lt;30,"20-29",
IF(Table1[[#This Row],[Age]]&lt;40,"30-39",
IF(Table1[[#This Row],[Age]]&lt;50,"40-49",
IF(Table1[[#This Row],[Age]]&lt;60,"50-59","60+"))))</f>
        <v>30-39</v>
      </c>
      <c r="M1593" t="s">
        <v>13</v>
      </c>
      <c r="N1593" t="s">
        <v>14</v>
      </c>
    </row>
    <row r="1594" spans="1:14" x14ac:dyDescent="0.35">
      <c r="A1594">
        <v>1693</v>
      </c>
      <c r="B1594" t="s">
        <v>36</v>
      </c>
      <c r="C1594" s="6">
        <v>45294</v>
      </c>
      <c r="D1594">
        <f>YEAR(Table1[[#This Row],[Join Date]])</f>
        <v>2024</v>
      </c>
      <c r="E1594" s="6" t="s">
        <v>48</v>
      </c>
      <c r="F1594" t="str">
        <f>IFERROR(YEAR(Table1[[#This Row],[Exit Date]]), " ")</f>
        <v xml:space="preserve"> </v>
      </c>
      <c r="G1594" t="str">
        <f>IFERROR((Table1[[#This Row],[Exit Year]]-Table1[[#This Row],[Join Year]])+1," ")</f>
        <v xml:space="preserve"> </v>
      </c>
      <c r="H1594" t="s">
        <v>48</v>
      </c>
      <c r="I1594" t="s">
        <v>11</v>
      </c>
      <c r="J1594" t="s">
        <v>12</v>
      </c>
      <c r="K1594">
        <v>52</v>
      </c>
      <c r="L1594" t="str">
        <f>IF(Table1[[#This Row],[Age]]&lt;30,"20-29",
IF(Table1[[#This Row],[Age]]&lt;40,"30-39",
IF(Table1[[#This Row],[Age]]&lt;50,"40-49",
IF(Table1[[#This Row],[Age]]&lt;60,"50-59","60+"))))</f>
        <v>50-59</v>
      </c>
      <c r="M1594" t="s">
        <v>42</v>
      </c>
      <c r="N1594" t="s">
        <v>19</v>
      </c>
    </row>
    <row r="1595" spans="1:14" x14ac:dyDescent="0.35">
      <c r="A1595">
        <v>1694</v>
      </c>
      <c r="B1595" t="s">
        <v>26</v>
      </c>
      <c r="C1595" s="6">
        <v>44590</v>
      </c>
      <c r="D1595">
        <f>YEAR(Table1[[#This Row],[Join Date]])</f>
        <v>2022</v>
      </c>
      <c r="E1595" s="6" t="s">
        <v>48</v>
      </c>
      <c r="F1595" t="str">
        <f>IFERROR(YEAR(Table1[[#This Row],[Exit Date]]), " ")</f>
        <v xml:space="preserve"> </v>
      </c>
      <c r="G1595" t="str">
        <f>IFERROR((Table1[[#This Row],[Exit Year]]-Table1[[#This Row],[Join Year]])+1," ")</f>
        <v xml:space="preserve"> </v>
      </c>
      <c r="H1595" t="s">
        <v>48</v>
      </c>
      <c r="I1595" t="s">
        <v>11</v>
      </c>
      <c r="J1595" t="s">
        <v>18</v>
      </c>
      <c r="K1595">
        <v>25</v>
      </c>
      <c r="L1595" t="str">
        <f>IF(Table1[[#This Row],[Age]]&lt;30,"20-29",
IF(Table1[[#This Row],[Age]]&lt;40,"30-39",
IF(Table1[[#This Row],[Age]]&lt;50,"40-49",
IF(Table1[[#This Row],[Age]]&lt;60,"50-59","60+"))))</f>
        <v>20-29</v>
      </c>
      <c r="M1595" t="s">
        <v>13</v>
      </c>
      <c r="N1595" t="s">
        <v>21</v>
      </c>
    </row>
    <row r="1596" spans="1:14" x14ac:dyDescent="0.35">
      <c r="A1596">
        <v>1695</v>
      </c>
      <c r="B1596" t="s">
        <v>15</v>
      </c>
      <c r="C1596" s="6">
        <v>45215</v>
      </c>
      <c r="D1596">
        <f>YEAR(Table1[[#This Row],[Join Date]])</f>
        <v>2023</v>
      </c>
      <c r="E1596" s="6" t="s">
        <v>48</v>
      </c>
      <c r="F1596" t="str">
        <f>IFERROR(YEAR(Table1[[#This Row],[Exit Date]]), " ")</f>
        <v xml:space="preserve"> </v>
      </c>
      <c r="G1596" t="str">
        <f>IFERROR((Table1[[#This Row],[Exit Year]]-Table1[[#This Row],[Join Year]])+1," ")</f>
        <v xml:space="preserve"> </v>
      </c>
      <c r="H1596" t="s">
        <v>48</v>
      </c>
      <c r="I1596" t="s">
        <v>11</v>
      </c>
      <c r="J1596" t="s">
        <v>12</v>
      </c>
      <c r="K1596">
        <v>46</v>
      </c>
      <c r="L1596" t="str">
        <f>IF(Table1[[#This Row],[Age]]&lt;30,"20-29",
IF(Table1[[#This Row],[Age]]&lt;40,"30-39",
IF(Table1[[#This Row],[Age]]&lt;50,"40-49",
IF(Table1[[#This Row],[Age]]&lt;60,"50-59","60+"))))</f>
        <v>40-49</v>
      </c>
      <c r="M1596" t="s">
        <v>13</v>
      </c>
      <c r="N1596" t="s">
        <v>25</v>
      </c>
    </row>
    <row r="1597" spans="1:14" x14ac:dyDescent="0.35">
      <c r="A1597">
        <v>1696</v>
      </c>
      <c r="B1597" t="s">
        <v>15</v>
      </c>
      <c r="C1597" s="6">
        <v>43624</v>
      </c>
      <c r="D1597">
        <f>YEAR(Table1[[#This Row],[Join Date]])</f>
        <v>2019</v>
      </c>
      <c r="E1597" s="6">
        <v>44228</v>
      </c>
      <c r="F1597">
        <f>IFERROR(YEAR(Table1[[#This Row],[Exit Date]]), " ")</f>
        <v>2021</v>
      </c>
      <c r="G1597">
        <f>IFERROR((Table1[[#This Row],[Exit Year]]-Table1[[#This Row],[Join Year]])+1," ")</f>
        <v>3</v>
      </c>
      <c r="H1597" t="s">
        <v>41</v>
      </c>
      <c r="I1597" t="s">
        <v>23</v>
      </c>
      <c r="J1597" t="s">
        <v>18</v>
      </c>
      <c r="K1597">
        <v>24</v>
      </c>
      <c r="L1597" t="str">
        <f>IF(Table1[[#This Row],[Age]]&lt;30,"20-29",
IF(Table1[[#This Row],[Age]]&lt;40,"30-39",
IF(Table1[[#This Row],[Age]]&lt;50,"40-49",
IF(Table1[[#This Row],[Age]]&lt;60,"50-59","60+"))))</f>
        <v>20-29</v>
      </c>
      <c r="M1597" t="s">
        <v>16</v>
      </c>
      <c r="N1597" t="s">
        <v>35</v>
      </c>
    </row>
    <row r="1598" spans="1:14" x14ac:dyDescent="0.35">
      <c r="A1598">
        <v>1697</v>
      </c>
      <c r="B1598" t="s">
        <v>15</v>
      </c>
      <c r="C1598" s="6">
        <v>44514</v>
      </c>
      <c r="D1598">
        <f>YEAR(Table1[[#This Row],[Join Date]])</f>
        <v>2021</v>
      </c>
      <c r="E1598" s="6">
        <v>45529</v>
      </c>
      <c r="F1598">
        <f>IFERROR(YEAR(Table1[[#This Row],[Exit Date]]), " ")</f>
        <v>2024</v>
      </c>
      <c r="G1598">
        <f>IFERROR((Table1[[#This Row],[Exit Year]]-Table1[[#This Row],[Join Year]])+1," ")</f>
        <v>4</v>
      </c>
      <c r="H1598" t="s">
        <v>41</v>
      </c>
      <c r="I1598" t="s">
        <v>23</v>
      </c>
      <c r="J1598" t="s">
        <v>12</v>
      </c>
      <c r="K1598">
        <v>38</v>
      </c>
      <c r="L1598" t="str">
        <f>IF(Table1[[#This Row],[Age]]&lt;30,"20-29",
IF(Table1[[#This Row],[Age]]&lt;40,"30-39",
IF(Table1[[#This Row],[Age]]&lt;50,"40-49",
IF(Table1[[#This Row],[Age]]&lt;60,"50-59","60+"))))</f>
        <v>30-39</v>
      </c>
      <c r="M1598" t="s">
        <v>13</v>
      </c>
      <c r="N1598" t="s">
        <v>17</v>
      </c>
    </row>
    <row r="1599" spans="1:14" x14ac:dyDescent="0.35">
      <c r="A1599">
        <v>1698</v>
      </c>
      <c r="B1599" t="s">
        <v>29</v>
      </c>
      <c r="C1599" s="6">
        <v>43700</v>
      </c>
      <c r="D1599">
        <f>YEAR(Table1[[#This Row],[Join Date]])</f>
        <v>2019</v>
      </c>
      <c r="E1599" s="6" t="s">
        <v>48</v>
      </c>
      <c r="F1599" t="str">
        <f>IFERROR(YEAR(Table1[[#This Row],[Exit Date]]), " ")</f>
        <v xml:space="preserve"> </v>
      </c>
      <c r="G1599" t="str">
        <f>IFERROR((Table1[[#This Row],[Exit Year]]-Table1[[#This Row],[Join Year]])+1," ")</f>
        <v xml:space="preserve"> </v>
      </c>
      <c r="H1599" t="s">
        <v>48</v>
      </c>
      <c r="I1599" t="s">
        <v>11</v>
      </c>
      <c r="J1599" t="s">
        <v>18</v>
      </c>
      <c r="K1599">
        <v>49</v>
      </c>
      <c r="L1599" t="str">
        <f>IF(Table1[[#This Row],[Age]]&lt;30,"20-29",
IF(Table1[[#This Row],[Age]]&lt;40,"30-39",
IF(Table1[[#This Row],[Age]]&lt;50,"40-49",
IF(Table1[[#This Row],[Age]]&lt;60,"50-59","60+"))))</f>
        <v>40-49</v>
      </c>
      <c r="M1599" t="s">
        <v>20</v>
      </c>
      <c r="N1599" t="s">
        <v>19</v>
      </c>
    </row>
    <row r="1600" spans="1:14" x14ac:dyDescent="0.35">
      <c r="A1600">
        <v>1699</v>
      </c>
      <c r="B1600" t="s">
        <v>34</v>
      </c>
      <c r="C1600" s="6">
        <v>45540</v>
      </c>
      <c r="D1600">
        <f>YEAR(Table1[[#This Row],[Join Date]])</f>
        <v>2024</v>
      </c>
      <c r="E1600" s="6" t="s">
        <v>48</v>
      </c>
      <c r="F1600" t="str">
        <f>IFERROR(YEAR(Table1[[#This Row],[Exit Date]]), " ")</f>
        <v xml:space="preserve"> </v>
      </c>
      <c r="G1600" t="str">
        <f>IFERROR((Table1[[#This Row],[Exit Year]]-Table1[[#This Row],[Join Year]])+1," ")</f>
        <v xml:space="preserve"> </v>
      </c>
      <c r="H1600" t="s">
        <v>48</v>
      </c>
      <c r="I1600" t="s">
        <v>11</v>
      </c>
      <c r="J1600" t="s">
        <v>18</v>
      </c>
      <c r="K1600">
        <v>31</v>
      </c>
      <c r="L1600" t="str">
        <f>IF(Table1[[#This Row],[Age]]&lt;30,"20-29",
IF(Table1[[#This Row],[Age]]&lt;40,"30-39",
IF(Table1[[#This Row],[Age]]&lt;50,"40-49",
IF(Table1[[#This Row],[Age]]&lt;60,"50-59","60+"))))</f>
        <v>30-39</v>
      </c>
      <c r="M1600" t="s">
        <v>44</v>
      </c>
      <c r="N1600" t="s">
        <v>21</v>
      </c>
    </row>
    <row r="1601" spans="1:14" x14ac:dyDescent="0.35">
      <c r="A1601">
        <v>1700</v>
      </c>
      <c r="B1601" t="s">
        <v>10</v>
      </c>
      <c r="C1601" s="6">
        <v>43297</v>
      </c>
      <c r="D1601">
        <f>YEAR(Table1[[#This Row],[Join Date]])</f>
        <v>2018</v>
      </c>
      <c r="E1601" s="6">
        <v>44682</v>
      </c>
      <c r="F1601">
        <f>IFERROR(YEAR(Table1[[#This Row],[Exit Date]]), " ")</f>
        <v>2022</v>
      </c>
      <c r="G1601">
        <f>IFERROR((Table1[[#This Row],[Exit Year]]-Table1[[#This Row],[Join Year]])+1," ")</f>
        <v>5</v>
      </c>
      <c r="H1601" t="s">
        <v>40</v>
      </c>
      <c r="I1601" t="s">
        <v>23</v>
      </c>
      <c r="J1601" t="s">
        <v>12</v>
      </c>
      <c r="K1601">
        <v>51</v>
      </c>
      <c r="L1601" t="str">
        <f>IF(Table1[[#This Row],[Age]]&lt;30,"20-29",
IF(Table1[[#This Row],[Age]]&lt;40,"30-39",
IF(Table1[[#This Row],[Age]]&lt;50,"40-49",
IF(Table1[[#This Row],[Age]]&lt;60,"50-59","60+"))))</f>
        <v>50-59</v>
      </c>
      <c r="M1601" t="s">
        <v>13</v>
      </c>
      <c r="N1601" t="s">
        <v>25</v>
      </c>
    </row>
    <row r="1602" spans="1:14" x14ac:dyDescent="0.35">
      <c r="A1602">
        <v>1701</v>
      </c>
      <c r="B1602" t="s">
        <v>10</v>
      </c>
      <c r="C1602" s="6">
        <v>43407</v>
      </c>
      <c r="D1602">
        <f>YEAR(Table1[[#This Row],[Join Date]])</f>
        <v>2018</v>
      </c>
      <c r="E1602" s="6" t="s">
        <v>48</v>
      </c>
      <c r="F1602" t="str">
        <f>IFERROR(YEAR(Table1[[#This Row],[Exit Date]]), " ")</f>
        <v xml:space="preserve"> </v>
      </c>
      <c r="G1602" t="str">
        <f>IFERROR((Table1[[#This Row],[Exit Year]]-Table1[[#This Row],[Join Year]])+1," ")</f>
        <v xml:space="preserve"> </v>
      </c>
      <c r="H1602" t="s">
        <v>48</v>
      </c>
      <c r="I1602" t="s">
        <v>11</v>
      </c>
      <c r="J1602" t="s">
        <v>18</v>
      </c>
      <c r="K1602">
        <v>27</v>
      </c>
      <c r="L1602" t="str">
        <f>IF(Table1[[#This Row],[Age]]&lt;30,"20-29",
IF(Table1[[#This Row],[Age]]&lt;40,"30-39",
IF(Table1[[#This Row],[Age]]&lt;50,"40-49",
IF(Table1[[#This Row],[Age]]&lt;60,"50-59","60+"))))</f>
        <v>20-29</v>
      </c>
      <c r="M1602" t="s">
        <v>16</v>
      </c>
      <c r="N1602" t="s">
        <v>35</v>
      </c>
    </row>
    <row r="1603" spans="1:14" x14ac:dyDescent="0.35">
      <c r="A1603">
        <v>1702</v>
      </c>
      <c r="B1603" t="s">
        <v>15</v>
      </c>
      <c r="C1603" s="6">
        <v>44121</v>
      </c>
      <c r="D1603">
        <f>YEAR(Table1[[#This Row],[Join Date]])</f>
        <v>2020</v>
      </c>
      <c r="E1603" s="6" t="s">
        <v>48</v>
      </c>
      <c r="F1603" t="str">
        <f>IFERROR(YEAR(Table1[[#This Row],[Exit Date]]), " ")</f>
        <v xml:space="preserve"> </v>
      </c>
      <c r="G1603" t="str">
        <f>IFERROR((Table1[[#This Row],[Exit Year]]-Table1[[#This Row],[Join Year]])+1," ")</f>
        <v xml:space="preserve"> </v>
      </c>
      <c r="H1603" t="s">
        <v>48</v>
      </c>
      <c r="I1603" t="s">
        <v>11</v>
      </c>
      <c r="J1603" t="s">
        <v>18</v>
      </c>
      <c r="K1603">
        <v>22</v>
      </c>
      <c r="L1603" t="str">
        <f>IF(Table1[[#This Row],[Age]]&lt;30,"20-29",
IF(Table1[[#This Row],[Age]]&lt;40,"30-39",
IF(Table1[[#This Row],[Age]]&lt;50,"40-49",
IF(Table1[[#This Row],[Age]]&lt;60,"50-59","60+"))))</f>
        <v>20-29</v>
      </c>
      <c r="M1603" t="s">
        <v>16</v>
      </c>
      <c r="N1603" t="s">
        <v>14</v>
      </c>
    </row>
    <row r="1604" spans="1:14" x14ac:dyDescent="0.35">
      <c r="A1604">
        <v>1703</v>
      </c>
      <c r="B1604" t="s">
        <v>15</v>
      </c>
      <c r="C1604" s="6">
        <v>44423</v>
      </c>
      <c r="D1604">
        <f>YEAR(Table1[[#This Row],[Join Date]])</f>
        <v>2021</v>
      </c>
      <c r="E1604" s="6" t="s">
        <v>48</v>
      </c>
      <c r="F1604" t="str">
        <f>IFERROR(YEAR(Table1[[#This Row],[Exit Date]]), " ")</f>
        <v xml:space="preserve"> </v>
      </c>
      <c r="G1604" t="str">
        <f>IFERROR((Table1[[#This Row],[Exit Year]]-Table1[[#This Row],[Join Year]])+1," ")</f>
        <v xml:space="preserve"> </v>
      </c>
      <c r="H1604" t="s">
        <v>48</v>
      </c>
      <c r="I1604" t="s">
        <v>11</v>
      </c>
      <c r="J1604" t="s">
        <v>12</v>
      </c>
      <c r="K1604">
        <v>50</v>
      </c>
      <c r="L1604" t="str">
        <f>IF(Table1[[#This Row],[Age]]&lt;30,"20-29",
IF(Table1[[#This Row],[Age]]&lt;40,"30-39",
IF(Table1[[#This Row],[Age]]&lt;50,"40-49",
IF(Table1[[#This Row],[Age]]&lt;60,"50-59","60+"))))</f>
        <v>50-59</v>
      </c>
      <c r="M1604" t="s">
        <v>20</v>
      </c>
      <c r="N1604" t="s">
        <v>19</v>
      </c>
    </row>
    <row r="1605" spans="1:14" x14ac:dyDescent="0.35">
      <c r="A1605">
        <v>1704</v>
      </c>
      <c r="B1605" t="s">
        <v>15</v>
      </c>
      <c r="C1605" s="6">
        <v>45087</v>
      </c>
      <c r="D1605">
        <f>YEAR(Table1[[#This Row],[Join Date]])</f>
        <v>2023</v>
      </c>
      <c r="E1605" s="6" t="s">
        <v>48</v>
      </c>
      <c r="F1605" t="str">
        <f>IFERROR(YEAR(Table1[[#This Row],[Exit Date]]), " ")</f>
        <v xml:space="preserve"> </v>
      </c>
      <c r="G1605" t="str">
        <f>IFERROR((Table1[[#This Row],[Exit Year]]-Table1[[#This Row],[Join Year]])+1," ")</f>
        <v xml:space="preserve"> </v>
      </c>
      <c r="H1605" t="s">
        <v>48</v>
      </c>
      <c r="I1605" t="s">
        <v>11</v>
      </c>
      <c r="J1605" t="s">
        <v>18</v>
      </c>
      <c r="K1605">
        <v>24</v>
      </c>
      <c r="L1605" t="str">
        <f>IF(Table1[[#This Row],[Age]]&lt;30,"20-29",
IF(Table1[[#This Row],[Age]]&lt;40,"30-39",
IF(Table1[[#This Row],[Age]]&lt;50,"40-49",
IF(Table1[[#This Row],[Age]]&lt;60,"50-59","60+"))))</f>
        <v>20-29</v>
      </c>
      <c r="M1605" t="s">
        <v>24</v>
      </c>
      <c r="N1605" t="s">
        <v>21</v>
      </c>
    </row>
    <row r="1606" spans="1:14" x14ac:dyDescent="0.35">
      <c r="A1606">
        <v>1705</v>
      </c>
      <c r="B1606" t="s">
        <v>15</v>
      </c>
      <c r="C1606" s="6">
        <v>43479</v>
      </c>
      <c r="D1606">
        <f>YEAR(Table1[[#This Row],[Join Date]])</f>
        <v>2019</v>
      </c>
      <c r="E1606" s="6">
        <v>44449</v>
      </c>
      <c r="F1606">
        <f>IFERROR(YEAR(Table1[[#This Row],[Exit Date]]), " ")</f>
        <v>2021</v>
      </c>
      <c r="G1606">
        <f>IFERROR((Table1[[#This Row],[Exit Year]]-Table1[[#This Row],[Join Year]])+1," ")</f>
        <v>3</v>
      </c>
      <c r="H1606" t="s">
        <v>22</v>
      </c>
      <c r="I1606" t="s">
        <v>23</v>
      </c>
      <c r="J1606" t="s">
        <v>18</v>
      </c>
      <c r="K1606">
        <v>50</v>
      </c>
      <c r="L1606" t="str">
        <f>IF(Table1[[#This Row],[Age]]&lt;30,"20-29",
IF(Table1[[#This Row],[Age]]&lt;40,"30-39",
IF(Table1[[#This Row],[Age]]&lt;50,"40-49",
IF(Table1[[#This Row],[Age]]&lt;60,"50-59","60+"))))</f>
        <v>50-59</v>
      </c>
      <c r="M1606" t="s">
        <v>13</v>
      </c>
      <c r="N1606" t="s">
        <v>37</v>
      </c>
    </row>
    <row r="1607" spans="1:14" x14ac:dyDescent="0.35">
      <c r="A1607">
        <v>1706</v>
      </c>
      <c r="B1607" t="s">
        <v>26</v>
      </c>
      <c r="C1607" s="6">
        <v>44749</v>
      </c>
      <c r="D1607">
        <f>YEAR(Table1[[#This Row],[Join Date]])</f>
        <v>2022</v>
      </c>
      <c r="E1607" s="6">
        <v>44972</v>
      </c>
      <c r="F1607">
        <f>IFERROR(YEAR(Table1[[#This Row],[Exit Date]]), " ")</f>
        <v>2023</v>
      </c>
      <c r="G1607">
        <f>IFERROR((Table1[[#This Row],[Exit Year]]-Table1[[#This Row],[Join Year]])+1," ")</f>
        <v>2</v>
      </c>
      <c r="H1607" t="s">
        <v>46</v>
      </c>
      <c r="I1607" t="s">
        <v>23</v>
      </c>
      <c r="J1607" t="s">
        <v>12</v>
      </c>
      <c r="K1607">
        <v>28</v>
      </c>
      <c r="L1607" t="str">
        <f>IF(Table1[[#This Row],[Age]]&lt;30,"20-29",
IF(Table1[[#This Row],[Age]]&lt;40,"30-39",
IF(Table1[[#This Row],[Age]]&lt;50,"40-49",
IF(Table1[[#This Row],[Age]]&lt;60,"50-59","60+"))))</f>
        <v>20-29</v>
      </c>
      <c r="M1607" t="s">
        <v>42</v>
      </c>
      <c r="N1607" t="s">
        <v>25</v>
      </c>
    </row>
    <row r="1608" spans="1:14" x14ac:dyDescent="0.35">
      <c r="A1608">
        <v>1707</v>
      </c>
      <c r="B1608" t="s">
        <v>29</v>
      </c>
      <c r="C1608" s="6">
        <v>45457</v>
      </c>
      <c r="D1608">
        <f>YEAR(Table1[[#This Row],[Join Date]])</f>
        <v>2024</v>
      </c>
      <c r="E1608" s="6" t="s">
        <v>48</v>
      </c>
      <c r="F1608" t="str">
        <f>IFERROR(YEAR(Table1[[#This Row],[Exit Date]]), " ")</f>
        <v xml:space="preserve"> </v>
      </c>
      <c r="G1608" t="str">
        <f>IFERROR((Table1[[#This Row],[Exit Year]]-Table1[[#This Row],[Join Year]])+1," ")</f>
        <v xml:space="preserve"> </v>
      </c>
      <c r="H1608" t="s">
        <v>48</v>
      </c>
      <c r="I1608" t="s">
        <v>11</v>
      </c>
      <c r="J1608" t="s">
        <v>18</v>
      </c>
      <c r="K1608">
        <v>40</v>
      </c>
      <c r="L1608" t="str">
        <f>IF(Table1[[#This Row],[Age]]&lt;30,"20-29",
IF(Table1[[#This Row],[Age]]&lt;40,"30-39",
IF(Table1[[#This Row],[Age]]&lt;50,"40-49",
IF(Table1[[#This Row],[Age]]&lt;60,"50-59","60+"))))</f>
        <v>40-49</v>
      </c>
      <c r="M1608" t="s">
        <v>13</v>
      </c>
      <c r="N1608" t="s">
        <v>35</v>
      </c>
    </row>
    <row r="1609" spans="1:14" x14ac:dyDescent="0.35">
      <c r="A1609">
        <v>1708</v>
      </c>
      <c r="B1609" t="s">
        <v>10</v>
      </c>
      <c r="C1609" s="6">
        <v>43304</v>
      </c>
      <c r="D1609">
        <f>YEAR(Table1[[#This Row],[Join Date]])</f>
        <v>2018</v>
      </c>
      <c r="E1609" s="6" t="s">
        <v>48</v>
      </c>
      <c r="F1609" t="str">
        <f>IFERROR(YEAR(Table1[[#This Row],[Exit Date]]), " ")</f>
        <v xml:space="preserve"> </v>
      </c>
      <c r="G1609" t="str">
        <f>IFERROR((Table1[[#This Row],[Exit Year]]-Table1[[#This Row],[Join Year]])+1," ")</f>
        <v xml:space="preserve"> </v>
      </c>
      <c r="H1609" t="s">
        <v>48</v>
      </c>
      <c r="I1609" t="s">
        <v>11</v>
      </c>
      <c r="J1609" t="s">
        <v>12</v>
      </c>
      <c r="K1609">
        <v>32</v>
      </c>
      <c r="L1609" t="str">
        <f>IF(Table1[[#This Row],[Age]]&lt;30,"20-29",
IF(Table1[[#This Row],[Age]]&lt;40,"30-39",
IF(Table1[[#This Row],[Age]]&lt;50,"40-49",
IF(Table1[[#This Row],[Age]]&lt;60,"50-59","60+"))))</f>
        <v>30-39</v>
      </c>
      <c r="M1609" t="s">
        <v>13</v>
      </c>
      <c r="N1609" t="s">
        <v>14</v>
      </c>
    </row>
    <row r="1610" spans="1:14" x14ac:dyDescent="0.35">
      <c r="A1610">
        <v>1709</v>
      </c>
      <c r="B1610" t="s">
        <v>15</v>
      </c>
      <c r="C1610" s="6">
        <v>44987</v>
      </c>
      <c r="D1610">
        <f>YEAR(Table1[[#This Row],[Join Date]])</f>
        <v>2023</v>
      </c>
      <c r="E1610" s="6" t="s">
        <v>48</v>
      </c>
      <c r="F1610" t="str">
        <f>IFERROR(YEAR(Table1[[#This Row],[Exit Date]]), " ")</f>
        <v xml:space="preserve"> </v>
      </c>
      <c r="G1610" t="str">
        <f>IFERROR((Table1[[#This Row],[Exit Year]]-Table1[[#This Row],[Join Year]])+1," ")</f>
        <v xml:space="preserve"> </v>
      </c>
      <c r="H1610" t="s">
        <v>48</v>
      </c>
      <c r="I1610" t="s">
        <v>11</v>
      </c>
      <c r="J1610" t="s">
        <v>12</v>
      </c>
      <c r="K1610">
        <v>50</v>
      </c>
      <c r="L1610" t="str">
        <f>IF(Table1[[#This Row],[Age]]&lt;30,"20-29",
IF(Table1[[#This Row],[Age]]&lt;40,"30-39",
IF(Table1[[#This Row],[Age]]&lt;50,"40-49",
IF(Table1[[#This Row],[Age]]&lt;60,"50-59","60+"))))</f>
        <v>50-59</v>
      </c>
      <c r="M1610" t="s">
        <v>16</v>
      </c>
      <c r="N1610" t="s">
        <v>17</v>
      </c>
    </row>
    <row r="1611" spans="1:14" x14ac:dyDescent="0.35">
      <c r="A1611">
        <v>1710</v>
      </c>
      <c r="B1611" t="s">
        <v>34</v>
      </c>
      <c r="C1611" s="6">
        <v>45326</v>
      </c>
      <c r="D1611">
        <f>YEAR(Table1[[#This Row],[Join Date]])</f>
        <v>2024</v>
      </c>
      <c r="E1611" s="6" t="s">
        <v>48</v>
      </c>
      <c r="F1611" t="str">
        <f>IFERROR(YEAR(Table1[[#This Row],[Exit Date]]), " ")</f>
        <v xml:space="preserve"> </v>
      </c>
      <c r="G1611" t="str">
        <f>IFERROR((Table1[[#This Row],[Exit Year]]-Table1[[#This Row],[Join Year]])+1," ")</f>
        <v xml:space="preserve"> </v>
      </c>
      <c r="H1611" t="s">
        <v>48</v>
      </c>
      <c r="I1611" t="s">
        <v>11</v>
      </c>
      <c r="J1611" t="s">
        <v>12</v>
      </c>
      <c r="K1611">
        <v>24</v>
      </c>
      <c r="L1611" t="str">
        <f>IF(Table1[[#This Row],[Age]]&lt;30,"20-29",
IF(Table1[[#This Row],[Age]]&lt;40,"30-39",
IF(Table1[[#This Row],[Age]]&lt;50,"40-49",
IF(Table1[[#This Row],[Age]]&lt;60,"50-59","60+"))))</f>
        <v>20-29</v>
      </c>
      <c r="M1611" t="s">
        <v>13</v>
      </c>
      <c r="N1611" t="s">
        <v>19</v>
      </c>
    </row>
    <row r="1612" spans="1:14" x14ac:dyDescent="0.35">
      <c r="A1612">
        <v>1711</v>
      </c>
      <c r="B1612" t="s">
        <v>36</v>
      </c>
      <c r="C1612" s="6">
        <v>45474</v>
      </c>
      <c r="D1612">
        <f>YEAR(Table1[[#This Row],[Join Date]])</f>
        <v>2024</v>
      </c>
      <c r="E1612" s="6" t="s">
        <v>48</v>
      </c>
      <c r="F1612" t="str">
        <f>IFERROR(YEAR(Table1[[#This Row],[Exit Date]]), " ")</f>
        <v xml:space="preserve"> </v>
      </c>
      <c r="G1612" t="str">
        <f>IFERROR((Table1[[#This Row],[Exit Year]]-Table1[[#This Row],[Join Year]])+1," ")</f>
        <v xml:space="preserve"> </v>
      </c>
      <c r="H1612" t="s">
        <v>48</v>
      </c>
      <c r="I1612" t="s">
        <v>11</v>
      </c>
      <c r="J1612" t="s">
        <v>18</v>
      </c>
      <c r="K1612">
        <v>36</v>
      </c>
      <c r="L1612" t="str">
        <f>IF(Table1[[#This Row],[Age]]&lt;30,"20-29",
IF(Table1[[#This Row],[Age]]&lt;40,"30-39",
IF(Table1[[#This Row],[Age]]&lt;50,"40-49",
IF(Table1[[#This Row],[Age]]&lt;60,"50-59","60+"))))</f>
        <v>30-39</v>
      </c>
      <c r="M1612" t="s">
        <v>20</v>
      </c>
      <c r="N1612" t="s">
        <v>21</v>
      </c>
    </row>
    <row r="1613" spans="1:14" x14ac:dyDescent="0.35">
      <c r="A1613">
        <v>1712</v>
      </c>
      <c r="B1613" t="s">
        <v>29</v>
      </c>
      <c r="C1613" s="6">
        <v>44227</v>
      </c>
      <c r="D1613">
        <f>YEAR(Table1[[#This Row],[Join Date]])</f>
        <v>2021</v>
      </c>
      <c r="E1613" s="6">
        <v>45322</v>
      </c>
      <c r="F1613">
        <f>IFERROR(YEAR(Table1[[#This Row],[Exit Date]]), " ")</f>
        <v>2024</v>
      </c>
      <c r="G1613">
        <f>IFERROR((Table1[[#This Row],[Exit Year]]-Table1[[#This Row],[Join Year]])+1," ")</f>
        <v>4</v>
      </c>
      <c r="H1613" t="s">
        <v>46</v>
      </c>
      <c r="I1613" t="s">
        <v>23</v>
      </c>
      <c r="J1613" t="s">
        <v>12</v>
      </c>
      <c r="K1613">
        <v>49</v>
      </c>
      <c r="L1613" t="str">
        <f>IF(Table1[[#This Row],[Age]]&lt;30,"20-29",
IF(Table1[[#This Row],[Age]]&lt;40,"30-39",
IF(Table1[[#This Row],[Age]]&lt;50,"40-49",
IF(Table1[[#This Row],[Age]]&lt;60,"50-59","60+"))))</f>
        <v>40-49</v>
      </c>
      <c r="M1613" t="s">
        <v>39</v>
      </c>
      <c r="N1613" t="s">
        <v>17</v>
      </c>
    </row>
    <row r="1614" spans="1:14" x14ac:dyDescent="0.35">
      <c r="A1614">
        <v>1713</v>
      </c>
      <c r="B1614" t="s">
        <v>10</v>
      </c>
      <c r="C1614" s="6">
        <v>43446</v>
      </c>
      <c r="D1614">
        <f>YEAR(Table1[[#This Row],[Join Date]])</f>
        <v>2018</v>
      </c>
      <c r="E1614" s="6">
        <v>43936</v>
      </c>
      <c r="F1614">
        <f>IFERROR(YEAR(Table1[[#This Row],[Exit Date]]), " ")</f>
        <v>2020</v>
      </c>
      <c r="G1614">
        <f>IFERROR((Table1[[#This Row],[Exit Year]]-Table1[[#This Row],[Join Year]])+1," ")</f>
        <v>3</v>
      </c>
      <c r="H1614" t="s">
        <v>38</v>
      </c>
      <c r="I1614" t="s">
        <v>23</v>
      </c>
      <c r="J1614" t="s">
        <v>18</v>
      </c>
      <c r="K1614">
        <v>43</v>
      </c>
      <c r="L1614" t="str">
        <f>IF(Table1[[#This Row],[Age]]&lt;30,"20-29",
IF(Table1[[#This Row],[Age]]&lt;40,"30-39",
IF(Table1[[#This Row],[Age]]&lt;50,"40-49",
IF(Table1[[#This Row],[Age]]&lt;60,"50-59","60+"))))</f>
        <v>40-49</v>
      </c>
      <c r="M1614" t="s">
        <v>13</v>
      </c>
      <c r="N1614" t="s">
        <v>19</v>
      </c>
    </row>
    <row r="1615" spans="1:14" x14ac:dyDescent="0.35">
      <c r="A1615">
        <v>1714</v>
      </c>
      <c r="B1615" t="s">
        <v>15</v>
      </c>
      <c r="C1615" s="6">
        <v>45314</v>
      </c>
      <c r="D1615">
        <f>YEAR(Table1[[#This Row],[Join Date]])</f>
        <v>2024</v>
      </c>
      <c r="E1615" s="6" t="s">
        <v>48</v>
      </c>
      <c r="F1615" t="str">
        <f>IFERROR(YEAR(Table1[[#This Row],[Exit Date]]), " ")</f>
        <v xml:space="preserve"> </v>
      </c>
      <c r="G1615" t="str">
        <f>IFERROR((Table1[[#This Row],[Exit Year]]-Table1[[#This Row],[Join Year]])+1," ")</f>
        <v xml:space="preserve"> </v>
      </c>
      <c r="H1615" t="s">
        <v>48</v>
      </c>
      <c r="I1615" t="s">
        <v>11</v>
      </c>
      <c r="J1615" t="s">
        <v>12</v>
      </c>
      <c r="K1615">
        <v>40</v>
      </c>
      <c r="L1615" t="str">
        <f>IF(Table1[[#This Row],[Age]]&lt;30,"20-29",
IF(Table1[[#This Row],[Age]]&lt;40,"30-39",
IF(Table1[[#This Row],[Age]]&lt;50,"40-49",
IF(Table1[[#This Row],[Age]]&lt;60,"50-59","60+"))))</f>
        <v>40-49</v>
      </c>
      <c r="M1615" t="s">
        <v>16</v>
      </c>
      <c r="N1615" t="s">
        <v>21</v>
      </c>
    </row>
    <row r="1616" spans="1:14" x14ac:dyDescent="0.35">
      <c r="A1616">
        <v>1715</v>
      </c>
      <c r="B1616" t="s">
        <v>15</v>
      </c>
      <c r="C1616" s="6">
        <v>43123</v>
      </c>
      <c r="D1616">
        <f>YEAR(Table1[[#This Row],[Join Date]])</f>
        <v>2018</v>
      </c>
      <c r="E1616" s="6" t="s">
        <v>48</v>
      </c>
      <c r="F1616" t="str">
        <f>IFERROR(YEAR(Table1[[#This Row],[Exit Date]]), " ")</f>
        <v xml:space="preserve"> </v>
      </c>
      <c r="G1616" t="str">
        <f>IFERROR((Table1[[#This Row],[Exit Year]]-Table1[[#This Row],[Join Year]])+1," ")</f>
        <v xml:space="preserve"> </v>
      </c>
      <c r="H1616" t="s">
        <v>48</v>
      </c>
      <c r="I1616" t="s">
        <v>11</v>
      </c>
      <c r="J1616" t="s">
        <v>18</v>
      </c>
      <c r="K1616">
        <v>42</v>
      </c>
      <c r="L1616" t="str">
        <f>IF(Table1[[#This Row],[Age]]&lt;30,"20-29",
IF(Table1[[#This Row],[Age]]&lt;40,"30-39",
IF(Table1[[#This Row],[Age]]&lt;50,"40-49",
IF(Table1[[#This Row],[Age]]&lt;60,"50-59","60+"))))</f>
        <v>40-49</v>
      </c>
      <c r="M1616" t="s">
        <v>16</v>
      </c>
      <c r="N1616" t="s">
        <v>25</v>
      </c>
    </row>
    <row r="1617" spans="1:14" x14ac:dyDescent="0.35">
      <c r="A1617">
        <v>1716</v>
      </c>
      <c r="B1617" t="s">
        <v>10</v>
      </c>
      <c r="C1617" s="6">
        <v>43717</v>
      </c>
      <c r="D1617">
        <f>YEAR(Table1[[#This Row],[Join Date]])</f>
        <v>2019</v>
      </c>
      <c r="E1617" s="6">
        <v>44677</v>
      </c>
      <c r="F1617">
        <f>IFERROR(YEAR(Table1[[#This Row],[Exit Date]]), " ")</f>
        <v>2022</v>
      </c>
      <c r="G1617">
        <f>IFERROR((Table1[[#This Row],[Exit Year]]-Table1[[#This Row],[Join Year]])+1," ")</f>
        <v>4</v>
      </c>
      <c r="H1617" t="s">
        <v>40</v>
      </c>
      <c r="I1617" t="s">
        <v>23</v>
      </c>
      <c r="J1617" t="s">
        <v>18</v>
      </c>
      <c r="K1617">
        <v>35</v>
      </c>
      <c r="L1617" t="str">
        <f>IF(Table1[[#This Row],[Age]]&lt;30,"20-29",
IF(Table1[[#This Row],[Age]]&lt;40,"30-39",
IF(Table1[[#This Row],[Age]]&lt;50,"40-49",
IF(Table1[[#This Row],[Age]]&lt;60,"50-59","60+"))))</f>
        <v>30-39</v>
      </c>
      <c r="M1617" t="s">
        <v>20</v>
      </c>
      <c r="N1617" t="s">
        <v>28</v>
      </c>
    </row>
    <row r="1618" spans="1:14" x14ac:dyDescent="0.35">
      <c r="A1618">
        <v>1717</v>
      </c>
      <c r="B1618" t="s">
        <v>29</v>
      </c>
      <c r="C1618" s="6">
        <v>43534</v>
      </c>
      <c r="D1618">
        <f>YEAR(Table1[[#This Row],[Join Date]])</f>
        <v>2019</v>
      </c>
      <c r="E1618" s="6">
        <v>44117</v>
      </c>
      <c r="F1618">
        <f>IFERROR(YEAR(Table1[[#This Row],[Exit Date]]), " ")</f>
        <v>2020</v>
      </c>
      <c r="G1618">
        <f>IFERROR((Table1[[#This Row],[Exit Year]]-Table1[[#This Row],[Join Year]])+1," ")</f>
        <v>2</v>
      </c>
      <c r="H1618" t="s">
        <v>38</v>
      </c>
      <c r="I1618" t="s">
        <v>23</v>
      </c>
      <c r="J1618" t="s">
        <v>12</v>
      </c>
      <c r="K1618">
        <v>31</v>
      </c>
      <c r="L1618" t="str">
        <f>IF(Table1[[#This Row],[Age]]&lt;30,"20-29",
IF(Table1[[#This Row],[Age]]&lt;40,"30-39",
IF(Table1[[#This Row],[Age]]&lt;50,"40-49",
IF(Table1[[#This Row],[Age]]&lt;60,"50-59","60+"))))</f>
        <v>30-39</v>
      </c>
      <c r="M1618" t="s">
        <v>24</v>
      </c>
      <c r="N1618" t="s">
        <v>31</v>
      </c>
    </row>
    <row r="1619" spans="1:14" x14ac:dyDescent="0.35">
      <c r="A1619">
        <v>1718</v>
      </c>
      <c r="B1619" t="s">
        <v>36</v>
      </c>
      <c r="C1619" s="6">
        <v>44619</v>
      </c>
      <c r="D1619">
        <f>YEAR(Table1[[#This Row],[Join Date]])</f>
        <v>2022</v>
      </c>
      <c r="E1619" s="6" t="s">
        <v>48</v>
      </c>
      <c r="F1619" t="str">
        <f>IFERROR(YEAR(Table1[[#This Row],[Exit Date]]), " ")</f>
        <v xml:space="preserve"> </v>
      </c>
      <c r="G1619" t="str">
        <f>IFERROR((Table1[[#This Row],[Exit Year]]-Table1[[#This Row],[Join Year]])+1," ")</f>
        <v xml:space="preserve"> </v>
      </c>
      <c r="H1619" t="s">
        <v>48</v>
      </c>
      <c r="I1619" t="s">
        <v>11</v>
      </c>
      <c r="J1619" t="s">
        <v>18</v>
      </c>
      <c r="K1619">
        <v>51</v>
      </c>
      <c r="L1619" t="str">
        <f>IF(Table1[[#This Row],[Age]]&lt;30,"20-29",
IF(Table1[[#This Row],[Age]]&lt;40,"30-39",
IF(Table1[[#This Row],[Age]]&lt;50,"40-49",
IF(Table1[[#This Row],[Age]]&lt;60,"50-59","60+"))))</f>
        <v>50-59</v>
      </c>
      <c r="M1619" t="s">
        <v>13</v>
      </c>
      <c r="N1619" t="s">
        <v>32</v>
      </c>
    </row>
    <row r="1620" spans="1:14" x14ac:dyDescent="0.35">
      <c r="A1620">
        <v>1719</v>
      </c>
      <c r="B1620" t="s">
        <v>10</v>
      </c>
      <c r="C1620" s="6">
        <v>45485</v>
      </c>
      <c r="D1620">
        <f>YEAR(Table1[[#This Row],[Join Date]])</f>
        <v>2024</v>
      </c>
      <c r="E1620" s="6" t="s">
        <v>48</v>
      </c>
      <c r="F1620" t="str">
        <f>IFERROR(YEAR(Table1[[#This Row],[Exit Date]]), " ")</f>
        <v xml:space="preserve"> </v>
      </c>
      <c r="G1620" t="str">
        <f>IFERROR((Table1[[#This Row],[Exit Year]]-Table1[[#This Row],[Join Year]])+1," ")</f>
        <v xml:space="preserve"> </v>
      </c>
      <c r="H1620" t="s">
        <v>48</v>
      </c>
      <c r="I1620" t="s">
        <v>11</v>
      </c>
      <c r="J1620" t="s">
        <v>18</v>
      </c>
      <c r="K1620">
        <v>48</v>
      </c>
      <c r="L1620" t="str">
        <f>IF(Table1[[#This Row],[Age]]&lt;30,"20-29",
IF(Table1[[#This Row],[Age]]&lt;40,"30-39",
IF(Table1[[#This Row],[Age]]&lt;50,"40-49",
IF(Table1[[#This Row],[Age]]&lt;60,"50-59","60+"))))</f>
        <v>40-49</v>
      </c>
      <c r="M1620" t="s">
        <v>42</v>
      </c>
      <c r="N1620" t="s">
        <v>33</v>
      </c>
    </row>
    <row r="1621" spans="1:14" x14ac:dyDescent="0.35">
      <c r="A1621">
        <v>1720</v>
      </c>
      <c r="B1621" t="s">
        <v>29</v>
      </c>
      <c r="C1621" s="6">
        <v>43588</v>
      </c>
      <c r="D1621">
        <f>YEAR(Table1[[#This Row],[Join Date]])</f>
        <v>2019</v>
      </c>
      <c r="E1621" s="6">
        <v>44896</v>
      </c>
      <c r="F1621">
        <f>IFERROR(YEAR(Table1[[#This Row],[Exit Date]]), " ")</f>
        <v>2022</v>
      </c>
      <c r="G1621">
        <f>IFERROR((Table1[[#This Row],[Exit Year]]-Table1[[#This Row],[Join Year]])+1," ")</f>
        <v>4</v>
      </c>
      <c r="H1621" t="s">
        <v>41</v>
      </c>
      <c r="I1621" t="s">
        <v>23</v>
      </c>
      <c r="J1621" t="s">
        <v>12</v>
      </c>
      <c r="K1621">
        <v>41</v>
      </c>
      <c r="L1621" t="str">
        <f>IF(Table1[[#This Row],[Age]]&lt;30,"20-29",
IF(Table1[[#This Row],[Age]]&lt;40,"30-39",
IF(Table1[[#This Row],[Age]]&lt;50,"40-49",
IF(Table1[[#This Row],[Age]]&lt;60,"50-59","60+"))))</f>
        <v>40-49</v>
      </c>
      <c r="M1621" t="s">
        <v>13</v>
      </c>
      <c r="N1621" t="s">
        <v>35</v>
      </c>
    </row>
    <row r="1622" spans="1:14" x14ac:dyDescent="0.35">
      <c r="A1622">
        <v>1721</v>
      </c>
      <c r="B1622" t="s">
        <v>36</v>
      </c>
      <c r="C1622" s="6">
        <v>44250</v>
      </c>
      <c r="D1622">
        <f>YEAR(Table1[[#This Row],[Join Date]])</f>
        <v>2021</v>
      </c>
      <c r="E1622" s="6">
        <v>45392</v>
      </c>
      <c r="F1622">
        <f>IFERROR(YEAR(Table1[[#This Row],[Exit Date]]), " ")</f>
        <v>2024</v>
      </c>
      <c r="G1622">
        <f>IFERROR((Table1[[#This Row],[Exit Year]]-Table1[[#This Row],[Join Year]])+1," ")</f>
        <v>4</v>
      </c>
      <c r="H1622" t="s">
        <v>46</v>
      </c>
      <c r="I1622" t="s">
        <v>23</v>
      </c>
      <c r="J1622" t="s">
        <v>18</v>
      </c>
      <c r="K1622">
        <v>35</v>
      </c>
      <c r="L1622" t="str">
        <f>IF(Table1[[#This Row],[Age]]&lt;30,"20-29",
IF(Table1[[#This Row],[Age]]&lt;40,"30-39",
IF(Table1[[#This Row],[Age]]&lt;50,"40-49",
IF(Table1[[#This Row],[Age]]&lt;60,"50-59","60+"))))</f>
        <v>30-39</v>
      </c>
      <c r="M1622" t="s">
        <v>13</v>
      </c>
      <c r="N1622" t="s">
        <v>37</v>
      </c>
    </row>
    <row r="1623" spans="1:14" x14ac:dyDescent="0.35">
      <c r="A1623">
        <v>1722</v>
      </c>
      <c r="B1623" t="s">
        <v>26</v>
      </c>
      <c r="C1623" s="6">
        <v>45244</v>
      </c>
      <c r="D1623">
        <f>YEAR(Table1[[#This Row],[Join Date]])</f>
        <v>2023</v>
      </c>
      <c r="E1623" s="6">
        <v>45446</v>
      </c>
      <c r="F1623">
        <f>IFERROR(YEAR(Table1[[#This Row],[Exit Date]]), " ")</f>
        <v>2024</v>
      </c>
      <c r="G1623">
        <f>IFERROR((Table1[[#This Row],[Exit Year]]-Table1[[#This Row],[Join Year]])+1," ")</f>
        <v>2</v>
      </c>
      <c r="H1623" t="s">
        <v>40</v>
      </c>
      <c r="I1623" t="s">
        <v>23</v>
      </c>
      <c r="J1623" t="s">
        <v>18</v>
      </c>
      <c r="K1623">
        <v>24</v>
      </c>
      <c r="L1623" t="str">
        <f>IF(Table1[[#This Row],[Age]]&lt;30,"20-29",
IF(Table1[[#This Row],[Age]]&lt;40,"30-39",
IF(Table1[[#This Row],[Age]]&lt;50,"40-49",
IF(Table1[[#This Row],[Age]]&lt;60,"50-59","60+"))))</f>
        <v>20-29</v>
      </c>
      <c r="M1623" t="s">
        <v>16</v>
      </c>
      <c r="N1623" t="s">
        <v>19</v>
      </c>
    </row>
    <row r="1624" spans="1:14" x14ac:dyDescent="0.35">
      <c r="A1624">
        <v>1723</v>
      </c>
      <c r="B1624" t="s">
        <v>15</v>
      </c>
      <c r="C1624" s="6">
        <v>45256</v>
      </c>
      <c r="D1624">
        <f>YEAR(Table1[[#This Row],[Join Date]])</f>
        <v>2023</v>
      </c>
      <c r="E1624" s="6" t="s">
        <v>48</v>
      </c>
      <c r="F1624" t="str">
        <f>IFERROR(YEAR(Table1[[#This Row],[Exit Date]]), " ")</f>
        <v xml:space="preserve"> </v>
      </c>
      <c r="G1624" t="str">
        <f>IFERROR((Table1[[#This Row],[Exit Year]]-Table1[[#This Row],[Join Year]])+1," ")</f>
        <v xml:space="preserve"> </v>
      </c>
      <c r="H1624" t="s">
        <v>48</v>
      </c>
      <c r="I1624" t="s">
        <v>11</v>
      </c>
      <c r="J1624" t="s">
        <v>18</v>
      </c>
      <c r="K1624">
        <v>41</v>
      </c>
      <c r="L1624" t="str">
        <f>IF(Table1[[#This Row],[Age]]&lt;30,"20-29",
IF(Table1[[#This Row],[Age]]&lt;40,"30-39",
IF(Table1[[#This Row],[Age]]&lt;50,"40-49",
IF(Table1[[#This Row],[Age]]&lt;60,"50-59","60+"))))</f>
        <v>40-49</v>
      </c>
      <c r="M1624" t="s">
        <v>13</v>
      </c>
      <c r="N1624" t="s">
        <v>25</v>
      </c>
    </row>
    <row r="1625" spans="1:14" x14ac:dyDescent="0.35">
      <c r="A1625">
        <v>1724</v>
      </c>
      <c r="B1625" t="s">
        <v>26</v>
      </c>
      <c r="C1625" s="6">
        <v>45465</v>
      </c>
      <c r="D1625">
        <f>YEAR(Table1[[#This Row],[Join Date]])</f>
        <v>2024</v>
      </c>
      <c r="E1625" s="6" t="s">
        <v>48</v>
      </c>
      <c r="F1625" t="str">
        <f>IFERROR(YEAR(Table1[[#This Row],[Exit Date]]), " ")</f>
        <v xml:space="preserve"> </v>
      </c>
      <c r="G1625" t="str">
        <f>IFERROR((Table1[[#This Row],[Exit Year]]-Table1[[#This Row],[Join Year]])+1," ")</f>
        <v xml:space="preserve"> </v>
      </c>
      <c r="H1625" t="s">
        <v>48</v>
      </c>
      <c r="I1625" t="s">
        <v>11</v>
      </c>
      <c r="J1625" t="s">
        <v>12</v>
      </c>
      <c r="K1625">
        <v>40</v>
      </c>
      <c r="L1625" t="str">
        <f>IF(Table1[[#This Row],[Age]]&lt;30,"20-29",
IF(Table1[[#This Row],[Age]]&lt;40,"30-39",
IF(Table1[[#This Row],[Age]]&lt;50,"40-49",
IF(Table1[[#This Row],[Age]]&lt;60,"50-59","60+"))))</f>
        <v>40-49</v>
      </c>
      <c r="M1625" t="s">
        <v>20</v>
      </c>
      <c r="N1625" t="s">
        <v>35</v>
      </c>
    </row>
    <row r="1626" spans="1:14" x14ac:dyDescent="0.35">
      <c r="A1626">
        <v>1725</v>
      </c>
      <c r="B1626" t="s">
        <v>10</v>
      </c>
      <c r="C1626" s="6">
        <v>43597</v>
      </c>
      <c r="D1626">
        <f>YEAR(Table1[[#This Row],[Join Date]])</f>
        <v>2019</v>
      </c>
      <c r="E1626" s="6" t="s">
        <v>48</v>
      </c>
      <c r="F1626" t="str">
        <f>IFERROR(YEAR(Table1[[#This Row],[Exit Date]]), " ")</f>
        <v xml:space="preserve"> </v>
      </c>
      <c r="G1626" t="str">
        <f>IFERROR((Table1[[#This Row],[Exit Year]]-Table1[[#This Row],[Join Year]])+1," ")</f>
        <v xml:space="preserve"> </v>
      </c>
      <c r="H1626" t="s">
        <v>48</v>
      </c>
      <c r="I1626" t="s">
        <v>11</v>
      </c>
      <c r="J1626" t="s">
        <v>18</v>
      </c>
      <c r="K1626">
        <v>48</v>
      </c>
      <c r="L1626" t="str">
        <f>IF(Table1[[#This Row],[Age]]&lt;30,"20-29",
IF(Table1[[#This Row],[Age]]&lt;40,"30-39",
IF(Table1[[#This Row],[Age]]&lt;50,"40-49",
IF(Table1[[#This Row],[Age]]&lt;60,"50-59","60+"))))</f>
        <v>40-49</v>
      </c>
      <c r="M1626" t="s">
        <v>39</v>
      </c>
      <c r="N1626" t="s">
        <v>17</v>
      </c>
    </row>
    <row r="1627" spans="1:14" x14ac:dyDescent="0.35">
      <c r="A1627">
        <v>1726</v>
      </c>
      <c r="B1627" t="s">
        <v>15</v>
      </c>
      <c r="C1627" s="6">
        <v>44866</v>
      </c>
      <c r="D1627">
        <f>YEAR(Table1[[#This Row],[Join Date]])</f>
        <v>2022</v>
      </c>
      <c r="E1627" s="6" t="s">
        <v>48</v>
      </c>
      <c r="F1627" t="str">
        <f>IFERROR(YEAR(Table1[[#This Row],[Exit Date]]), " ")</f>
        <v xml:space="preserve"> </v>
      </c>
      <c r="G1627" t="str">
        <f>IFERROR((Table1[[#This Row],[Exit Year]]-Table1[[#This Row],[Join Year]])+1," ")</f>
        <v xml:space="preserve"> </v>
      </c>
      <c r="H1627" t="s">
        <v>48</v>
      </c>
      <c r="I1627" t="s">
        <v>11</v>
      </c>
      <c r="J1627" t="s">
        <v>12</v>
      </c>
      <c r="K1627">
        <v>52</v>
      </c>
      <c r="L1627" t="str">
        <f>IF(Table1[[#This Row],[Age]]&lt;30,"20-29",
IF(Table1[[#This Row],[Age]]&lt;40,"30-39",
IF(Table1[[#This Row],[Age]]&lt;50,"40-49",
IF(Table1[[#This Row],[Age]]&lt;60,"50-59","60+"))))</f>
        <v>50-59</v>
      </c>
      <c r="M1627" t="s">
        <v>13</v>
      </c>
      <c r="N1627" t="s">
        <v>19</v>
      </c>
    </row>
    <row r="1628" spans="1:14" x14ac:dyDescent="0.35">
      <c r="A1628">
        <v>1727</v>
      </c>
      <c r="B1628" t="s">
        <v>34</v>
      </c>
      <c r="C1628" s="6">
        <v>44006</v>
      </c>
      <c r="D1628">
        <f>YEAR(Table1[[#This Row],[Join Date]])</f>
        <v>2020</v>
      </c>
      <c r="E1628" s="6">
        <v>44463</v>
      </c>
      <c r="F1628">
        <f>IFERROR(YEAR(Table1[[#This Row],[Exit Date]]), " ")</f>
        <v>2021</v>
      </c>
      <c r="G1628">
        <f>IFERROR((Table1[[#This Row],[Exit Year]]-Table1[[#This Row],[Join Year]])+1," ")</f>
        <v>2</v>
      </c>
      <c r="H1628" t="s">
        <v>43</v>
      </c>
      <c r="I1628" t="s">
        <v>23</v>
      </c>
      <c r="J1628" t="s">
        <v>12</v>
      </c>
      <c r="K1628">
        <v>33</v>
      </c>
      <c r="L1628" t="str">
        <f>IF(Table1[[#This Row],[Age]]&lt;30,"20-29",
IF(Table1[[#This Row],[Age]]&lt;40,"30-39",
IF(Table1[[#This Row],[Age]]&lt;50,"40-49",
IF(Table1[[#This Row],[Age]]&lt;60,"50-59","60+"))))</f>
        <v>30-39</v>
      </c>
      <c r="M1628" t="s">
        <v>16</v>
      </c>
      <c r="N1628" t="s">
        <v>21</v>
      </c>
    </row>
    <row r="1629" spans="1:14" x14ac:dyDescent="0.35">
      <c r="A1629">
        <v>1728</v>
      </c>
      <c r="B1629" t="s">
        <v>26</v>
      </c>
      <c r="C1629" s="6">
        <v>45095</v>
      </c>
      <c r="D1629">
        <f>YEAR(Table1[[#This Row],[Join Date]])</f>
        <v>2023</v>
      </c>
      <c r="E1629" s="6" t="s">
        <v>48</v>
      </c>
      <c r="F1629" t="str">
        <f>IFERROR(YEAR(Table1[[#This Row],[Exit Date]]), " ")</f>
        <v xml:space="preserve"> </v>
      </c>
      <c r="G1629" t="str">
        <f>IFERROR((Table1[[#This Row],[Exit Year]]-Table1[[#This Row],[Join Year]])+1," ")</f>
        <v xml:space="preserve"> </v>
      </c>
      <c r="H1629" t="s">
        <v>48</v>
      </c>
      <c r="I1629" t="s">
        <v>11</v>
      </c>
      <c r="J1629" t="s">
        <v>12</v>
      </c>
      <c r="K1629">
        <v>51</v>
      </c>
      <c r="L1629" t="str">
        <f>IF(Table1[[#This Row],[Age]]&lt;30,"20-29",
IF(Table1[[#This Row],[Age]]&lt;40,"30-39",
IF(Table1[[#This Row],[Age]]&lt;50,"40-49",
IF(Table1[[#This Row],[Age]]&lt;60,"50-59","60+"))))</f>
        <v>50-59</v>
      </c>
      <c r="M1629" t="s">
        <v>16</v>
      </c>
      <c r="N1629" t="s">
        <v>25</v>
      </c>
    </row>
    <row r="1630" spans="1:14" x14ac:dyDescent="0.35">
      <c r="A1630">
        <v>1729</v>
      </c>
      <c r="B1630" t="s">
        <v>10</v>
      </c>
      <c r="C1630" s="6">
        <v>44360</v>
      </c>
      <c r="D1630">
        <f>YEAR(Table1[[#This Row],[Join Date]])</f>
        <v>2021</v>
      </c>
      <c r="E1630" s="6">
        <v>44755</v>
      </c>
      <c r="F1630">
        <f>IFERROR(YEAR(Table1[[#This Row],[Exit Date]]), " ")</f>
        <v>2022</v>
      </c>
      <c r="G1630">
        <f>IFERROR((Table1[[#This Row],[Exit Year]]-Table1[[#This Row],[Join Year]])+1," ")</f>
        <v>2</v>
      </c>
      <c r="H1630" t="s">
        <v>38</v>
      </c>
      <c r="I1630" t="s">
        <v>23</v>
      </c>
      <c r="J1630" t="s">
        <v>18</v>
      </c>
      <c r="K1630">
        <v>46</v>
      </c>
      <c r="L1630" t="str">
        <f>IF(Table1[[#This Row],[Age]]&lt;30,"20-29",
IF(Table1[[#This Row],[Age]]&lt;40,"30-39",
IF(Table1[[#This Row],[Age]]&lt;50,"40-49",
IF(Table1[[#This Row],[Age]]&lt;60,"50-59","60+"))))</f>
        <v>40-49</v>
      </c>
      <c r="M1630" t="s">
        <v>20</v>
      </c>
      <c r="N1630" t="s">
        <v>35</v>
      </c>
    </row>
    <row r="1631" spans="1:14" x14ac:dyDescent="0.35">
      <c r="A1631">
        <v>1730</v>
      </c>
      <c r="B1631" t="s">
        <v>26</v>
      </c>
      <c r="C1631" s="6">
        <v>43419</v>
      </c>
      <c r="D1631">
        <f>YEAR(Table1[[#This Row],[Join Date]])</f>
        <v>2018</v>
      </c>
      <c r="E1631" s="6">
        <v>44303</v>
      </c>
      <c r="F1631">
        <f>IFERROR(YEAR(Table1[[#This Row],[Exit Date]]), " ")</f>
        <v>2021</v>
      </c>
      <c r="G1631">
        <f>IFERROR((Table1[[#This Row],[Exit Year]]-Table1[[#This Row],[Join Year]])+1," ")</f>
        <v>4</v>
      </c>
      <c r="H1631" t="s">
        <v>22</v>
      </c>
      <c r="I1631" t="s">
        <v>23</v>
      </c>
      <c r="J1631" t="s">
        <v>12</v>
      </c>
      <c r="K1631">
        <v>53</v>
      </c>
      <c r="L1631" t="str">
        <f>IF(Table1[[#This Row],[Age]]&lt;30,"20-29",
IF(Table1[[#This Row],[Age]]&lt;40,"30-39",
IF(Table1[[#This Row],[Age]]&lt;50,"40-49",
IF(Table1[[#This Row],[Age]]&lt;60,"50-59","60+"))))</f>
        <v>50-59</v>
      </c>
      <c r="M1631" t="s">
        <v>24</v>
      </c>
      <c r="N1631" t="s">
        <v>14</v>
      </c>
    </row>
    <row r="1632" spans="1:14" x14ac:dyDescent="0.35">
      <c r="A1632">
        <v>1731</v>
      </c>
      <c r="B1632" t="s">
        <v>36</v>
      </c>
      <c r="C1632" s="6">
        <v>44249</v>
      </c>
      <c r="D1632">
        <f>YEAR(Table1[[#This Row],[Join Date]])</f>
        <v>2021</v>
      </c>
      <c r="E1632" s="6" t="s">
        <v>48</v>
      </c>
      <c r="F1632" t="str">
        <f>IFERROR(YEAR(Table1[[#This Row],[Exit Date]]), " ")</f>
        <v xml:space="preserve"> </v>
      </c>
      <c r="G1632" t="str">
        <f>IFERROR((Table1[[#This Row],[Exit Year]]-Table1[[#This Row],[Join Year]])+1," ")</f>
        <v xml:space="preserve"> </v>
      </c>
      <c r="H1632" t="s">
        <v>48</v>
      </c>
      <c r="I1632" t="s">
        <v>11</v>
      </c>
      <c r="J1632" t="s">
        <v>18</v>
      </c>
      <c r="K1632">
        <v>35</v>
      </c>
      <c r="L1632" t="str">
        <f>IF(Table1[[#This Row],[Age]]&lt;30,"20-29",
IF(Table1[[#This Row],[Age]]&lt;40,"30-39",
IF(Table1[[#This Row],[Age]]&lt;50,"40-49",
IF(Table1[[#This Row],[Age]]&lt;60,"50-59","60+"))))</f>
        <v>30-39</v>
      </c>
      <c r="M1632" t="s">
        <v>13</v>
      </c>
      <c r="N1632" t="s">
        <v>19</v>
      </c>
    </row>
    <row r="1633" spans="1:14" x14ac:dyDescent="0.35">
      <c r="A1633">
        <v>1732</v>
      </c>
      <c r="B1633" t="s">
        <v>10</v>
      </c>
      <c r="C1633" s="6">
        <v>45533</v>
      </c>
      <c r="D1633">
        <f>YEAR(Table1[[#This Row],[Join Date]])</f>
        <v>2024</v>
      </c>
      <c r="E1633" s="6" t="s">
        <v>48</v>
      </c>
      <c r="F1633" t="str">
        <f>IFERROR(YEAR(Table1[[#This Row],[Exit Date]]), " ")</f>
        <v xml:space="preserve"> </v>
      </c>
      <c r="G1633" t="str">
        <f>IFERROR((Table1[[#This Row],[Exit Year]]-Table1[[#This Row],[Join Year]])+1," ")</f>
        <v xml:space="preserve"> </v>
      </c>
      <c r="H1633" t="s">
        <v>48</v>
      </c>
      <c r="I1633" t="s">
        <v>11</v>
      </c>
      <c r="J1633" t="s">
        <v>12</v>
      </c>
      <c r="K1633">
        <v>32</v>
      </c>
      <c r="L1633" t="str">
        <f>IF(Table1[[#This Row],[Age]]&lt;30,"20-29",
IF(Table1[[#This Row],[Age]]&lt;40,"30-39",
IF(Table1[[#This Row],[Age]]&lt;50,"40-49",
IF(Table1[[#This Row],[Age]]&lt;60,"50-59","60+"))))</f>
        <v>30-39</v>
      </c>
      <c r="M1633" t="s">
        <v>30</v>
      </c>
      <c r="N1633" t="s">
        <v>21</v>
      </c>
    </row>
    <row r="1634" spans="1:14" x14ac:dyDescent="0.35">
      <c r="A1634">
        <v>1733</v>
      </c>
      <c r="B1634" t="s">
        <v>36</v>
      </c>
      <c r="C1634" s="6">
        <v>44377</v>
      </c>
      <c r="D1634">
        <f>YEAR(Table1[[#This Row],[Join Date]])</f>
        <v>2021</v>
      </c>
      <c r="E1634" s="6" t="s">
        <v>48</v>
      </c>
      <c r="F1634" t="str">
        <f>IFERROR(YEAR(Table1[[#This Row],[Exit Date]]), " ")</f>
        <v xml:space="preserve"> </v>
      </c>
      <c r="G1634" t="str">
        <f>IFERROR((Table1[[#This Row],[Exit Year]]-Table1[[#This Row],[Join Year]])+1," ")</f>
        <v xml:space="preserve"> </v>
      </c>
      <c r="H1634" t="s">
        <v>48</v>
      </c>
      <c r="I1634" t="s">
        <v>11</v>
      </c>
      <c r="J1634" t="s">
        <v>18</v>
      </c>
      <c r="K1634">
        <v>46</v>
      </c>
      <c r="L1634" t="str">
        <f>IF(Table1[[#This Row],[Age]]&lt;30,"20-29",
IF(Table1[[#This Row],[Age]]&lt;40,"30-39",
IF(Table1[[#This Row],[Age]]&lt;50,"40-49",
IF(Table1[[#This Row],[Age]]&lt;60,"50-59","60+"))))</f>
        <v>40-49</v>
      </c>
      <c r="M1634" t="s">
        <v>13</v>
      </c>
      <c r="N1634" t="s">
        <v>25</v>
      </c>
    </row>
    <row r="1635" spans="1:14" x14ac:dyDescent="0.35">
      <c r="A1635">
        <v>1734</v>
      </c>
      <c r="B1635" t="s">
        <v>10</v>
      </c>
      <c r="C1635" s="6">
        <v>44088</v>
      </c>
      <c r="D1635">
        <f>YEAR(Table1[[#This Row],[Join Date]])</f>
        <v>2020</v>
      </c>
      <c r="E1635" s="6" t="s">
        <v>48</v>
      </c>
      <c r="F1635" t="str">
        <f>IFERROR(YEAR(Table1[[#This Row],[Exit Date]]), " ")</f>
        <v xml:space="preserve"> </v>
      </c>
      <c r="G1635" t="str">
        <f>IFERROR((Table1[[#This Row],[Exit Year]]-Table1[[#This Row],[Join Year]])+1," ")</f>
        <v xml:space="preserve"> </v>
      </c>
      <c r="H1635" t="s">
        <v>48</v>
      </c>
      <c r="I1635" t="s">
        <v>11</v>
      </c>
      <c r="J1635" t="s">
        <v>18</v>
      </c>
      <c r="K1635">
        <v>50</v>
      </c>
      <c r="L1635" t="str">
        <f>IF(Table1[[#This Row],[Age]]&lt;30,"20-29",
IF(Table1[[#This Row],[Age]]&lt;40,"30-39",
IF(Table1[[#This Row],[Age]]&lt;50,"40-49",
IF(Table1[[#This Row],[Age]]&lt;60,"50-59","60+"))))</f>
        <v>50-59</v>
      </c>
      <c r="M1635" t="s">
        <v>13</v>
      </c>
      <c r="N1635" t="s">
        <v>35</v>
      </c>
    </row>
    <row r="1636" spans="1:14" x14ac:dyDescent="0.35">
      <c r="A1636">
        <v>1735</v>
      </c>
      <c r="B1636" t="s">
        <v>26</v>
      </c>
      <c r="C1636" s="6">
        <v>43373</v>
      </c>
      <c r="D1636">
        <f>YEAR(Table1[[#This Row],[Join Date]])</f>
        <v>2018</v>
      </c>
      <c r="E1636" s="6">
        <v>44825</v>
      </c>
      <c r="F1636">
        <f>IFERROR(YEAR(Table1[[#This Row],[Exit Date]]), " ")</f>
        <v>2022</v>
      </c>
      <c r="G1636">
        <f>IFERROR((Table1[[#This Row],[Exit Year]]-Table1[[#This Row],[Join Year]])+1," ")</f>
        <v>5</v>
      </c>
      <c r="H1636" t="s">
        <v>27</v>
      </c>
      <c r="I1636" t="s">
        <v>23</v>
      </c>
      <c r="J1636" t="s">
        <v>12</v>
      </c>
      <c r="K1636">
        <v>62</v>
      </c>
      <c r="L1636" t="str">
        <f>IF(Table1[[#This Row],[Age]]&lt;30,"20-29",
IF(Table1[[#This Row],[Age]]&lt;40,"30-39",
IF(Table1[[#This Row],[Age]]&lt;50,"40-49",
IF(Table1[[#This Row],[Age]]&lt;60,"50-59","60+"))))</f>
        <v>60+</v>
      </c>
      <c r="M1636" t="s">
        <v>16</v>
      </c>
      <c r="N1636" t="s">
        <v>17</v>
      </c>
    </row>
    <row r="1637" spans="1:14" x14ac:dyDescent="0.35">
      <c r="A1637">
        <v>1736</v>
      </c>
      <c r="B1637" t="s">
        <v>26</v>
      </c>
      <c r="C1637" s="6">
        <v>43314</v>
      </c>
      <c r="D1637">
        <f>YEAR(Table1[[#This Row],[Join Date]])</f>
        <v>2018</v>
      </c>
      <c r="E1637" s="6" t="s">
        <v>48</v>
      </c>
      <c r="F1637" t="str">
        <f>IFERROR(YEAR(Table1[[#This Row],[Exit Date]]), " ")</f>
        <v xml:space="preserve"> </v>
      </c>
      <c r="G1637" t="str">
        <f>IFERROR((Table1[[#This Row],[Exit Year]]-Table1[[#This Row],[Join Year]])+1," ")</f>
        <v xml:space="preserve"> </v>
      </c>
      <c r="H1637" t="s">
        <v>48</v>
      </c>
      <c r="I1637" t="s">
        <v>11</v>
      </c>
      <c r="J1637" t="s">
        <v>18</v>
      </c>
      <c r="K1637">
        <v>29</v>
      </c>
      <c r="L1637" t="str">
        <f>IF(Table1[[#This Row],[Age]]&lt;30,"20-29",
IF(Table1[[#This Row],[Age]]&lt;40,"30-39",
IF(Table1[[#This Row],[Age]]&lt;50,"40-49",
IF(Table1[[#This Row],[Age]]&lt;60,"50-59","60+"))))</f>
        <v>20-29</v>
      </c>
      <c r="M1637" t="s">
        <v>13</v>
      </c>
      <c r="N1637" t="s">
        <v>19</v>
      </c>
    </row>
    <row r="1638" spans="1:14" x14ac:dyDescent="0.35">
      <c r="A1638">
        <v>1737</v>
      </c>
      <c r="B1638" t="s">
        <v>26</v>
      </c>
      <c r="C1638" s="6">
        <v>44418</v>
      </c>
      <c r="D1638">
        <f>YEAR(Table1[[#This Row],[Join Date]])</f>
        <v>2021</v>
      </c>
      <c r="E1638" s="6">
        <v>45628</v>
      </c>
      <c r="F1638">
        <f>IFERROR(YEAR(Table1[[#This Row],[Exit Date]]), " ")</f>
        <v>2024</v>
      </c>
      <c r="G1638">
        <f>IFERROR((Table1[[#This Row],[Exit Year]]-Table1[[#This Row],[Join Year]])+1," ")</f>
        <v>4</v>
      </c>
      <c r="H1638" t="s">
        <v>22</v>
      </c>
      <c r="I1638" t="s">
        <v>23</v>
      </c>
      <c r="J1638" t="s">
        <v>18</v>
      </c>
      <c r="K1638">
        <v>27</v>
      </c>
      <c r="L1638" t="str">
        <f>IF(Table1[[#This Row],[Age]]&lt;30,"20-29",
IF(Table1[[#This Row],[Age]]&lt;40,"30-39",
IF(Table1[[#This Row],[Age]]&lt;50,"40-49",
IF(Table1[[#This Row],[Age]]&lt;60,"50-59","60+"))))</f>
        <v>20-29</v>
      </c>
      <c r="M1638" t="s">
        <v>20</v>
      </c>
      <c r="N1638" t="s">
        <v>21</v>
      </c>
    </row>
    <row r="1639" spans="1:14" x14ac:dyDescent="0.35">
      <c r="A1639">
        <v>1738</v>
      </c>
      <c r="B1639" t="s">
        <v>34</v>
      </c>
      <c r="C1639" s="6">
        <v>44324</v>
      </c>
      <c r="D1639">
        <f>YEAR(Table1[[#This Row],[Join Date]])</f>
        <v>2021</v>
      </c>
      <c r="E1639" s="6">
        <v>45076</v>
      </c>
      <c r="F1639">
        <f>IFERROR(YEAR(Table1[[#This Row],[Exit Date]]), " ")</f>
        <v>2023</v>
      </c>
      <c r="G1639">
        <f>IFERROR((Table1[[#This Row],[Exit Year]]-Table1[[#This Row],[Join Year]])+1," ")</f>
        <v>3</v>
      </c>
      <c r="H1639" t="s">
        <v>40</v>
      </c>
      <c r="I1639" t="s">
        <v>23</v>
      </c>
      <c r="J1639" t="s">
        <v>12</v>
      </c>
      <c r="K1639">
        <v>31</v>
      </c>
      <c r="L1639" t="str">
        <f>IF(Table1[[#This Row],[Age]]&lt;30,"20-29",
IF(Table1[[#This Row],[Age]]&lt;40,"30-39",
IF(Table1[[#This Row],[Age]]&lt;50,"40-49",
IF(Table1[[#This Row],[Age]]&lt;60,"50-59","60+"))))</f>
        <v>30-39</v>
      </c>
      <c r="M1639" t="s">
        <v>44</v>
      </c>
      <c r="N1639" t="s">
        <v>25</v>
      </c>
    </row>
    <row r="1640" spans="1:14" x14ac:dyDescent="0.35">
      <c r="A1640">
        <v>1739</v>
      </c>
      <c r="B1640" t="s">
        <v>10</v>
      </c>
      <c r="C1640" s="6">
        <v>43513</v>
      </c>
      <c r="D1640">
        <f>YEAR(Table1[[#This Row],[Join Date]])</f>
        <v>2019</v>
      </c>
      <c r="E1640" s="6">
        <v>44923</v>
      </c>
      <c r="F1640">
        <f>IFERROR(YEAR(Table1[[#This Row],[Exit Date]]), " ")</f>
        <v>2022</v>
      </c>
      <c r="G1640">
        <f>IFERROR((Table1[[#This Row],[Exit Year]]-Table1[[#This Row],[Join Year]])+1," ")</f>
        <v>4</v>
      </c>
      <c r="H1640" t="s">
        <v>38</v>
      </c>
      <c r="I1640" t="s">
        <v>23</v>
      </c>
      <c r="J1640" t="s">
        <v>18</v>
      </c>
      <c r="K1640">
        <v>24</v>
      </c>
      <c r="L1640" t="str">
        <f>IF(Table1[[#This Row],[Age]]&lt;30,"20-29",
IF(Table1[[#This Row],[Age]]&lt;40,"30-39",
IF(Table1[[#This Row],[Age]]&lt;50,"40-49",
IF(Table1[[#This Row],[Age]]&lt;60,"50-59","60+"))))</f>
        <v>20-29</v>
      </c>
      <c r="M1640" t="s">
        <v>13</v>
      </c>
      <c r="N1640" t="s">
        <v>35</v>
      </c>
    </row>
    <row r="1641" spans="1:14" x14ac:dyDescent="0.35">
      <c r="A1641">
        <v>1740</v>
      </c>
      <c r="B1641" t="s">
        <v>36</v>
      </c>
      <c r="C1641" s="6">
        <v>44180</v>
      </c>
      <c r="D1641">
        <f>YEAR(Table1[[#This Row],[Join Date]])</f>
        <v>2020</v>
      </c>
      <c r="E1641" s="6" t="s">
        <v>48</v>
      </c>
      <c r="F1641" t="str">
        <f>IFERROR(YEAR(Table1[[#This Row],[Exit Date]]), " ")</f>
        <v xml:space="preserve"> </v>
      </c>
      <c r="G1641" t="str">
        <f>IFERROR((Table1[[#This Row],[Exit Year]]-Table1[[#This Row],[Join Year]])+1," ")</f>
        <v xml:space="preserve"> </v>
      </c>
      <c r="H1641" t="s">
        <v>48</v>
      </c>
      <c r="I1641" t="s">
        <v>11</v>
      </c>
      <c r="J1641" t="s">
        <v>18</v>
      </c>
      <c r="K1641">
        <v>37</v>
      </c>
      <c r="L1641" t="str">
        <f>IF(Table1[[#This Row],[Age]]&lt;30,"20-29",
IF(Table1[[#This Row],[Age]]&lt;40,"30-39",
IF(Table1[[#This Row],[Age]]&lt;50,"40-49",
IF(Table1[[#This Row],[Age]]&lt;60,"50-59","60+"))))</f>
        <v>30-39</v>
      </c>
      <c r="M1641" t="s">
        <v>16</v>
      </c>
      <c r="N1641" t="s">
        <v>14</v>
      </c>
    </row>
    <row r="1642" spans="1:14" x14ac:dyDescent="0.35">
      <c r="A1642">
        <v>1741</v>
      </c>
      <c r="B1642" t="s">
        <v>34</v>
      </c>
      <c r="C1642" s="6">
        <v>44099</v>
      </c>
      <c r="D1642">
        <f>YEAR(Table1[[#This Row],[Join Date]])</f>
        <v>2020</v>
      </c>
      <c r="E1642" s="6" t="s">
        <v>48</v>
      </c>
      <c r="F1642" t="str">
        <f>IFERROR(YEAR(Table1[[#This Row],[Exit Date]]), " ")</f>
        <v xml:space="preserve"> </v>
      </c>
      <c r="G1642" t="str">
        <f>IFERROR((Table1[[#This Row],[Exit Year]]-Table1[[#This Row],[Join Year]])+1," ")</f>
        <v xml:space="preserve"> </v>
      </c>
      <c r="H1642" t="s">
        <v>48</v>
      </c>
      <c r="I1642" t="s">
        <v>11</v>
      </c>
      <c r="J1642" t="s">
        <v>18</v>
      </c>
      <c r="K1642">
        <v>23</v>
      </c>
      <c r="L1642" t="str">
        <f>IF(Table1[[#This Row],[Age]]&lt;30,"20-29",
IF(Table1[[#This Row],[Age]]&lt;40,"30-39",
IF(Table1[[#This Row],[Age]]&lt;50,"40-49",
IF(Table1[[#This Row],[Age]]&lt;60,"50-59","60+"))))</f>
        <v>20-29</v>
      </c>
      <c r="M1642" t="s">
        <v>16</v>
      </c>
      <c r="N1642" t="s">
        <v>19</v>
      </c>
    </row>
    <row r="1643" spans="1:14" x14ac:dyDescent="0.35">
      <c r="A1643">
        <v>1742</v>
      </c>
      <c r="B1643" t="s">
        <v>34</v>
      </c>
      <c r="C1643" s="6">
        <v>45632</v>
      </c>
      <c r="D1643">
        <f>YEAR(Table1[[#This Row],[Join Date]])</f>
        <v>2024</v>
      </c>
      <c r="E1643" s="6" t="s">
        <v>48</v>
      </c>
      <c r="F1643" t="str">
        <f>IFERROR(YEAR(Table1[[#This Row],[Exit Date]]), " ")</f>
        <v xml:space="preserve"> </v>
      </c>
      <c r="G1643" t="str">
        <f>IFERROR((Table1[[#This Row],[Exit Year]]-Table1[[#This Row],[Join Year]])+1," ")</f>
        <v xml:space="preserve"> </v>
      </c>
      <c r="H1643" t="s">
        <v>48</v>
      </c>
      <c r="I1643" t="s">
        <v>11</v>
      </c>
      <c r="J1643" t="s">
        <v>12</v>
      </c>
      <c r="K1643">
        <v>31</v>
      </c>
      <c r="L1643" t="str">
        <f>IF(Table1[[#This Row],[Age]]&lt;30,"20-29",
IF(Table1[[#This Row],[Age]]&lt;40,"30-39",
IF(Table1[[#This Row],[Age]]&lt;50,"40-49",
IF(Table1[[#This Row],[Age]]&lt;60,"50-59","60+"))))</f>
        <v>30-39</v>
      </c>
      <c r="M1643" t="s">
        <v>20</v>
      </c>
      <c r="N1643" t="s">
        <v>21</v>
      </c>
    </row>
    <row r="1644" spans="1:14" x14ac:dyDescent="0.35">
      <c r="A1644">
        <v>1743</v>
      </c>
      <c r="B1644" t="s">
        <v>36</v>
      </c>
      <c r="C1644" s="6">
        <v>45294</v>
      </c>
      <c r="D1644">
        <f>YEAR(Table1[[#This Row],[Join Date]])</f>
        <v>2024</v>
      </c>
      <c r="E1644" s="6" t="s">
        <v>48</v>
      </c>
      <c r="F1644" t="str">
        <f>IFERROR(YEAR(Table1[[#This Row],[Exit Date]]), " ")</f>
        <v xml:space="preserve"> </v>
      </c>
      <c r="G1644" t="str">
        <f>IFERROR((Table1[[#This Row],[Exit Year]]-Table1[[#This Row],[Join Year]])+1," ")</f>
        <v xml:space="preserve"> </v>
      </c>
      <c r="H1644" t="s">
        <v>48</v>
      </c>
      <c r="I1644" t="s">
        <v>11</v>
      </c>
      <c r="J1644" t="s">
        <v>18</v>
      </c>
      <c r="K1644">
        <v>52</v>
      </c>
      <c r="L1644" t="str">
        <f>IF(Table1[[#This Row],[Age]]&lt;30,"20-29",
IF(Table1[[#This Row],[Age]]&lt;40,"30-39",
IF(Table1[[#This Row],[Age]]&lt;50,"40-49",
IF(Table1[[#This Row],[Age]]&lt;60,"50-59","60+"))))</f>
        <v>50-59</v>
      </c>
      <c r="M1644" t="s">
        <v>24</v>
      </c>
      <c r="N1644" t="s">
        <v>37</v>
      </c>
    </row>
    <row r="1645" spans="1:14" x14ac:dyDescent="0.35">
      <c r="A1645">
        <v>1744</v>
      </c>
      <c r="B1645" t="s">
        <v>26</v>
      </c>
      <c r="C1645" s="6">
        <v>44590</v>
      </c>
      <c r="D1645">
        <f>YEAR(Table1[[#This Row],[Join Date]])</f>
        <v>2022</v>
      </c>
      <c r="E1645" s="6" t="s">
        <v>48</v>
      </c>
      <c r="F1645" t="str">
        <f>IFERROR(YEAR(Table1[[#This Row],[Exit Date]]), " ")</f>
        <v xml:space="preserve"> </v>
      </c>
      <c r="G1645" t="str">
        <f>IFERROR((Table1[[#This Row],[Exit Year]]-Table1[[#This Row],[Join Year]])+1," ")</f>
        <v xml:space="preserve"> </v>
      </c>
      <c r="H1645" t="s">
        <v>48</v>
      </c>
      <c r="I1645" t="s">
        <v>11</v>
      </c>
      <c r="J1645" t="s">
        <v>12</v>
      </c>
      <c r="K1645">
        <v>25</v>
      </c>
      <c r="L1645" t="str">
        <f>IF(Table1[[#This Row],[Age]]&lt;30,"20-29",
IF(Table1[[#This Row],[Age]]&lt;40,"30-39",
IF(Table1[[#This Row],[Age]]&lt;50,"40-49",
IF(Table1[[#This Row],[Age]]&lt;60,"50-59","60+"))))</f>
        <v>20-29</v>
      </c>
      <c r="M1645" t="s">
        <v>13</v>
      </c>
      <c r="N1645" t="s">
        <v>25</v>
      </c>
    </row>
    <row r="1646" spans="1:14" x14ac:dyDescent="0.35">
      <c r="A1646">
        <v>1745</v>
      </c>
      <c r="B1646" t="s">
        <v>15</v>
      </c>
      <c r="C1646" s="6">
        <v>45215</v>
      </c>
      <c r="D1646">
        <f>YEAR(Table1[[#This Row],[Join Date]])</f>
        <v>2023</v>
      </c>
      <c r="E1646" s="6" t="s">
        <v>48</v>
      </c>
      <c r="F1646" t="str">
        <f>IFERROR(YEAR(Table1[[#This Row],[Exit Date]]), " ")</f>
        <v xml:space="preserve"> </v>
      </c>
      <c r="G1646" t="str">
        <f>IFERROR((Table1[[#This Row],[Exit Year]]-Table1[[#This Row],[Join Year]])+1," ")</f>
        <v xml:space="preserve"> </v>
      </c>
      <c r="H1646" t="s">
        <v>48</v>
      </c>
      <c r="I1646" t="s">
        <v>11</v>
      </c>
      <c r="J1646" t="s">
        <v>12</v>
      </c>
      <c r="K1646">
        <v>46</v>
      </c>
      <c r="L1646" t="str">
        <f>IF(Table1[[#This Row],[Age]]&lt;30,"20-29",
IF(Table1[[#This Row],[Age]]&lt;40,"30-39",
IF(Table1[[#This Row],[Age]]&lt;50,"40-49",
IF(Table1[[#This Row],[Age]]&lt;60,"50-59","60+"))))</f>
        <v>40-49</v>
      </c>
      <c r="M1646" t="s">
        <v>42</v>
      </c>
      <c r="N1646" t="s">
        <v>35</v>
      </c>
    </row>
    <row r="1647" spans="1:14" x14ac:dyDescent="0.35">
      <c r="A1647">
        <v>1746</v>
      </c>
      <c r="B1647" t="s">
        <v>15</v>
      </c>
      <c r="C1647" s="6">
        <v>43624</v>
      </c>
      <c r="D1647">
        <f>YEAR(Table1[[#This Row],[Join Date]])</f>
        <v>2019</v>
      </c>
      <c r="E1647" s="6">
        <v>44228</v>
      </c>
      <c r="F1647">
        <f>IFERROR(YEAR(Table1[[#This Row],[Exit Date]]), " ")</f>
        <v>2021</v>
      </c>
      <c r="G1647">
        <f>IFERROR((Table1[[#This Row],[Exit Year]]-Table1[[#This Row],[Join Year]])+1," ")</f>
        <v>3</v>
      </c>
      <c r="H1647" t="s">
        <v>41</v>
      </c>
      <c r="I1647" t="s">
        <v>23</v>
      </c>
      <c r="J1647" t="s">
        <v>12</v>
      </c>
      <c r="K1647">
        <v>24</v>
      </c>
      <c r="L1647" t="str">
        <f>IF(Table1[[#This Row],[Age]]&lt;30,"20-29",
IF(Table1[[#This Row],[Age]]&lt;40,"30-39",
IF(Table1[[#This Row],[Age]]&lt;50,"40-49",
IF(Table1[[#This Row],[Age]]&lt;60,"50-59","60+"))))</f>
        <v>20-29</v>
      </c>
      <c r="M1647" t="s">
        <v>13</v>
      </c>
      <c r="N1647" t="s">
        <v>14</v>
      </c>
    </row>
    <row r="1648" spans="1:14" x14ac:dyDescent="0.35">
      <c r="A1648">
        <v>1747</v>
      </c>
      <c r="B1648" t="s">
        <v>15</v>
      </c>
      <c r="C1648" s="6">
        <v>44514</v>
      </c>
      <c r="D1648">
        <f>YEAR(Table1[[#This Row],[Join Date]])</f>
        <v>2021</v>
      </c>
      <c r="E1648" s="6">
        <v>45529</v>
      </c>
      <c r="F1648">
        <f>IFERROR(YEAR(Table1[[#This Row],[Exit Date]]), " ")</f>
        <v>2024</v>
      </c>
      <c r="G1648">
        <f>IFERROR((Table1[[#This Row],[Exit Year]]-Table1[[#This Row],[Join Year]])+1," ")</f>
        <v>4</v>
      </c>
      <c r="H1648" t="s">
        <v>46</v>
      </c>
      <c r="I1648" t="s">
        <v>23</v>
      </c>
      <c r="J1648" t="s">
        <v>12</v>
      </c>
      <c r="K1648">
        <v>38</v>
      </c>
      <c r="L1648" t="str">
        <f>IF(Table1[[#This Row],[Age]]&lt;30,"20-29",
IF(Table1[[#This Row],[Age]]&lt;40,"30-39",
IF(Table1[[#This Row],[Age]]&lt;50,"40-49",
IF(Table1[[#This Row],[Age]]&lt;60,"50-59","60+"))))</f>
        <v>30-39</v>
      </c>
      <c r="M1648" t="s">
        <v>13</v>
      </c>
      <c r="N1648" t="s">
        <v>17</v>
      </c>
    </row>
    <row r="1649" spans="1:14" x14ac:dyDescent="0.35">
      <c r="A1649">
        <v>1748</v>
      </c>
      <c r="B1649" t="s">
        <v>29</v>
      </c>
      <c r="C1649" s="6">
        <v>43700</v>
      </c>
      <c r="D1649">
        <f>YEAR(Table1[[#This Row],[Join Date]])</f>
        <v>2019</v>
      </c>
      <c r="E1649" s="6" t="s">
        <v>48</v>
      </c>
      <c r="F1649" t="str">
        <f>IFERROR(YEAR(Table1[[#This Row],[Exit Date]]), " ")</f>
        <v xml:space="preserve"> </v>
      </c>
      <c r="G1649" t="str">
        <f>IFERROR((Table1[[#This Row],[Exit Year]]-Table1[[#This Row],[Join Year]])+1," ")</f>
        <v xml:space="preserve"> </v>
      </c>
      <c r="H1649" t="s">
        <v>48</v>
      </c>
      <c r="I1649" t="s">
        <v>11</v>
      </c>
      <c r="J1649" t="s">
        <v>18</v>
      </c>
      <c r="K1649">
        <v>49</v>
      </c>
      <c r="L1649" t="str">
        <f>IF(Table1[[#This Row],[Age]]&lt;30,"20-29",
IF(Table1[[#This Row],[Age]]&lt;40,"30-39",
IF(Table1[[#This Row],[Age]]&lt;50,"40-49",
IF(Table1[[#This Row],[Age]]&lt;60,"50-59","60+"))))</f>
        <v>40-49</v>
      </c>
      <c r="M1649" t="s">
        <v>16</v>
      </c>
      <c r="N1649" t="s">
        <v>19</v>
      </c>
    </row>
    <row r="1650" spans="1:14" x14ac:dyDescent="0.35">
      <c r="A1650">
        <v>1749</v>
      </c>
      <c r="B1650" t="s">
        <v>34</v>
      </c>
      <c r="C1650" s="6">
        <v>45540</v>
      </c>
      <c r="D1650">
        <f>YEAR(Table1[[#This Row],[Join Date]])</f>
        <v>2024</v>
      </c>
      <c r="E1650" s="6" t="s">
        <v>48</v>
      </c>
      <c r="F1650" t="str">
        <f>IFERROR(YEAR(Table1[[#This Row],[Exit Date]]), " ")</f>
        <v xml:space="preserve"> </v>
      </c>
      <c r="G1650" t="str">
        <f>IFERROR((Table1[[#This Row],[Exit Year]]-Table1[[#This Row],[Join Year]])+1," ")</f>
        <v xml:space="preserve"> </v>
      </c>
      <c r="H1650" t="s">
        <v>48</v>
      </c>
      <c r="I1650" t="s">
        <v>11</v>
      </c>
      <c r="J1650" t="s">
        <v>18</v>
      </c>
      <c r="K1650">
        <v>31</v>
      </c>
      <c r="L1650" t="str">
        <f>IF(Table1[[#This Row],[Age]]&lt;30,"20-29",
IF(Table1[[#This Row],[Age]]&lt;40,"30-39",
IF(Table1[[#This Row],[Age]]&lt;50,"40-49",
IF(Table1[[#This Row],[Age]]&lt;60,"50-59","60+"))))</f>
        <v>30-39</v>
      </c>
      <c r="M1650" t="s">
        <v>13</v>
      </c>
      <c r="N1650" t="s">
        <v>21</v>
      </c>
    </row>
    <row r="1651" spans="1:14" x14ac:dyDescent="0.35">
      <c r="A1651">
        <v>1750</v>
      </c>
      <c r="B1651" t="s">
        <v>10</v>
      </c>
      <c r="C1651" s="6">
        <v>43297</v>
      </c>
      <c r="D1651">
        <f>YEAR(Table1[[#This Row],[Join Date]])</f>
        <v>2018</v>
      </c>
      <c r="E1651" s="6">
        <v>44682</v>
      </c>
      <c r="F1651">
        <f>IFERROR(YEAR(Table1[[#This Row],[Exit Date]]), " ")</f>
        <v>2022</v>
      </c>
      <c r="G1651">
        <f>IFERROR((Table1[[#This Row],[Exit Year]]-Table1[[#This Row],[Join Year]])+1," ")</f>
        <v>5</v>
      </c>
      <c r="H1651" t="s">
        <v>40</v>
      </c>
      <c r="I1651" t="s">
        <v>23</v>
      </c>
      <c r="J1651" t="s">
        <v>12</v>
      </c>
      <c r="K1651">
        <v>51</v>
      </c>
      <c r="L1651" t="str">
        <f>IF(Table1[[#This Row],[Age]]&lt;30,"20-29",
IF(Table1[[#This Row],[Age]]&lt;40,"30-39",
IF(Table1[[#This Row],[Age]]&lt;50,"40-49",
IF(Table1[[#This Row],[Age]]&lt;60,"50-59","60+"))))</f>
        <v>50-59</v>
      </c>
      <c r="M1651" t="s">
        <v>20</v>
      </c>
      <c r="N1651" t="s">
        <v>17</v>
      </c>
    </row>
    <row r="1652" spans="1:14" x14ac:dyDescent="0.35">
      <c r="A1652">
        <v>1751</v>
      </c>
      <c r="B1652" t="s">
        <v>10</v>
      </c>
      <c r="C1652" s="6">
        <v>43407</v>
      </c>
      <c r="D1652">
        <f>YEAR(Table1[[#This Row],[Join Date]])</f>
        <v>2018</v>
      </c>
      <c r="E1652" s="6" t="s">
        <v>48</v>
      </c>
      <c r="F1652" t="str">
        <f>IFERROR(YEAR(Table1[[#This Row],[Exit Date]]), " ")</f>
        <v xml:space="preserve"> </v>
      </c>
      <c r="G1652" t="str">
        <f>IFERROR((Table1[[#This Row],[Exit Year]]-Table1[[#This Row],[Join Year]])+1," ")</f>
        <v xml:space="preserve"> </v>
      </c>
      <c r="H1652" t="s">
        <v>48</v>
      </c>
      <c r="I1652" t="s">
        <v>11</v>
      </c>
      <c r="J1652" t="s">
        <v>12</v>
      </c>
      <c r="K1652">
        <v>27</v>
      </c>
      <c r="L1652" t="str">
        <f>IF(Table1[[#This Row],[Age]]&lt;30,"20-29",
IF(Table1[[#This Row],[Age]]&lt;40,"30-39",
IF(Table1[[#This Row],[Age]]&lt;50,"40-49",
IF(Table1[[#This Row],[Age]]&lt;60,"50-59","60+"))))</f>
        <v>20-29</v>
      </c>
      <c r="M1652" t="s">
        <v>44</v>
      </c>
      <c r="N1652" t="s">
        <v>19</v>
      </c>
    </row>
    <row r="1653" spans="1:14" x14ac:dyDescent="0.35">
      <c r="A1653">
        <v>1752</v>
      </c>
      <c r="B1653" t="s">
        <v>15</v>
      </c>
      <c r="C1653" s="6">
        <v>44121</v>
      </c>
      <c r="D1653">
        <f>YEAR(Table1[[#This Row],[Join Date]])</f>
        <v>2020</v>
      </c>
      <c r="E1653" s="6" t="s">
        <v>48</v>
      </c>
      <c r="F1653" t="str">
        <f>IFERROR(YEAR(Table1[[#This Row],[Exit Date]]), " ")</f>
        <v xml:space="preserve"> </v>
      </c>
      <c r="G1653" t="str">
        <f>IFERROR((Table1[[#This Row],[Exit Year]]-Table1[[#This Row],[Join Year]])+1," ")</f>
        <v xml:space="preserve"> </v>
      </c>
      <c r="H1653" t="s">
        <v>48</v>
      </c>
      <c r="I1653" t="s">
        <v>11</v>
      </c>
      <c r="J1653" t="s">
        <v>12</v>
      </c>
      <c r="K1653">
        <v>22</v>
      </c>
      <c r="L1653" t="str">
        <f>IF(Table1[[#This Row],[Age]]&lt;30,"20-29",
IF(Table1[[#This Row],[Age]]&lt;40,"30-39",
IF(Table1[[#This Row],[Age]]&lt;50,"40-49",
IF(Table1[[#This Row],[Age]]&lt;60,"50-59","60+"))))</f>
        <v>20-29</v>
      </c>
      <c r="M1653" t="s">
        <v>13</v>
      </c>
      <c r="N1653" t="s">
        <v>21</v>
      </c>
    </row>
    <row r="1654" spans="1:14" x14ac:dyDescent="0.35">
      <c r="A1654">
        <v>1753</v>
      </c>
      <c r="B1654" t="s">
        <v>15</v>
      </c>
      <c r="C1654" s="6">
        <v>44423</v>
      </c>
      <c r="D1654">
        <f>YEAR(Table1[[#This Row],[Join Date]])</f>
        <v>2021</v>
      </c>
      <c r="E1654" s="6" t="s">
        <v>48</v>
      </c>
      <c r="F1654" t="str">
        <f>IFERROR(YEAR(Table1[[#This Row],[Exit Date]]), " ")</f>
        <v xml:space="preserve"> </v>
      </c>
      <c r="G1654" t="str">
        <f>IFERROR((Table1[[#This Row],[Exit Year]]-Table1[[#This Row],[Join Year]])+1," ")</f>
        <v xml:space="preserve"> </v>
      </c>
      <c r="H1654" t="s">
        <v>48</v>
      </c>
      <c r="I1654" t="s">
        <v>11</v>
      </c>
      <c r="J1654" t="s">
        <v>18</v>
      </c>
      <c r="K1654">
        <v>50</v>
      </c>
      <c r="L1654" t="str">
        <f>IF(Table1[[#This Row],[Age]]&lt;30,"20-29",
IF(Table1[[#This Row],[Age]]&lt;40,"30-39",
IF(Table1[[#This Row],[Age]]&lt;50,"40-49",
IF(Table1[[#This Row],[Age]]&lt;60,"50-59","60+"))))</f>
        <v>50-59</v>
      </c>
      <c r="M1654" t="s">
        <v>16</v>
      </c>
      <c r="N1654" t="s">
        <v>25</v>
      </c>
    </row>
    <row r="1655" spans="1:14" x14ac:dyDescent="0.35">
      <c r="A1655">
        <v>1754</v>
      </c>
      <c r="B1655" t="s">
        <v>15</v>
      </c>
      <c r="C1655" s="6">
        <v>45087</v>
      </c>
      <c r="D1655">
        <f>YEAR(Table1[[#This Row],[Join Date]])</f>
        <v>2023</v>
      </c>
      <c r="E1655" s="6" t="s">
        <v>48</v>
      </c>
      <c r="F1655" t="str">
        <f>IFERROR(YEAR(Table1[[#This Row],[Exit Date]]), " ")</f>
        <v xml:space="preserve"> </v>
      </c>
      <c r="G1655" t="str">
        <f>IFERROR((Table1[[#This Row],[Exit Year]]-Table1[[#This Row],[Join Year]])+1," ")</f>
        <v xml:space="preserve"> </v>
      </c>
      <c r="H1655" t="s">
        <v>48</v>
      </c>
      <c r="I1655" t="s">
        <v>11</v>
      </c>
      <c r="J1655" t="s">
        <v>12</v>
      </c>
      <c r="K1655">
        <v>24</v>
      </c>
      <c r="L1655" t="str">
        <f>IF(Table1[[#This Row],[Age]]&lt;30,"20-29",
IF(Table1[[#This Row],[Age]]&lt;40,"30-39",
IF(Table1[[#This Row],[Age]]&lt;50,"40-49",
IF(Table1[[#This Row],[Age]]&lt;60,"50-59","60+"))))</f>
        <v>20-29</v>
      </c>
      <c r="M1655" t="s">
        <v>16</v>
      </c>
      <c r="N1655" t="s">
        <v>28</v>
      </c>
    </row>
    <row r="1656" spans="1:14" x14ac:dyDescent="0.35">
      <c r="A1656">
        <v>1755</v>
      </c>
      <c r="B1656" t="s">
        <v>15</v>
      </c>
      <c r="C1656" s="6">
        <v>43479</v>
      </c>
      <c r="D1656">
        <f>YEAR(Table1[[#This Row],[Join Date]])</f>
        <v>2019</v>
      </c>
      <c r="E1656" s="6">
        <v>44449</v>
      </c>
      <c r="F1656">
        <f>IFERROR(YEAR(Table1[[#This Row],[Exit Date]]), " ")</f>
        <v>2021</v>
      </c>
      <c r="G1656">
        <f>IFERROR((Table1[[#This Row],[Exit Year]]-Table1[[#This Row],[Join Year]])+1," ")</f>
        <v>3</v>
      </c>
      <c r="H1656" t="s">
        <v>22</v>
      </c>
      <c r="I1656" t="s">
        <v>23</v>
      </c>
      <c r="J1656" t="s">
        <v>12</v>
      </c>
      <c r="K1656">
        <v>50</v>
      </c>
      <c r="L1656" t="str">
        <f>IF(Table1[[#This Row],[Age]]&lt;30,"20-29",
IF(Table1[[#This Row],[Age]]&lt;40,"30-39",
IF(Table1[[#This Row],[Age]]&lt;50,"40-49",
IF(Table1[[#This Row],[Age]]&lt;60,"50-59","60+"))))</f>
        <v>50-59</v>
      </c>
      <c r="M1656" t="s">
        <v>20</v>
      </c>
      <c r="N1656" t="s">
        <v>31</v>
      </c>
    </row>
    <row r="1657" spans="1:14" x14ac:dyDescent="0.35">
      <c r="A1657">
        <v>1756</v>
      </c>
      <c r="B1657" t="s">
        <v>26</v>
      </c>
      <c r="C1657" s="6">
        <v>44749</v>
      </c>
      <c r="D1657">
        <f>YEAR(Table1[[#This Row],[Join Date]])</f>
        <v>2022</v>
      </c>
      <c r="E1657" s="6">
        <v>44972</v>
      </c>
      <c r="F1657">
        <f>IFERROR(YEAR(Table1[[#This Row],[Exit Date]]), " ")</f>
        <v>2023</v>
      </c>
      <c r="G1657">
        <f>IFERROR((Table1[[#This Row],[Exit Year]]-Table1[[#This Row],[Join Year]])+1," ")</f>
        <v>2</v>
      </c>
      <c r="H1657" t="s">
        <v>46</v>
      </c>
      <c r="I1657" t="s">
        <v>23</v>
      </c>
      <c r="J1657" t="s">
        <v>18</v>
      </c>
      <c r="K1657">
        <v>28</v>
      </c>
      <c r="L1657" t="str">
        <f>IF(Table1[[#This Row],[Age]]&lt;30,"20-29",
IF(Table1[[#This Row],[Age]]&lt;40,"30-39",
IF(Table1[[#This Row],[Age]]&lt;50,"40-49",
IF(Table1[[#This Row],[Age]]&lt;60,"50-59","60+"))))</f>
        <v>20-29</v>
      </c>
      <c r="M1657" t="s">
        <v>24</v>
      </c>
      <c r="N1657" t="s">
        <v>32</v>
      </c>
    </row>
    <row r="1658" spans="1:14" x14ac:dyDescent="0.35">
      <c r="A1658">
        <v>1757</v>
      </c>
      <c r="B1658" t="s">
        <v>29</v>
      </c>
      <c r="C1658" s="6">
        <v>45457</v>
      </c>
      <c r="D1658">
        <f>YEAR(Table1[[#This Row],[Join Date]])</f>
        <v>2024</v>
      </c>
      <c r="E1658" s="6" t="s">
        <v>48</v>
      </c>
      <c r="F1658" t="str">
        <f>IFERROR(YEAR(Table1[[#This Row],[Exit Date]]), " ")</f>
        <v xml:space="preserve"> </v>
      </c>
      <c r="G1658" t="str">
        <f>IFERROR((Table1[[#This Row],[Exit Year]]-Table1[[#This Row],[Join Year]])+1," ")</f>
        <v xml:space="preserve"> </v>
      </c>
      <c r="H1658" t="s">
        <v>48</v>
      </c>
      <c r="I1658" t="s">
        <v>11</v>
      </c>
      <c r="J1658" t="s">
        <v>12</v>
      </c>
      <c r="K1658">
        <v>40</v>
      </c>
      <c r="L1658" t="str">
        <f>IF(Table1[[#This Row],[Age]]&lt;30,"20-29",
IF(Table1[[#This Row],[Age]]&lt;40,"30-39",
IF(Table1[[#This Row],[Age]]&lt;50,"40-49",
IF(Table1[[#This Row],[Age]]&lt;60,"50-59","60+"))))</f>
        <v>40-49</v>
      </c>
      <c r="M1658" t="s">
        <v>13</v>
      </c>
      <c r="N1658" t="s">
        <v>33</v>
      </c>
    </row>
    <row r="1659" spans="1:14" x14ac:dyDescent="0.35">
      <c r="A1659">
        <v>1758</v>
      </c>
      <c r="B1659" t="s">
        <v>10</v>
      </c>
      <c r="C1659" s="6">
        <v>43304</v>
      </c>
      <c r="D1659">
        <f>YEAR(Table1[[#This Row],[Join Date]])</f>
        <v>2018</v>
      </c>
      <c r="E1659" s="6" t="s">
        <v>48</v>
      </c>
      <c r="F1659" t="str">
        <f>IFERROR(YEAR(Table1[[#This Row],[Exit Date]]), " ")</f>
        <v xml:space="preserve"> </v>
      </c>
      <c r="G1659" t="str">
        <f>IFERROR((Table1[[#This Row],[Exit Year]]-Table1[[#This Row],[Join Year]])+1," ")</f>
        <v xml:space="preserve"> </v>
      </c>
      <c r="H1659" t="s">
        <v>48</v>
      </c>
      <c r="I1659" t="s">
        <v>11</v>
      </c>
      <c r="J1659" t="s">
        <v>18</v>
      </c>
      <c r="K1659">
        <v>32</v>
      </c>
      <c r="L1659" t="str">
        <f>IF(Table1[[#This Row],[Age]]&lt;30,"20-29",
IF(Table1[[#This Row],[Age]]&lt;40,"30-39",
IF(Table1[[#This Row],[Age]]&lt;50,"40-49",
IF(Table1[[#This Row],[Age]]&lt;60,"50-59","60+"))))</f>
        <v>30-39</v>
      </c>
      <c r="M1659" t="s">
        <v>30</v>
      </c>
      <c r="N1659" t="s">
        <v>35</v>
      </c>
    </row>
    <row r="1660" spans="1:14" x14ac:dyDescent="0.35">
      <c r="A1660">
        <v>1759</v>
      </c>
      <c r="B1660" t="s">
        <v>15</v>
      </c>
      <c r="C1660" s="6">
        <v>44987</v>
      </c>
      <c r="D1660">
        <f>YEAR(Table1[[#This Row],[Join Date]])</f>
        <v>2023</v>
      </c>
      <c r="E1660" s="6" t="s">
        <v>48</v>
      </c>
      <c r="F1660" t="str">
        <f>IFERROR(YEAR(Table1[[#This Row],[Exit Date]]), " ")</f>
        <v xml:space="preserve"> </v>
      </c>
      <c r="G1660" t="str">
        <f>IFERROR((Table1[[#This Row],[Exit Year]]-Table1[[#This Row],[Join Year]])+1," ")</f>
        <v xml:space="preserve"> </v>
      </c>
      <c r="H1660" t="s">
        <v>48</v>
      </c>
      <c r="I1660" t="s">
        <v>11</v>
      </c>
      <c r="J1660" t="s">
        <v>18</v>
      </c>
      <c r="K1660">
        <v>50</v>
      </c>
      <c r="L1660" t="str">
        <f>IF(Table1[[#This Row],[Age]]&lt;30,"20-29",
IF(Table1[[#This Row],[Age]]&lt;40,"30-39",
IF(Table1[[#This Row],[Age]]&lt;50,"40-49",
IF(Table1[[#This Row],[Age]]&lt;60,"50-59","60+"))))</f>
        <v>50-59</v>
      </c>
      <c r="M1660" t="s">
        <v>13</v>
      </c>
      <c r="N1660" t="s">
        <v>37</v>
      </c>
    </row>
    <row r="1661" spans="1:14" x14ac:dyDescent="0.35">
      <c r="A1661">
        <v>1760</v>
      </c>
      <c r="B1661" t="s">
        <v>34</v>
      </c>
      <c r="C1661" s="6">
        <v>45326</v>
      </c>
      <c r="D1661">
        <f>YEAR(Table1[[#This Row],[Join Date]])</f>
        <v>2024</v>
      </c>
      <c r="E1661" s="6" t="s">
        <v>48</v>
      </c>
      <c r="F1661" t="str">
        <f>IFERROR(YEAR(Table1[[#This Row],[Exit Date]]), " ")</f>
        <v xml:space="preserve"> </v>
      </c>
      <c r="G1661" t="str">
        <f>IFERROR((Table1[[#This Row],[Exit Year]]-Table1[[#This Row],[Join Year]])+1," ")</f>
        <v xml:space="preserve"> </v>
      </c>
      <c r="H1661" t="s">
        <v>48</v>
      </c>
      <c r="I1661" t="s">
        <v>11</v>
      </c>
      <c r="J1661" t="s">
        <v>12</v>
      </c>
      <c r="K1661">
        <v>24</v>
      </c>
      <c r="L1661" t="str">
        <f>IF(Table1[[#This Row],[Age]]&lt;30,"20-29",
IF(Table1[[#This Row],[Age]]&lt;40,"30-39",
IF(Table1[[#This Row],[Age]]&lt;50,"40-49",
IF(Table1[[#This Row],[Age]]&lt;60,"50-59","60+"))))</f>
        <v>20-29</v>
      </c>
      <c r="M1661" t="s">
        <v>13</v>
      </c>
      <c r="N1661" t="s">
        <v>19</v>
      </c>
    </row>
    <row r="1662" spans="1:14" x14ac:dyDescent="0.35">
      <c r="A1662">
        <v>1761</v>
      </c>
      <c r="B1662" t="s">
        <v>36</v>
      </c>
      <c r="C1662" s="6">
        <v>45474</v>
      </c>
      <c r="D1662">
        <f>YEAR(Table1[[#This Row],[Join Date]])</f>
        <v>2024</v>
      </c>
      <c r="E1662" s="6" t="s">
        <v>48</v>
      </c>
      <c r="F1662" t="str">
        <f>IFERROR(YEAR(Table1[[#This Row],[Exit Date]]), " ")</f>
        <v xml:space="preserve"> </v>
      </c>
      <c r="G1662" t="str">
        <f>IFERROR((Table1[[#This Row],[Exit Year]]-Table1[[#This Row],[Join Year]])+1," ")</f>
        <v xml:space="preserve"> </v>
      </c>
      <c r="H1662" t="s">
        <v>48</v>
      </c>
      <c r="I1662" t="s">
        <v>11</v>
      </c>
      <c r="J1662" t="s">
        <v>12</v>
      </c>
      <c r="K1662">
        <v>36</v>
      </c>
      <c r="L1662" t="str">
        <f>IF(Table1[[#This Row],[Age]]&lt;30,"20-29",
IF(Table1[[#This Row],[Age]]&lt;40,"30-39",
IF(Table1[[#This Row],[Age]]&lt;50,"40-49",
IF(Table1[[#This Row],[Age]]&lt;60,"50-59","60+"))))</f>
        <v>30-39</v>
      </c>
      <c r="M1662" t="s">
        <v>16</v>
      </c>
      <c r="N1662" t="s">
        <v>25</v>
      </c>
    </row>
    <row r="1663" spans="1:14" x14ac:dyDescent="0.35">
      <c r="A1663">
        <v>1762</v>
      </c>
      <c r="B1663" t="s">
        <v>29</v>
      </c>
      <c r="C1663" s="6">
        <v>44227</v>
      </c>
      <c r="D1663">
        <f>YEAR(Table1[[#This Row],[Join Date]])</f>
        <v>2021</v>
      </c>
      <c r="E1663" s="6">
        <v>45322</v>
      </c>
      <c r="F1663">
        <f>IFERROR(YEAR(Table1[[#This Row],[Exit Date]]), " ")</f>
        <v>2024</v>
      </c>
      <c r="G1663">
        <f>IFERROR((Table1[[#This Row],[Exit Year]]-Table1[[#This Row],[Join Year]])+1," ")</f>
        <v>4</v>
      </c>
      <c r="H1663" t="s">
        <v>46</v>
      </c>
      <c r="I1663" t="s">
        <v>23</v>
      </c>
      <c r="J1663" t="s">
        <v>12</v>
      </c>
      <c r="K1663">
        <v>49</v>
      </c>
      <c r="L1663" t="str">
        <f>IF(Table1[[#This Row],[Age]]&lt;30,"20-29",
IF(Table1[[#This Row],[Age]]&lt;40,"30-39",
IF(Table1[[#This Row],[Age]]&lt;50,"40-49",
IF(Table1[[#This Row],[Age]]&lt;60,"50-59","60+"))))</f>
        <v>40-49</v>
      </c>
      <c r="M1663" t="s">
        <v>13</v>
      </c>
      <c r="N1663" t="s">
        <v>35</v>
      </c>
    </row>
    <row r="1664" spans="1:14" x14ac:dyDescent="0.35">
      <c r="A1664">
        <v>1763</v>
      </c>
      <c r="B1664" t="s">
        <v>10</v>
      </c>
      <c r="C1664" s="6">
        <v>43446</v>
      </c>
      <c r="D1664">
        <f>YEAR(Table1[[#This Row],[Join Date]])</f>
        <v>2018</v>
      </c>
      <c r="E1664" s="6">
        <v>43936</v>
      </c>
      <c r="F1664">
        <f>IFERROR(YEAR(Table1[[#This Row],[Exit Date]]), " ")</f>
        <v>2020</v>
      </c>
      <c r="G1664">
        <f>IFERROR((Table1[[#This Row],[Exit Year]]-Table1[[#This Row],[Join Year]])+1," ")</f>
        <v>3</v>
      </c>
      <c r="H1664" t="s">
        <v>46</v>
      </c>
      <c r="I1664" t="s">
        <v>23</v>
      </c>
      <c r="J1664" t="s">
        <v>18</v>
      </c>
      <c r="K1664">
        <v>43</v>
      </c>
      <c r="L1664" t="str">
        <f>IF(Table1[[#This Row],[Age]]&lt;30,"20-29",
IF(Table1[[#This Row],[Age]]&lt;40,"30-39",
IF(Table1[[#This Row],[Age]]&lt;50,"40-49",
IF(Table1[[#This Row],[Age]]&lt;60,"50-59","60+"))))</f>
        <v>40-49</v>
      </c>
      <c r="M1664" t="s">
        <v>20</v>
      </c>
      <c r="N1664" t="s">
        <v>17</v>
      </c>
    </row>
    <row r="1665" spans="1:14" x14ac:dyDescent="0.35">
      <c r="A1665">
        <v>1764</v>
      </c>
      <c r="B1665" t="s">
        <v>15</v>
      </c>
      <c r="C1665" s="6">
        <v>45314</v>
      </c>
      <c r="D1665">
        <f>YEAR(Table1[[#This Row],[Join Date]])</f>
        <v>2024</v>
      </c>
      <c r="E1665" s="6" t="s">
        <v>48</v>
      </c>
      <c r="F1665" t="str">
        <f>IFERROR(YEAR(Table1[[#This Row],[Exit Date]]), " ")</f>
        <v xml:space="preserve"> </v>
      </c>
      <c r="G1665" t="str">
        <f>IFERROR((Table1[[#This Row],[Exit Year]]-Table1[[#This Row],[Join Year]])+1," ")</f>
        <v xml:space="preserve"> </v>
      </c>
      <c r="H1665" t="s">
        <v>48</v>
      </c>
      <c r="I1665" t="s">
        <v>11</v>
      </c>
      <c r="J1665" t="s">
        <v>18</v>
      </c>
      <c r="K1665">
        <v>40</v>
      </c>
      <c r="L1665" t="str">
        <f>IF(Table1[[#This Row],[Age]]&lt;30,"20-29",
IF(Table1[[#This Row],[Age]]&lt;40,"30-39",
IF(Table1[[#This Row],[Age]]&lt;50,"40-49",
IF(Table1[[#This Row],[Age]]&lt;60,"50-59","60+"))))</f>
        <v>40-49</v>
      </c>
      <c r="M1665" t="s">
        <v>39</v>
      </c>
      <c r="N1665" t="s">
        <v>19</v>
      </c>
    </row>
    <row r="1666" spans="1:14" x14ac:dyDescent="0.35">
      <c r="A1666">
        <v>1765</v>
      </c>
      <c r="B1666" t="s">
        <v>15</v>
      </c>
      <c r="C1666" s="6">
        <v>43123</v>
      </c>
      <c r="D1666">
        <f>YEAR(Table1[[#This Row],[Join Date]])</f>
        <v>2018</v>
      </c>
      <c r="E1666" s="6" t="s">
        <v>48</v>
      </c>
      <c r="F1666" t="str">
        <f>IFERROR(YEAR(Table1[[#This Row],[Exit Date]]), " ")</f>
        <v xml:space="preserve"> </v>
      </c>
      <c r="G1666" t="str">
        <f>IFERROR((Table1[[#This Row],[Exit Year]]-Table1[[#This Row],[Join Year]])+1," ")</f>
        <v xml:space="preserve"> </v>
      </c>
      <c r="H1666" t="s">
        <v>48</v>
      </c>
      <c r="I1666" t="s">
        <v>11</v>
      </c>
      <c r="J1666" t="s">
        <v>12</v>
      </c>
      <c r="K1666">
        <v>42</v>
      </c>
      <c r="L1666" t="str">
        <f>IF(Table1[[#This Row],[Age]]&lt;30,"20-29",
IF(Table1[[#This Row],[Age]]&lt;40,"30-39",
IF(Table1[[#This Row],[Age]]&lt;50,"40-49",
IF(Table1[[#This Row],[Age]]&lt;60,"50-59","60+"))))</f>
        <v>40-49</v>
      </c>
      <c r="M1666" t="s">
        <v>13</v>
      </c>
      <c r="N1666" t="s">
        <v>21</v>
      </c>
    </row>
    <row r="1667" spans="1:14" x14ac:dyDescent="0.35">
      <c r="A1667">
        <v>1766</v>
      </c>
      <c r="B1667" t="s">
        <v>10</v>
      </c>
      <c r="C1667" s="6">
        <v>43717</v>
      </c>
      <c r="D1667">
        <f>YEAR(Table1[[#This Row],[Join Date]])</f>
        <v>2019</v>
      </c>
      <c r="E1667" s="6">
        <v>44677</v>
      </c>
      <c r="F1667">
        <f>IFERROR(YEAR(Table1[[#This Row],[Exit Date]]), " ")</f>
        <v>2022</v>
      </c>
      <c r="G1667">
        <f>IFERROR((Table1[[#This Row],[Exit Year]]-Table1[[#This Row],[Join Year]])+1," ")</f>
        <v>4</v>
      </c>
      <c r="H1667" t="s">
        <v>40</v>
      </c>
      <c r="I1667" t="s">
        <v>23</v>
      </c>
      <c r="J1667" t="s">
        <v>18</v>
      </c>
      <c r="K1667">
        <v>35</v>
      </c>
      <c r="L1667" t="str">
        <f>IF(Table1[[#This Row],[Age]]&lt;30,"20-29",
IF(Table1[[#This Row],[Age]]&lt;40,"30-39",
IF(Table1[[#This Row],[Age]]&lt;50,"40-49",
IF(Table1[[#This Row],[Age]]&lt;60,"50-59","60+"))))</f>
        <v>30-39</v>
      </c>
      <c r="M1667" t="s">
        <v>16</v>
      </c>
      <c r="N1667" t="s">
        <v>25</v>
      </c>
    </row>
    <row r="1668" spans="1:14" x14ac:dyDescent="0.35">
      <c r="A1668">
        <v>1767</v>
      </c>
      <c r="B1668" t="s">
        <v>29</v>
      </c>
      <c r="C1668" s="6">
        <v>43534</v>
      </c>
      <c r="D1668">
        <f>YEAR(Table1[[#This Row],[Join Date]])</f>
        <v>2019</v>
      </c>
      <c r="E1668" s="6">
        <v>44117</v>
      </c>
      <c r="F1668">
        <f>IFERROR(YEAR(Table1[[#This Row],[Exit Date]]), " ")</f>
        <v>2020</v>
      </c>
      <c r="G1668">
        <f>IFERROR((Table1[[#This Row],[Exit Year]]-Table1[[#This Row],[Join Year]])+1," ")</f>
        <v>2</v>
      </c>
      <c r="H1668" t="s">
        <v>38</v>
      </c>
      <c r="I1668" t="s">
        <v>23</v>
      </c>
      <c r="J1668" t="s">
        <v>18</v>
      </c>
      <c r="K1668">
        <v>31</v>
      </c>
      <c r="L1668" t="str">
        <f>IF(Table1[[#This Row],[Age]]&lt;30,"20-29",
IF(Table1[[#This Row],[Age]]&lt;40,"30-39",
IF(Table1[[#This Row],[Age]]&lt;50,"40-49",
IF(Table1[[#This Row],[Age]]&lt;60,"50-59","60+"))))</f>
        <v>30-39</v>
      </c>
      <c r="M1668" t="s">
        <v>16</v>
      </c>
      <c r="N1668" t="s">
        <v>35</v>
      </c>
    </row>
    <row r="1669" spans="1:14" x14ac:dyDescent="0.35">
      <c r="A1669">
        <v>1768</v>
      </c>
      <c r="B1669" t="s">
        <v>36</v>
      </c>
      <c r="C1669" s="6">
        <v>44619</v>
      </c>
      <c r="D1669">
        <f>YEAR(Table1[[#This Row],[Join Date]])</f>
        <v>2022</v>
      </c>
      <c r="E1669" s="6" t="s">
        <v>48</v>
      </c>
      <c r="F1669" t="str">
        <f>IFERROR(YEAR(Table1[[#This Row],[Exit Date]]), " ")</f>
        <v xml:space="preserve"> </v>
      </c>
      <c r="G1669" t="str">
        <f>IFERROR((Table1[[#This Row],[Exit Year]]-Table1[[#This Row],[Join Year]])+1," ")</f>
        <v xml:space="preserve"> </v>
      </c>
      <c r="H1669" t="s">
        <v>48</v>
      </c>
      <c r="I1669" t="s">
        <v>11</v>
      </c>
      <c r="J1669" t="s">
        <v>12</v>
      </c>
      <c r="K1669">
        <v>51</v>
      </c>
      <c r="L1669" t="str">
        <f>IF(Table1[[#This Row],[Age]]&lt;30,"20-29",
IF(Table1[[#This Row],[Age]]&lt;40,"30-39",
IF(Table1[[#This Row],[Age]]&lt;50,"40-49",
IF(Table1[[#This Row],[Age]]&lt;60,"50-59","60+"))))</f>
        <v>50-59</v>
      </c>
      <c r="M1669" t="s">
        <v>20</v>
      </c>
      <c r="N1669" t="s">
        <v>14</v>
      </c>
    </row>
    <row r="1670" spans="1:14" x14ac:dyDescent="0.35">
      <c r="A1670">
        <v>1769</v>
      </c>
      <c r="B1670" t="s">
        <v>10</v>
      </c>
      <c r="C1670" s="6">
        <v>45485</v>
      </c>
      <c r="D1670">
        <f>YEAR(Table1[[#This Row],[Join Date]])</f>
        <v>2024</v>
      </c>
      <c r="E1670" s="6" t="s">
        <v>48</v>
      </c>
      <c r="F1670" t="str">
        <f>IFERROR(YEAR(Table1[[#This Row],[Exit Date]]), " ")</f>
        <v xml:space="preserve"> </v>
      </c>
      <c r="G1670" t="str">
        <f>IFERROR((Table1[[#This Row],[Exit Year]]-Table1[[#This Row],[Join Year]])+1," ")</f>
        <v xml:space="preserve"> </v>
      </c>
      <c r="H1670" t="s">
        <v>48</v>
      </c>
      <c r="I1670" t="s">
        <v>11</v>
      </c>
      <c r="J1670" t="s">
        <v>12</v>
      </c>
      <c r="K1670">
        <v>48</v>
      </c>
      <c r="L1670" t="str">
        <f>IF(Table1[[#This Row],[Age]]&lt;30,"20-29",
IF(Table1[[#This Row],[Age]]&lt;40,"30-39",
IF(Table1[[#This Row],[Age]]&lt;50,"40-49",
IF(Table1[[#This Row],[Age]]&lt;60,"50-59","60+"))))</f>
        <v>40-49</v>
      </c>
      <c r="M1670" t="s">
        <v>24</v>
      </c>
      <c r="N1670" t="s">
        <v>19</v>
      </c>
    </row>
    <row r="1671" spans="1:14" x14ac:dyDescent="0.35">
      <c r="A1671">
        <v>1770</v>
      </c>
      <c r="B1671" t="s">
        <v>29</v>
      </c>
      <c r="C1671" s="6">
        <v>43588</v>
      </c>
      <c r="D1671">
        <f>YEAR(Table1[[#This Row],[Join Date]])</f>
        <v>2019</v>
      </c>
      <c r="E1671" s="6">
        <v>44896</v>
      </c>
      <c r="F1671">
        <f>IFERROR(YEAR(Table1[[#This Row],[Exit Date]]), " ")</f>
        <v>2022</v>
      </c>
      <c r="G1671">
        <f>IFERROR((Table1[[#This Row],[Exit Year]]-Table1[[#This Row],[Join Year]])+1," ")</f>
        <v>4</v>
      </c>
      <c r="H1671" t="s">
        <v>41</v>
      </c>
      <c r="I1671" t="s">
        <v>23</v>
      </c>
      <c r="J1671" t="s">
        <v>12</v>
      </c>
      <c r="K1671">
        <v>41</v>
      </c>
      <c r="L1671" t="str">
        <f>IF(Table1[[#This Row],[Age]]&lt;30,"20-29",
IF(Table1[[#This Row],[Age]]&lt;40,"30-39",
IF(Table1[[#This Row],[Age]]&lt;50,"40-49",
IF(Table1[[#This Row],[Age]]&lt;60,"50-59","60+"))))</f>
        <v>40-49</v>
      </c>
      <c r="M1671" t="s">
        <v>13</v>
      </c>
      <c r="N1671" t="s">
        <v>21</v>
      </c>
    </row>
    <row r="1672" spans="1:14" x14ac:dyDescent="0.35">
      <c r="A1672">
        <v>1771</v>
      </c>
      <c r="B1672" t="s">
        <v>36</v>
      </c>
      <c r="C1672" s="6">
        <v>44250</v>
      </c>
      <c r="D1672">
        <f>YEAR(Table1[[#This Row],[Join Date]])</f>
        <v>2021</v>
      </c>
      <c r="E1672" s="6">
        <v>45392</v>
      </c>
      <c r="F1672">
        <f>IFERROR(YEAR(Table1[[#This Row],[Exit Date]]), " ")</f>
        <v>2024</v>
      </c>
      <c r="G1672">
        <f>IFERROR((Table1[[#This Row],[Exit Year]]-Table1[[#This Row],[Join Year]])+1," ")</f>
        <v>4</v>
      </c>
      <c r="H1672" t="s">
        <v>46</v>
      </c>
      <c r="I1672" t="s">
        <v>23</v>
      </c>
      <c r="J1672" t="s">
        <v>12</v>
      </c>
      <c r="K1672">
        <v>35</v>
      </c>
      <c r="L1672" t="str">
        <f>IF(Table1[[#This Row],[Age]]&lt;30,"20-29",
IF(Table1[[#This Row],[Age]]&lt;40,"30-39",
IF(Table1[[#This Row],[Age]]&lt;50,"40-49",
IF(Table1[[#This Row],[Age]]&lt;60,"50-59","60+"))))</f>
        <v>30-39</v>
      </c>
      <c r="M1672" t="s">
        <v>42</v>
      </c>
      <c r="N1672" t="s">
        <v>25</v>
      </c>
    </row>
    <row r="1673" spans="1:14" x14ac:dyDescent="0.35">
      <c r="A1673">
        <v>1772</v>
      </c>
      <c r="B1673" t="s">
        <v>26</v>
      </c>
      <c r="C1673" s="6">
        <v>45244</v>
      </c>
      <c r="D1673">
        <f>YEAR(Table1[[#This Row],[Join Date]])</f>
        <v>2023</v>
      </c>
      <c r="E1673" s="6">
        <v>45446</v>
      </c>
      <c r="F1673">
        <f>IFERROR(YEAR(Table1[[#This Row],[Exit Date]]), " ")</f>
        <v>2024</v>
      </c>
      <c r="G1673">
        <f>IFERROR((Table1[[#This Row],[Exit Year]]-Table1[[#This Row],[Join Year]])+1," ")</f>
        <v>2</v>
      </c>
      <c r="H1673" t="s">
        <v>40</v>
      </c>
      <c r="I1673" t="s">
        <v>23</v>
      </c>
      <c r="J1673" t="s">
        <v>18</v>
      </c>
      <c r="K1673">
        <v>24</v>
      </c>
      <c r="L1673" t="str">
        <f>IF(Table1[[#This Row],[Age]]&lt;30,"20-29",
IF(Table1[[#This Row],[Age]]&lt;40,"30-39",
IF(Table1[[#This Row],[Age]]&lt;50,"40-49",
IF(Table1[[#This Row],[Age]]&lt;60,"50-59","60+"))))</f>
        <v>20-29</v>
      </c>
      <c r="M1673" t="s">
        <v>13</v>
      </c>
      <c r="N1673" t="s">
        <v>35</v>
      </c>
    </row>
    <row r="1674" spans="1:14" x14ac:dyDescent="0.35">
      <c r="A1674">
        <v>1773</v>
      </c>
      <c r="B1674" t="s">
        <v>15</v>
      </c>
      <c r="C1674" s="6">
        <v>45256</v>
      </c>
      <c r="D1674">
        <f>YEAR(Table1[[#This Row],[Join Date]])</f>
        <v>2023</v>
      </c>
      <c r="E1674" s="6" t="s">
        <v>48</v>
      </c>
      <c r="F1674" t="str">
        <f>IFERROR(YEAR(Table1[[#This Row],[Exit Date]]), " ")</f>
        <v xml:space="preserve"> </v>
      </c>
      <c r="G1674" t="str">
        <f>IFERROR((Table1[[#This Row],[Exit Year]]-Table1[[#This Row],[Join Year]])+1," ")</f>
        <v xml:space="preserve"> </v>
      </c>
      <c r="H1674" t="s">
        <v>48</v>
      </c>
      <c r="I1674" t="s">
        <v>11</v>
      </c>
      <c r="J1674" t="s">
        <v>18</v>
      </c>
      <c r="K1674">
        <v>41</v>
      </c>
      <c r="L1674" t="str">
        <f>IF(Table1[[#This Row],[Age]]&lt;30,"20-29",
IF(Table1[[#This Row],[Age]]&lt;40,"30-39",
IF(Table1[[#This Row],[Age]]&lt;50,"40-49",
IF(Table1[[#This Row],[Age]]&lt;60,"50-59","60+"))))</f>
        <v>40-49</v>
      </c>
      <c r="M1674" t="s">
        <v>13</v>
      </c>
      <c r="N1674" t="s">
        <v>17</v>
      </c>
    </row>
    <row r="1675" spans="1:14" x14ac:dyDescent="0.35">
      <c r="A1675">
        <v>1774</v>
      </c>
      <c r="B1675" t="s">
        <v>26</v>
      </c>
      <c r="C1675" s="6">
        <v>45465</v>
      </c>
      <c r="D1675">
        <f>YEAR(Table1[[#This Row],[Join Date]])</f>
        <v>2024</v>
      </c>
      <c r="E1675" s="6" t="s">
        <v>48</v>
      </c>
      <c r="F1675" t="str">
        <f>IFERROR(YEAR(Table1[[#This Row],[Exit Date]]), " ")</f>
        <v xml:space="preserve"> </v>
      </c>
      <c r="G1675" t="str">
        <f>IFERROR((Table1[[#This Row],[Exit Year]]-Table1[[#This Row],[Join Year]])+1," ")</f>
        <v xml:space="preserve"> </v>
      </c>
      <c r="H1675" t="s">
        <v>48</v>
      </c>
      <c r="I1675" t="s">
        <v>11</v>
      </c>
      <c r="J1675" t="s">
        <v>18</v>
      </c>
      <c r="K1675">
        <v>40</v>
      </c>
      <c r="L1675" t="str">
        <f>IF(Table1[[#This Row],[Age]]&lt;30,"20-29",
IF(Table1[[#This Row],[Age]]&lt;40,"30-39",
IF(Table1[[#This Row],[Age]]&lt;50,"40-49",
IF(Table1[[#This Row],[Age]]&lt;60,"50-59","60+"))))</f>
        <v>40-49</v>
      </c>
      <c r="M1675" t="s">
        <v>16</v>
      </c>
      <c r="N1675" t="s">
        <v>19</v>
      </c>
    </row>
    <row r="1676" spans="1:14" x14ac:dyDescent="0.35">
      <c r="A1676">
        <v>1775</v>
      </c>
      <c r="B1676" t="s">
        <v>10</v>
      </c>
      <c r="C1676" s="6">
        <v>43597</v>
      </c>
      <c r="D1676">
        <f>YEAR(Table1[[#This Row],[Join Date]])</f>
        <v>2019</v>
      </c>
      <c r="E1676" s="6" t="s">
        <v>48</v>
      </c>
      <c r="F1676" t="str">
        <f>IFERROR(YEAR(Table1[[#This Row],[Exit Date]]), " ")</f>
        <v xml:space="preserve"> </v>
      </c>
      <c r="G1676" t="str">
        <f>IFERROR((Table1[[#This Row],[Exit Year]]-Table1[[#This Row],[Join Year]])+1," ")</f>
        <v xml:space="preserve"> </v>
      </c>
      <c r="H1676" t="s">
        <v>48</v>
      </c>
      <c r="I1676" t="s">
        <v>11</v>
      </c>
      <c r="J1676" t="s">
        <v>12</v>
      </c>
      <c r="K1676">
        <v>48</v>
      </c>
      <c r="L1676" t="str">
        <f>IF(Table1[[#This Row],[Age]]&lt;30,"20-29",
IF(Table1[[#This Row],[Age]]&lt;40,"30-39",
IF(Table1[[#This Row],[Age]]&lt;50,"40-49",
IF(Table1[[#This Row],[Age]]&lt;60,"50-59","60+"))))</f>
        <v>40-49</v>
      </c>
      <c r="M1676" t="s">
        <v>13</v>
      </c>
      <c r="N1676" t="s">
        <v>21</v>
      </c>
    </row>
    <row r="1677" spans="1:14" x14ac:dyDescent="0.35">
      <c r="A1677">
        <v>1776</v>
      </c>
      <c r="B1677" t="s">
        <v>15</v>
      </c>
      <c r="C1677" s="6">
        <v>44866</v>
      </c>
      <c r="D1677">
        <f>YEAR(Table1[[#This Row],[Join Date]])</f>
        <v>2022</v>
      </c>
      <c r="E1677" s="6" t="s">
        <v>48</v>
      </c>
      <c r="F1677" t="str">
        <f>IFERROR(YEAR(Table1[[#This Row],[Exit Date]]), " ")</f>
        <v xml:space="preserve"> </v>
      </c>
      <c r="G1677" t="str">
        <f>IFERROR((Table1[[#This Row],[Exit Year]]-Table1[[#This Row],[Join Year]])+1," ")</f>
        <v xml:space="preserve"> </v>
      </c>
      <c r="H1677" t="s">
        <v>48</v>
      </c>
      <c r="I1677" t="s">
        <v>11</v>
      </c>
      <c r="J1677" t="s">
        <v>18</v>
      </c>
      <c r="K1677">
        <v>52</v>
      </c>
      <c r="L1677" t="str">
        <f>IF(Table1[[#This Row],[Age]]&lt;30,"20-29",
IF(Table1[[#This Row],[Age]]&lt;40,"30-39",
IF(Table1[[#This Row],[Age]]&lt;50,"40-49",
IF(Table1[[#This Row],[Age]]&lt;60,"50-59","60+"))))</f>
        <v>50-59</v>
      </c>
      <c r="M1677" t="s">
        <v>20</v>
      </c>
      <c r="N1677" t="s">
        <v>25</v>
      </c>
    </row>
    <row r="1678" spans="1:14" x14ac:dyDescent="0.35">
      <c r="A1678">
        <v>1777</v>
      </c>
      <c r="B1678" t="s">
        <v>34</v>
      </c>
      <c r="C1678" s="6">
        <v>44006</v>
      </c>
      <c r="D1678">
        <f>YEAR(Table1[[#This Row],[Join Date]])</f>
        <v>2020</v>
      </c>
      <c r="E1678" s="6">
        <v>44463</v>
      </c>
      <c r="F1678">
        <f>IFERROR(YEAR(Table1[[#This Row],[Exit Date]]), " ")</f>
        <v>2021</v>
      </c>
      <c r="G1678">
        <f>IFERROR((Table1[[#This Row],[Exit Year]]-Table1[[#This Row],[Join Year]])+1," ")</f>
        <v>2</v>
      </c>
      <c r="H1678" t="s">
        <v>43</v>
      </c>
      <c r="I1678" t="s">
        <v>23</v>
      </c>
      <c r="J1678" t="s">
        <v>18</v>
      </c>
      <c r="K1678">
        <v>33</v>
      </c>
      <c r="L1678" t="str">
        <f>IF(Table1[[#This Row],[Age]]&lt;30,"20-29",
IF(Table1[[#This Row],[Age]]&lt;40,"30-39",
IF(Table1[[#This Row],[Age]]&lt;50,"40-49",
IF(Table1[[#This Row],[Age]]&lt;60,"50-59","60+"))))</f>
        <v>30-39</v>
      </c>
      <c r="M1678" t="s">
        <v>44</v>
      </c>
      <c r="N1678" t="s">
        <v>35</v>
      </c>
    </row>
    <row r="1679" spans="1:14" x14ac:dyDescent="0.35">
      <c r="A1679">
        <v>1778</v>
      </c>
      <c r="B1679" t="s">
        <v>26</v>
      </c>
      <c r="C1679" s="6">
        <v>45095</v>
      </c>
      <c r="D1679">
        <f>YEAR(Table1[[#This Row],[Join Date]])</f>
        <v>2023</v>
      </c>
      <c r="E1679" s="6" t="s">
        <v>48</v>
      </c>
      <c r="F1679" t="str">
        <f>IFERROR(YEAR(Table1[[#This Row],[Exit Date]]), " ")</f>
        <v xml:space="preserve"> </v>
      </c>
      <c r="G1679" t="str">
        <f>IFERROR((Table1[[#This Row],[Exit Year]]-Table1[[#This Row],[Join Year]])+1," ")</f>
        <v xml:space="preserve"> </v>
      </c>
      <c r="H1679" t="s">
        <v>48</v>
      </c>
      <c r="I1679" t="s">
        <v>11</v>
      </c>
      <c r="J1679" t="s">
        <v>12</v>
      </c>
      <c r="K1679">
        <v>51</v>
      </c>
      <c r="L1679" t="str">
        <f>IF(Table1[[#This Row],[Age]]&lt;30,"20-29",
IF(Table1[[#This Row],[Age]]&lt;40,"30-39",
IF(Table1[[#This Row],[Age]]&lt;50,"40-49",
IF(Table1[[#This Row],[Age]]&lt;60,"50-59","60+"))))</f>
        <v>50-59</v>
      </c>
      <c r="M1679" t="s">
        <v>13</v>
      </c>
      <c r="N1679" t="s">
        <v>14</v>
      </c>
    </row>
    <row r="1680" spans="1:14" x14ac:dyDescent="0.35">
      <c r="A1680">
        <v>1779</v>
      </c>
      <c r="B1680" t="s">
        <v>10</v>
      </c>
      <c r="C1680" s="6">
        <v>44360</v>
      </c>
      <c r="D1680">
        <f>YEAR(Table1[[#This Row],[Join Date]])</f>
        <v>2021</v>
      </c>
      <c r="E1680" s="6">
        <v>44755</v>
      </c>
      <c r="F1680">
        <f>IFERROR(YEAR(Table1[[#This Row],[Exit Date]]), " ")</f>
        <v>2022</v>
      </c>
      <c r="G1680">
        <f>IFERROR((Table1[[#This Row],[Exit Year]]-Table1[[#This Row],[Join Year]])+1," ")</f>
        <v>2</v>
      </c>
      <c r="H1680" t="s">
        <v>46</v>
      </c>
      <c r="I1680" t="s">
        <v>23</v>
      </c>
      <c r="J1680" t="s">
        <v>18</v>
      </c>
      <c r="K1680">
        <v>46</v>
      </c>
      <c r="L1680" t="str">
        <f>IF(Table1[[#This Row],[Age]]&lt;30,"20-29",
IF(Table1[[#This Row],[Age]]&lt;40,"30-39",
IF(Table1[[#This Row],[Age]]&lt;50,"40-49",
IF(Table1[[#This Row],[Age]]&lt;60,"50-59","60+"))))</f>
        <v>40-49</v>
      </c>
      <c r="M1680" t="s">
        <v>16</v>
      </c>
      <c r="N1680" t="s">
        <v>19</v>
      </c>
    </row>
    <row r="1681" spans="1:14" x14ac:dyDescent="0.35">
      <c r="A1681">
        <v>1780</v>
      </c>
      <c r="B1681" t="s">
        <v>26</v>
      </c>
      <c r="C1681" s="6">
        <v>43419</v>
      </c>
      <c r="D1681">
        <f>YEAR(Table1[[#This Row],[Join Date]])</f>
        <v>2018</v>
      </c>
      <c r="E1681" s="6">
        <v>44303</v>
      </c>
      <c r="F1681">
        <f>IFERROR(YEAR(Table1[[#This Row],[Exit Date]]), " ")</f>
        <v>2021</v>
      </c>
      <c r="G1681">
        <f>IFERROR((Table1[[#This Row],[Exit Year]]-Table1[[#This Row],[Join Year]])+1," ")</f>
        <v>4</v>
      </c>
      <c r="H1681" t="s">
        <v>22</v>
      </c>
      <c r="I1681" t="s">
        <v>23</v>
      </c>
      <c r="J1681" t="s">
        <v>18</v>
      </c>
      <c r="K1681">
        <v>53</v>
      </c>
      <c r="L1681" t="str">
        <f>IF(Table1[[#This Row],[Age]]&lt;30,"20-29",
IF(Table1[[#This Row],[Age]]&lt;40,"30-39",
IF(Table1[[#This Row],[Age]]&lt;50,"40-49",
IF(Table1[[#This Row],[Age]]&lt;60,"50-59","60+"))))</f>
        <v>50-59</v>
      </c>
      <c r="M1681" t="s">
        <v>16</v>
      </c>
      <c r="N1681" t="s">
        <v>21</v>
      </c>
    </row>
    <row r="1682" spans="1:14" x14ac:dyDescent="0.35">
      <c r="A1682">
        <v>1781</v>
      </c>
      <c r="B1682" t="s">
        <v>36</v>
      </c>
      <c r="C1682" s="6">
        <v>44249</v>
      </c>
      <c r="D1682">
        <f>YEAR(Table1[[#This Row],[Join Date]])</f>
        <v>2021</v>
      </c>
      <c r="E1682" s="6" t="s">
        <v>48</v>
      </c>
      <c r="F1682" t="str">
        <f>IFERROR(YEAR(Table1[[#This Row],[Exit Date]]), " ")</f>
        <v xml:space="preserve"> </v>
      </c>
      <c r="G1682" t="str">
        <f>IFERROR((Table1[[#This Row],[Exit Year]]-Table1[[#This Row],[Join Year]])+1," ")</f>
        <v xml:space="preserve"> </v>
      </c>
      <c r="H1682" t="s">
        <v>48</v>
      </c>
      <c r="I1682" t="s">
        <v>11</v>
      </c>
      <c r="J1682" t="s">
        <v>18</v>
      </c>
      <c r="K1682">
        <v>35</v>
      </c>
      <c r="L1682" t="str">
        <f>IF(Table1[[#This Row],[Age]]&lt;30,"20-29",
IF(Table1[[#This Row],[Age]]&lt;40,"30-39",
IF(Table1[[#This Row],[Age]]&lt;50,"40-49",
IF(Table1[[#This Row],[Age]]&lt;60,"50-59","60+"))))</f>
        <v>30-39</v>
      </c>
      <c r="M1682" t="s">
        <v>20</v>
      </c>
      <c r="N1682" t="s">
        <v>37</v>
      </c>
    </row>
    <row r="1683" spans="1:14" x14ac:dyDescent="0.35">
      <c r="A1683">
        <v>1782</v>
      </c>
      <c r="B1683" t="s">
        <v>10</v>
      </c>
      <c r="C1683" s="6">
        <v>45533</v>
      </c>
      <c r="D1683">
        <f>YEAR(Table1[[#This Row],[Join Date]])</f>
        <v>2024</v>
      </c>
      <c r="E1683" s="6" t="s">
        <v>48</v>
      </c>
      <c r="F1683" t="str">
        <f>IFERROR(YEAR(Table1[[#This Row],[Exit Date]]), " ")</f>
        <v xml:space="preserve"> </v>
      </c>
      <c r="G1683" t="str">
        <f>IFERROR((Table1[[#This Row],[Exit Year]]-Table1[[#This Row],[Join Year]])+1," ")</f>
        <v xml:space="preserve"> </v>
      </c>
      <c r="H1683" t="s">
        <v>48</v>
      </c>
      <c r="I1683" t="s">
        <v>11</v>
      </c>
      <c r="J1683" t="s">
        <v>12</v>
      </c>
      <c r="K1683">
        <v>32</v>
      </c>
      <c r="L1683" t="str">
        <f>IF(Table1[[#This Row],[Age]]&lt;30,"20-29",
IF(Table1[[#This Row],[Age]]&lt;40,"30-39",
IF(Table1[[#This Row],[Age]]&lt;50,"40-49",
IF(Table1[[#This Row],[Age]]&lt;60,"50-59","60+"))))</f>
        <v>30-39</v>
      </c>
      <c r="M1683" t="s">
        <v>24</v>
      </c>
      <c r="N1683" t="s">
        <v>25</v>
      </c>
    </row>
    <row r="1684" spans="1:14" x14ac:dyDescent="0.35">
      <c r="A1684">
        <v>1783</v>
      </c>
      <c r="B1684" t="s">
        <v>36</v>
      </c>
      <c r="C1684" s="6">
        <v>44377</v>
      </c>
      <c r="D1684">
        <f>YEAR(Table1[[#This Row],[Join Date]])</f>
        <v>2021</v>
      </c>
      <c r="E1684" s="6" t="s">
        <v>48</v>
      </c>
      <c r="F1684" t="str">
        <f>IFERROR(YEAR(Table1[[#This Row],[Exit Date]]), " ")</f>
        <v xml:space="preserve"> </v>
      </c>
      <c r="G1684" t="str">
        <f>IFERROR((Table1[[#This Row],[Exit Year]]-Table1[[#This Row],[Join Year]])+1," ")</f>
        <v xml:space="preserve"> </v>
      </c>
      <c r="H1684" t="s">
        <v>48</v>
      </c>
      <c r="I1684" t="s">
        <v>11</v>
      </c>
      <c r="J1684" t="s">
        <v>12</v>
      </c>
      <c r="K1684">
        <v>46</v>
      </c>
      <c r="L1684" t="str">
        <f>IF(Table1[[#This Row],[Age]]&lt;30,"20-29",
IF(Table1[[#This Row],[Age]]&lt;40,"30-39",
IF(Table1[[#This Row],[Age]]&lt;50,"40-49",
IF(Table1[[#This Row],[Age]]&lt;60,"50-59","60+"))))</f>
        <v>40-49</v>
      </c>
      <c r="M1684" t="s">
        <v>13</v>
      </c>
      <c r="N1684" t="s">
        <v>35</v>
      </c>
    </row>
    <row r="1685" spans="1:14" x14ac:dyDescent="0.35">
      <c r="A1685">
        <v>1784</v>
      </c>
      <c r="B1685" t="s">
        <v>10</v>
      </c>
      <c r="C1685" s="6">
        <v>44088</v>
      </c>
      <c r="D1685">
        <f>YEAR(Table1[[#This Row],[Join Date]])</f>
        <v>2020</v>
      </c>
      <c r="E1685" s="6" t="s">
        <v>48</v>
      </c>
      <c r="F1685" t="str">
        <f>IFERROR(YEAR(Table1[[#This Row],[Exit Date]]), " ")</f>
        <v xml:space="preserve"> </v>
      </c>
      <c r="G1685" t="str">
        <f>IFERROR((Table1[[#This Row],[Exit Year]]-Table1[[#This Row],[Join Year]])+1," ")</f>
        <v xml:space="preserve"> </v>
      </c>
      <c r="H1685" t="s">
        <v>48</v>
      </c>
      <c r="I1685" t="s">
        <v>11</v>
      </c>
      <c r="J1685" t="s">
        <v>18</v>
      </c>
      <c r="K1685">
        <v>50</v>
      </c>
      <c r="L1685" t="str">
        <f>IF(Table1[[#This Row],[Age]]&lt;30,"20-29",
IF(Table1[[#This Row],[Age]]&lt;40,"30-39",
IF(Table1[[#This Row],[Age]]&lt;50,"40-49",
IF(Table1[[#This Row],[Age]]&lt;60,"50-59","60+"))))</f>
        <v>50-59</v>
      </c>
      <c r="M1685" t="s">
        <v>42</v>
      </c>
      <c r="N1685" t="s">
        <v>14</v>
      </c>
    </row>
    <row r="1686" spans="1:14" x14ac:dyDescent="0.35">
      <c r="A1686">
        <v>1785</v>
      </c>
      <c r="B1686" t="s">
        <v>26</v>
      </c>
      <c r="C1686" s="6">
        <v>43373</v>
      </c>
      <c r="D1686">
        <f>YEAR(Table1[[#This Row],[Join Date]])</f>
        <v>2018</v>
      </c>
      <c r="E1686" s="6">
        <v>44825</v>
      </c>
      <c r="F1686">
        <f>IFERROR(YEAR(Table1[[#This Row],[Exit Date]]), " ")</f>
        <v>2022</v>
      </c>
      <c r="G1686">
        <f>IFERROR((Table1[[#This Row],[Exit Year]]-Table1[[#This Row],[Join Year]])+1," ")</f>
        <v>5</v>
      </c>
      <c r="H1686" t="s">
        <v>27</v>
      </c>
      <c r="I1686" t="s">
        <v>23</v>
      </c>
      <c r="J1686" t="s">
        <v>18</v>
      </c>
      <c r="K1686">
        <v>63</v>
      </c>
      <c r="L1686" t="str">
        <f>IF(Table1[[#This Row],[Age]]&lt;30,"20-29",
IF(Table1[[#This Row],[Age]]&lt;40,"30-39",
IF(Table1[[#This Row],[Age]]&lt;50,"40-49",
IF(Table1[[#This Row],[Age]]&lt;60,"50-59","60+"))))</f>
        <v>60+</v>
      </c>
      <c r="M1686" t="s">
        <v>13</v>
      </c>
      <c r="N1686" t="s">
        <v>17</v>
      </c>
    </row>
    <row r="1687" spans="1:14" x14ac:dyDescent="0.35">
      <c r="A1687">
        <v>1786</v>
      </c>
      <c r="B1687" t="s">
        <v>26</v>
      </c>
      <c r="C1687" s="6">
        <v>43314</v>
      </c>
      <c r="D1687">
        <f>YEAR(Table1[[#This Row],[Join Date]])</f>
        <v>2018</v>
      </c>
      <c r="E1687" s="6" t="s">
        <v>48</v>
      </c>
      <c r="F1687" t="str">
        <f>IFERROR(YEAR(Table1[[#This Row],[Exit Date]]), " ")</f>
        <v xml:space="preserve"> </v>
      </c>
      <c r="G1687" t="str">
        <f>IFERROR((Table1[[#This Row],[Exit Year]]-Table1[[#This Row],[Join Year]])+1," ")</f>
        <v xml:space="preserve"> </v>
      </c>
      <c r="H1687" t="s">
        <v>48</v>
      </c>
      <c r="I1687" t="s">
        <v>11</v>
      </c>
      <c r="J1687" t="s">
        <v>12</v>
      </c>
      <c r="K1687">
        <v>29</v>
      </c>
      <c r="L1687" t="str">
        <f>IF(Table1[[#This Row],[Age]]&lt;30,"20-29",
IF(Table1[[#This Row],[Age]]&lt;40,"30-39",
IF(Table1[[#This Row],[Age]]&lt;50,"40-49",
IF(Table1[[#This Row],[Age]]&lt;60,"50-59","60+"))))</f>
        <v>20-29</v>
      </c>
      <c r="M1687" t="s">
        <v>13</v>
      </c>
      <c r="N1687" t="s">
        <v>19</v>
      </c>
    </row>
    <row r="1688" spans="1:14" x14ac:dyDescent="0.35">
      <c r="A1688">
        <v>1787</v>
      </c>
      <c r="B1688" t="s">
        <v>26</v>
      </c>
      <c r="C1688" s="6">
        <v>44418</v>
      </c>
      <c r="D1688">
        <f>YEAR(Table1[[#This Row],[Join Date]])</f>
        <v>2021</v>
      </c>
      <c r="E1688" s="6">
        <v>45628</v>
      </c>
      <c r="F1688">
        <f>IFERROR(YEAR(Table1[[#This Row],[Exit Date]]), " ")</f>
        <v>2024</v>
      </c>
      <c r="G1688">
        <f>IFERROR((Table1[[#This Row],[Exit Year]]-Table1[[#This Row],[Join Year]])+1," ")</f>
        <v>4</v>
      </c>
      <c r="H1688" t="s">
        <v>22</v>
      </c>
      <c r="I1688" t="s">
        <v>23</v>
      </c>
      <c r="J1688" t="s">
        <v>18</v>
      </c>
      <c r="K1688">
        <v>27</v>
      </c>
      <c r="L1688" t="str">
        <f>IF(Table1[[#This Row],[Age]]&lt;30,"20-29",
IF(Table1[[#This Row],[Age]]&lt;40,"30-39",
IF(Table1[[#This Row],[Age]]&lt;50,"40-49",
IF(Table1[[#This Row],[Age]]&lt;60,"50-59","60+"))))</f>
        <v>20-29</v>
      </c>
      <c r="M1688" t="s">
        <v>16</v>
      </c>
      <c r="N1688" t="s">
        <v>21</v>
      </c>
    </row>
    <row r="1689" spans="1:14" x14ac:dyDescent="0.35">
      <c r="A1689">
        <v>1788</v>
      </c>
      <c r="B1689" t="s">
        <v>34</v>
      </c>
      <c r="C1689" s="6">
        <v>44324</v>
      </c>
      <c r="D1689">
        <f>YEAR(Table1[[#This Row],[Join Date]])</f>
        <v>2021</v>
      </c>
      <c r="E1689" s="6">
        <v>45076</v>
      </c>
      <c r="F1689">
        <f>IFERROR(YEAR(Table1[[#This Row],[Exit Date]]), " ")</f>
        <v>2023</v>
      </c>
      <c r="G1689">
        <f>IFERROR((Table1[[#This Row],[Exit Year]]-Table1[[#This Row],[Join Year]])+1," ")</f>
        <v>3</v>
      </c>
      <c r="H1689" t="s">
        <v>40</v>
      </c>
      <c r="I1689" t="s">
        <v>23</v>
      </c>
      <c r="J1689" t="s">
        <v>18</v>
      </c>
      <c r="K1689">
        <v>31</v>
      </c>
      <c r="L1689" t="str">
        <f>IF(Table1[[#This Row],[Age]]&lt;30,"20-29",
IF(Table1[[#This Row],[Age]]&lt;40,"30-39",
IF(Table1[[#This Row],[Age]]&lt;50,"40-49",
IF(Table1[[#This Row],[Age]]&lt;60,"50-59","60+"))))</f>
        <v>30-39</v>
      </c>
      <c r="M1689" t="s">
        <v>13</v>
      </c>
      <c r="N1689" t="s">
        <v>17</v>
      </c>
    </row>
    <row r="1690" spans="1:14" x14ac:dyDescent="0.35">
      <c r="A1690">
        <v>1789</v>
      </c>
      <c r="B1690" t="s">
        <v>10</v>
      </c>
      <c r="C1690" s="6">
        <v>43513</v>
      </c>
      <c r="D1690">
        <f>YEAR(Table1[[#This Row],[Join Date]])</f>
        <v>2019</v>
      </c>
      <c r="E1690" s="6">
        <v>44923</v>
      </c>
      <c r="F1690">
        <f>IFERROR(YEAR(Table1[[#This Row],[Exit Date]]), " ")</f>
        <v>2022</v>
      </c>
      <c r="G1690">
        <f>IFERROR((Table1[[#This Row],[Exit Year]]-Table1[[#This Row],[Join Year]])+1," ")</f>
        <v>4</v>
      </c>
      <c r="H1690" t="s">
        <v>46</v>
      </c>
      <c r="I1690" t="s">
        <v>23</v>
      </c>
      <c r="J1690" t="s">
        <v>18</v>
      </c>
      <c r="K1690">
        <v>24</v>
      </c>
      <c r="L1690" t="str">
        <f>IF(Table1[[#This Row],[Age]]&lt;30,"20-29",
IF(Table1[[#This Row],[Age]]&lt;40,"30-39",
IF(Table1[[#This Row],[Age]]&lt;50,"40-49",
IF(Table1[[#This Row],[Age]]&lt;60,"50-59","60+"))))</f>
        <v>20-29</v>
      </c>
      <c r="M1690" t="s">
        <v>20</v>
      </c>
      <c r="N1690" t="s">
        <v>19</v>
      </c>
    </row>
    <row r="1691" spans="1:14" x14ac:dyDescent="0.35">
      <c r="A1691">
        <v>1790</v>
      </c>
      <c r="B1691" t="s">
        <v>36</v>
      </c>
      <c r="C1691" s="6">
        <v>44180</v>
      </c>
      <c r="D1691">
        <f>YEAR(Table1[[#This Row],[Join Date]])</f>
        <v>2020</v>
      </c>
      <c r="E1691" s="6" t="s">
        <v>48</v>
      </c>
      <c r="F1691" t="str">
        <f>IFERROR(YEAR(Table1[[#This Row],[Exit Date]]), " ")</f>
        <v xml:space="preserve"> </v>
      </c>
      <c r="G1691" t="str">
        <f>IFERROR((Table1[[#This Row],[Exit Year]]-Table1[[#This Row],[Join Year]])+1," ")</f>
        <v xml:space="preserve"> </v>
      </c>
      <c r="H1691" t="s">
        <v>48</v>
      </c>
      <c r="I1691" t="s">
        <v>11</v>
      </c>
      <c r="J1691" t="s">
        <v>12</v>
      </c>
      <c r="K1691">
        <v>37</v>
      </c>
      <c r="L1691" t="str">
        <f>IF(Table1[[#This Row],[Age]]&lt;30,"20-29",
IF(Table1[[#This Row],[Age]]&lt;40,"30-39",
IF(Table1[[#This Row],[Age]]&lt;50,"40-49",
IF(Table1[[#This Row],[Age]]&lt;60,"50-59","60+"))))</f>
        <v>30-39</v>
      </c>
      <c r="M1691" t="s">
        <v>39</v>
      </c>
      <c r="N1691" t="s">
        <v>21</v>
      </c>
    </row>
    <row r="1692" spans="1:14" x14ac:dyDescent="0.35">
      <c r="A1692">
        <v>1791</v>
      </c>
      <c r="B1692" t="s">
        <v>34</v>
      </c>
      <c r="C1692" s="6">
        <v>44099</v>
      </c>
      <c r="D1692">
        <f>YEAR(Table1[[#This Row],[Join Date]])</f>
        <v>2020</v>
      </c>
      <c r="E1692" s="6" t="s">
        <v>48</v>
      </c>
      <c r="F1692" t="str">
        <f>IFERROR(YEAR(Table1[[#This Row],[Exit Date]]), " ")</f>
        <v xml:space="preserve"> </v>
      </c>
      <c r="G1692" t="str">
        <f>IFERROR((Table1[[#This Row],[Exit Year]]-Table1[[#This Row],[Join Year]])+1," ")</f>
        <v xml:space="preserve"> </v>
      </c>
      <c r="H1692" t="s">
        <v>48</v>
      </c>
      <c r="I1692" t="s">
        <v>11</v>
      </c>
      <c r="J1692" t="s">
        <v>12</v>
      </c>
      <c r="K1692">
        <v>23</v>
      </c>
      <c r="L1692" t="str">
        <f>IF(Table1[[#This Row],[Age]]&lt;30,"20-29",
IF(Table1[[#This Row],[Age]]&lt;40,"30-39",
IF(Table1[[#This Row],[Age]]&lt;50,"40-49",
IF(Table1[[#This Row],[Age]]&lt;60,"50-59","60+"))))</f>
        <v>20-29</v>
      </c>
      <c r="M1692" t="s">
        <v>13</v>
      </c>
      <c r="N1692" t="s">
        <v>25</v>
      </c>
    </row>
    <row r="1693" spans="1:14" x14ac:dyDescent="0.35">
      <c r="A1693">
        <v>1792</v>
      </c>
      <c r="B1693" t="s">
        <v>34</v>
      </c>
      <c r="C1693" s="6">
        <v>45632</v>
      </c>
      <c r="D1693">
        <f>YEAR(Table1[[#This Row],[Join Date]])</f>
        <v>2024</v>
      </c>
      <c r="E1693" s="6" t="s">
        <v>48</v>
      </c>
      <c r="F1693" t="str">
        <f>IFERROR(YEAR(Table1[[#This Row],[Exit Date]]), " ")</f>
        <v xml:space="preserve"> </v>
      </c>
      <c r="G1693" t="str">
        <f>IFERROR((Table1[[#This Row],[Exit Year]]-Table1[[#This Row],[Join Year]])+1," ")</f>
        <v xml:space="preserve"> </v>
      </c>
      <c r="H1693" t="s">
        <v>48</v>
      </c>
      <c r="I1693" t="s">
        <v>11</v>
      </c>
      <c r="J1693" t="s">
        <v>18</v>
      </c>
      <c r="K1693">
        <v>31</v>
      </c>
      <c r="L1693" t="str">
        <f>IF(Table1[[#This Row],[Age]]&lt;30,"20-29",
IF(Table1[[#This Row],[Age]]&lt;40,"30-39",
IF(Table1[[#This Row],[Age]]&lt;50,"40-49",
IF(Table1[[#This Row],[Age]]&lt;60,"50-59","60+"))))</f>
        <v>30-39</v>
      </c>
      <c r="M1693" t="s">
        <v>16</v>
      </c>
      <c r="N1693" t="s">
        <v>28</v>
      </c>
    </row>
    <row r="1694" spans="1:14" x14ac:dyDescent="0.35">
      <c r="A1694">
        <v>1793</v>
      </c>
      <c r="B1694" t="s">
        <v>36</v>
      </c>
      <c r="C1694" s="6">
        <v>45294</v>
      </c>
      <c r="D1694">
        <f>YEAR(Table1[[#This Row],[Join Date]])</f>
        <v>2024</v>
      </c>
      <c r="E1694" s="6" t="s">
        <v>48</v>
      </c>
      <c r="F1694" t="str">
        <f>IFERROR(YEAR(Table1[[#This Row],[Exit Date]]), " ")</f>
        <v xml:space="preserve"> </v>
      </c>
      <c r="G1694" t="str">
        <f>IFERROR((Table1[[#This Row],[Exit Year]]-Table1[[#This Row],[Join Year]])+1," ")</f>
        <v xml:space="preserve"> </v>
      </c>
      <c r="H1694" t="s">
        <v>48</v>
      </c>
      <c r="I1694" t="s">
        <v>11</v>
      </c>
      <c r="J1694" t="s">
        <v>18</v>
      </c>
      <c r="K1694">
        <v>52</v>
      </c>
      <c r="L1694" t="str">
        <f>IF(Table1[[#This Row],[Age]]&lt;30,"20-29",
IF(Table1[[#This Row],[Age]]&lt;40,"30-39",
IF(Table1[[#This Row],[Age]]&lt;50,"40-49",
IF(Table1[[#This Row],[Age]]&lt;60,"50-59","60+"))))</f>
        <v>50-59</v>
      </c>
      <c r="M1694" t="s">
        <v>16</v>
      </c>
      <c r="N1694" t="s">
        <v>31</v>
      </c>
    </row>
    <row r="1695" spans="1:14" x14ac:dyDescent="0.35">
      <c r="A1695">
        <v>1794</v>
      </c>
      <c r="B1695" t="s">
        <v>26</v>
      </c>
      <c r="C1695" s="6">
        <v>44590</v>
      </c>
      <c r="D1695">
        <f>YEAR(Table1[[#This Row],[Join Date]])</f>
        <v>2022</v>
      </c>
      <c r="E1695" s="6" t="s">
        <v>48</v>
      </c>
      <c r="F1695" t="str">
        <f>IFERROR(YEAR(Table1[[#This Row],[Exit Date]]), " ")</f>
        <v xml:space="preserve"> </v>
      </c>
      <c r="G1695" t="str">
        <f>IFERROR((Table1[[#This Row],[Exit Year]]-Table1[[#This Row],[Join Year]])+1," ")</f>
        <v xml:space="preserve"> </v>
      </c>
      <c r="H1695" t="s">
        <v>48</v>
      </c>
      <c r="I1695" t="s">
        <v>11</v>
      </c>
      <c r="J1695" t="s">
        <v>18</v>
      </c>
      <c r="K1695">
        <v>25</v>
      </c>
      <c r="L1695" t="str">
        <f>IF(Table1[[#This Row],[Age]]&lt;30,"20-29",
IF(Table1[[#This Row],[Age]]&lt;40,"30-39",
IF(Table1[[#This Row],[Age]]&lt;50,"40-49",
IF(Table1[[#This Row],[Age]]&lt;60,"50-59","60+"))))</f>
        <v>20-29</v>
      </c>
      <c r="M1695" t="s">
        <v>20</v>
      </c>
      <c r="N1695" t="s">
        <v>32</v>
      </c>
    </row>
    <row r="1696" spans="1:14" x14ac:dyDescent="0.35">
      <c r="A1696">
        <v>1795</v>
      </c>
      <c r="B1696" t="s">
        <v>15</v>
      </c>
      <c r="C1696" s="6">
        <v>45215</v>
      </c>
      <c r="D1696">
        <f>YEAR(Table1[[#This Row],[Join Date]])</f>
        <v>2023</v>
      </c>
      <c r="E1696" s="6" t="s">
        <v>48</v>
      </c>
      <c r="F1696" t="str">
        <f>IFERROR(YEAR(Table1[[#This Row],[Exit Date]]), " ")</f>
        <v xml:space="preserve"> </v>
      </c>
      <c r="G1696" t="str">
        <f>IFERROR((Table1[[#This Row],[Exit Year]]-Table1[[#This Row],[Join Year]])+1," ")</f>
        <v xml:space="preserve"> </v>
      </c>
      <c r="H1696" t="s">
        <v>48</v>
      </c>
      <c r="I1696" t="s">
        <v>11</v>
      </c>
      <c r="J1696" t="s">
        <v>12</v>
      </c>
      <c r="K1696">
        <v>46</v>
      </c>
      <c r="L1696" t="str">
        <f>IF(Table1[[#This Row],[Age]]&lt;30,"20-29",
IF(Table1[[#This Row],[Age]]&lt;40,"30-39",
IF(Table1[[#This Row],[Age]]&lt;50,"40-49",
IF(Table1[[#This Row],[Age]]&lt;60,"50-59","60+"))))</f>
        <v>40-49</v>
      </c>
      <c r="M1696" t="s">
        <v>24</v>
      </c>
      <c r="N1696" t="s">
        <v>33</v>
      </c>
    </row>
    <row r="1697" spans="1:14" x14ac:dyDescent="0.35">
      <c r="A1697">
        <v>1796</v>
      </c>
      <c r="B1697" t="s">
        <v>15</v>
      </c>
      <c r="C1697" s="6">
        <v>43624</v>
      </c>
      <c r="D1697">
        <f>YEAR(Table1[[#This Row],[Join Date]])</f>
        <v>2019</v>
      </c>
      <c r="E1697" s="6">
        <v>44228</v>
      </c>
      <c r="F1697">
        <f>IFERROR(YEAR(Table1[[#This Row],[Exit Date]]), " ")</f>
        <v>2021</v>
      </c>
      <c r="G1697">
        <f>IFERROR((Table1[[#This Row],[Exit Year]]-Table1[[#This Row],[Join Year]])+1," ")</f>
        <v>3</v>
      </c>
      <c r="H1697" t="s">
        <v>41</v>
      </c>
      <c r="I1697" t="s">
        <v>23</v>
      </c>
      <c r="J1697" t="s">
        <v>12</v>
      </c>
      <c r="K1697">
        <v>24</v>
      </c>
      <c r="L1697" t="str">
        <f>IF(Table1[[#This Row],[Age]]&lt;30,"20-29",
IF(Table1[[#This Row],[Age]]&lt;40,"30-39",
IF(Table1[[#This Row],[Age]]&lt;50,"40-49",
IF(Table1[[#This Row],[Age]]&lt;60,"50-59","60+"))))</f>
        <v>20-29</v>
      </c>
      <c r="M1697" t="s">
        <v>13</v>
      </c>
      <c r="N1697" t="s">
        <v>35</v>
      </c>
    </row>
    <row r="1698" spans="1:14" x14ac:dyDescent="0.35">
      <c r="A1698">
        <v>1797</v>
      </c>
      <c r="B1698" t="s">
        <v>15</v>
      </c>
      <c r="C1698" s="6">
        <v>44514</v>
      </c>
      <c r="D1698">
        <f>YEAR(Table1[[#This Row],[Join Date]])</f>
        <v>2021</v>
      </c>
      <c r="E1698" s="6">
        <v>45529</v>
      </c>
      <c r="F1698">
        <f>IFERROR(YEAR(Table1[[#This Row],[Exit Date]]), " ")</f>
        <v>2024</v>
      </c>
      <c r="G1698">
        <f>IFERROR((Table1[[#This Row],[Exit Year]]-Table1[[#This Row],[Join Year]])+1," ")</f>
        <v>4</v>
      </c>
      <c r="H1698" t="s">
        <v>41</v>
      </c>
      <c r="I1698" t="s">
        <v>23</v>
      </c>
      <c r="J1698" t="s">
        <v>12</v>
      </c>
      <c r="K1698">
        <v>38</v>
      </c>
      <c r="L1698" t="str">
        <f>IF(Table1[[#This Row],[Age]]&lt;30,"20-29",
IF(Table1[[#This Row],[Age]]&lt;40,"30-39",
IF(Table1[[#This Row],[Age]]&lt;50,"40-49",
IF(Table1[[#This Row],[Age]]&lt;60,"50-59","60+"))))</f>
        <v>30-39</v>
      </c>
      <c r="M1698" t="s">
        <v>42</v>
      </c>
      <c r="N1698" t="s">
        <v>37</v>
      </c>
    </row>
    <row r="1699" spans="1:14" x14ac:dyDescent="0.35">
      <c r="A1699">
        <v>1798</v>
      </c>
      <c r="B1699" t="s">
        <v>29</v>
      </c>
      <c r="C1699" s="6">
        <v>43700</v>
      </c>
      <c r="D1699">
        <f>YEAR(Table1[[#This Row],[Join Date]])</f>
        <v>2019</v>
      </c>
      <c r="E1699" s="6" t="s">
        <v>48</v>
      </c>
      <c r="F1699" t="str">
        <f>IFERROR(YEAR(Table1[[#This Row],[Exit Date]]), " ")</f>
        <v xml:space="preserve"> </v>
      </c>
      <c r="G1699" t="str">
        <f>IFERROR((Table1[[#This Row],[Exit Year]]-Table1[[#This Row],[Join Year]])+1," ")</f>
        <v xml:space="preserve"> </v>
      </c>
      <c r="H1699" t="s">
        <v>48</v>
      </c>
      <c r="I1699" t="s">
        <v>11</v>
      </c>
      <c r="J1699" t="s">
        <v>18</v>
      </c>
      <c r="K1699">
        <v>49</v>
      </c>
      <c r="L1699" t="str">
        <f>IF(Table1[[#This Row],[Age]]&lt;30,"20-29",
IF(Table1[[#This Row],[Age]]&lt;40,"30-39",
IF(Table1[[#This Row],[Age]]&lt;50,"40-49",
IF(Table1[[#This Row],[Age]]&lt;60,"50-59","60+"))))</f>
        <v>40-49</v>
      </c>
      <c r="M1699" t="s">
        <v>13</v>
      </c>
      <c r="N1699" t="s">
        <v>19</v>
      </c>
    </row>
    <row r="1700" spans="1:14" x14ac:dyDescent="0.35">
      <c r="A1700">
        <v>1799</v>
      </c>
      <c r="B1700" t="s">
        <v>34</v>
      </c>
      <c r="C1700" s="6">
        <v>45540</v>
      </c>
      <c r="D1700">
        <f>YEAR(Table1[[#This Row],[Join Date]])</f>
        <v>2024</v>
      </c>
      <c r="E1700" s="6" t="s">
        <v>48</v>
      </c>
      <c r="F1700" t="str">
        <f>IFERROR(YEAR(Table1[[#This Row],[Exit Date]]), " ")</f>
        <v xml:space="preserve"> </v>
      </c>
      <c r="G1700" t="str">
        <f>IFERROR((Table1[[#This Row],[Exit Year]]-Table1[[#This Row],[Join Year]])+1," ")</f>
        <v xml:space="preserve"> </v>
      </c>
      <c r="H1700" t="s">
        <v>48</v>
      </c>
      <c r="I1700" t="s">
        <v>11</v>
      </c>
      <c r="J1700" t="s">
        <v>18</v>
      </c>
      <c r="K1700">
        <v>31</v>
      </c>
      <c r="L1700" t="str">
        <f>IF(Table1[[#This Row],[Age]]&lt;30,"20-29",
IF(Table1[[#This Row],[Age]]&lt;40,"30-39",
IF(Table1[[#This Row],[Age]]&lt;50,"40-49",
IF(Table1[[#This Row],[Age]]&lt;60,"50-59","60+"))))</f>
        <v>30-39</v>
      </c>
      <c r="M1700" t="s">
        <v>13</v>
      </c>
      <c r="N1700" t="s">
        <v>25</v>
      </c>
    </row>
    <row r="1701" spans="1:14" x14ac:dyDescent="0.35">
      <c r="A1701">
        <v>1800</v>
      </c>
      <c r="B1701" t="s">
        <v>10</v>
      </c>
      <c r="C1701" s="6">
        <v>43297</v>
      </c>
      <c r="D1701">
        <f>YEAR(Table1[[#This Row],[Join Date]])</f>
        <v>2018</v>
      </c>
      <c r="E1701" s="6">
        <v>44682</v>
      </c>
      <c r="F1701">
        <f>IFERROR(YEAR(Table1[[#This Row],[Exit Date]]), " ")</f>
        <v>2022</v>
      </c>
      <c r="G1701">
        <f>IFERROR((Table1[[#This Row],[Exit Year]]-Table1[[#This Row],[Join Year]])+1," ")</f>
        <v>5</v>
      </c>
      <c r="H1701" t="s">
        <v>40</v>
      </c>
      <c r="I1701" t="s">
        <v>23</v>
      </c>
      <c r="J1701" t="s">
        <v>12</v>
      </c>
      <c r="K1701">
        <v>51</v>
      </c>
      <c r="L1701" t="str">
        <f>IF(Table1[[#This Row],[Age]]&lt;30,"20-29",
IF(Table1[[#This Row],[Age]]&lt;40,"30-39",
IF(Table1[[#This Row],[Age]]&lt;50,"40-49",
IF(Table1[[#This Row],[Age]]&lt;60,"50-59","60+"))))</f>
        <v>50-59</v>
      </c>
      <c r="M1701" t="s">
        <v>16</v>
      </c>
      <c r="N1701" t="s">
        <v>35</v>
      </c>
    </row>
    <row r="1702" spans="1:14" x14ac:dyDescent="0.35">
      <c r="A1702">
        <v>1801</v>
      </c>
      <c r="B1702" t="s">
        <v>10</v>
      </c>
      <c r="C1702" s="6">
        <v>43407</v>
      </c>
      <c r="D1702">
        <f>YEAR(Table1[[#This Row],[Join Date]])</f>
        <v>2018</v>
      </c>
      <c r="E1702" s="6" t="s">
        <v>48</v>
      </c>
      <c r="F1702" t="str">
        <f>IFERROR(YEAR(Table1[[#This Row],[Exit Date]]), " ")</f>
        <v xml:space="preserve"> </v>
      </c>
      <c r="G1702" t="str">
        <f>IFERROR((Table1[[#This Row],[Exit Year]]-Table1[[#This Row],[Join Year]])+1," ")</f>
        <v xml:space="preserve"> </v>
      </c>
      <c r="H1702" t="s">
        <v>48</v>
      </c>
      <c r="I1702" t="s">
        <v>11</v>
      </c>
      <c r="J1702" t="s">
        <v>12</v>
      </c>
      <c r="K1702">
        <v>27</v>
      </c>
      <c r="L1702" t="str">
        <f>IF(Table1[[#This Row],[Age]]&lt;30,"20-29",
IF(Table1[[#This Row],[Age]]&lt;40,"30-39",
IF(Table1[[#This Row],[Age]]&lt;50,"40-49",
IF(Table1[[#This Row],[Age]]&lt;60,"50-59","60+"))))</f>
        <v>20-29</v>
      </c>
      <c r="M1702" t="s">
        <v>13</v>
      </c>
      <c r="N1702" t="s">
        <v>17</v>
      </c>
    </row>
    <row r="1703" spans="1:14" x14ac:dyDescent="0.35">
      <c r="A1703">
        <v>1802</v>
      </c>
      <c r="B1703" t="s">
        <v>15</v>
      </c>
      <c r="C1703" s="6">
        <v>44121</v>
      </c>
      <c r="D1703">
        <f>YEAR(Table1[[#This Row],[Join Date]])</f>
        <v>2020</v>
      </c>
      <c r="E1703" s="6" t="s">
        <v>48</v>
      </c>
      <c r="F1703" t="str">
        <f>IFERROR(YEAR(Table1[[#This Row],[Exit Date]]), " ")</f>
        <v xml:space="preserve"> </v>
      </c>
      <c r="G1703" t="str">
        <f>IFERROR((Table1[[#This Row],[Exit Year]]-Table1[[#This Row],[Join Year]])+1," ")</f>
        <v xml:space="preserve"> </v>
      </c>
      <c r="H1703" t="s">
        <v>48</v>
      </c>
      <c r="I1703" t="s">
        <v>11</v>
      </c>
      <c r="J1703" t="s">
        <v>12</v>
      </c>
      <c r="K1703">
        <v>22</v>
      </c>
      <c r="L1703" t="str">
        <f>IF(Table1[[#This Row],[Age]]&lt;30,"20-29",
IF(Table1[[#This Row],[Age]]&lt;40,"30-39",
IF(Table1[[#This Row],[Age]]&lt;50,"40-49",
IF(Table1[[#This Row],[Age]]&lt;60,"50-59","60+"))))</f>
        <v>20-29</v>
      </c>
      <c r="M1703" t="s">
        <v>20</v>
      </c>
      <c r="N1703" t="s">
        <v>19</v>
      </c>
    </row>
    <row r="1704" spans="1:14" x14ac:dyDescent="0.35">
      <c r="A1704">
        <v>1803</v>
      </c>
      <c r="B1704" t="s">
        <v>15</v>
      </c>
      <c r="C1704" s="6">
        <v>44423</v>
      </c>
      <c r="D1704">
        <f>YEAR(Table1[[#This Row],[Join Date]])</f>
        <v>2021</v>
      </c>
      <c r="E1704" s="6" t="s">
        <v>48</v>
      </c>
      <c r="F1704" t="str">
        <f>IFERROR(YEAR(Table1[[#This Row],[Exit Date]]), " ")</f>
        <v xml:space="preserve"> </v>
      </c>
      <c r="G1704" t="str">
        <f>IFERROR((Table1[[#This Row],[Exit Year]]-Table1[[#This Row],[Join Year]])+1," ")</f>
        <v xml:space="preserve"> </v>
      </c>
      <c r="H1704" t="s">
        <v>48</v>
      </c>
      <c r="I1704" t="s">
        <v>11</v>
      </c>
      <c r="J1704" t="s">
        <v>12</v>
      </c>
      <c r="K1704">
        <v>50</v>
      </c>
      <c r="L1704" t="str">
        <f>IF(Table1[[#This Row],[Age]]&lt;30,"20-29",
IF(Table1[[#This Row],[Age]]&lt;40,"30-39",
IF(Table1[[#This Row],[Age]]&lt;50,"40-49",
IF(Table1[[#This Row],[Age]]&lt;60,"50-59","60+"))))</f>
        <v>50-59</v>
      </c>
      <c r="M1704" t="s">
        <v>39</v>
      </c>
      <c r="N1704" t="s">
        <v>21</v>
      </c>
    </row>
    <row r="1705" spans="1:14" x14ac:dyDescent="0.35">
      <c r="A1705">
        <v>1804</v>
      </c>
      <c r="B1705" t="s">
        <v>15</v>
      </c>
      <c r="C1705" s="6">
        <v>45087</v>
      </c>
      <c r="D1705">
        <f>YEAR(Table1[[#This Row],[Join Date]])</f>
        <v>2023</v>
      </c>
      <c r="E1705" s="6" t="s">
        <v>48</v>
      </c>
      <c r="F1705" t="str">
        <f>IFERROR(YEAR(Table1[[#This Row],[Exit Date]]), " ")</f>
        <v xml:space="preserve"> </v>
      </c>
      <c r="G1705" t="str">
        <f>IFERROR((Table1[[#This Row],[Exit Year]]-Table1[[#This Row],[Join Year]])+1," ")</f>
        <v xml:space="preserve"> </v>
      </c>
      <c r="H1705" t="s">
        <v>48</v>
      </c>
      <c r="I1705" t="s">
        <v>11</v>
      </c>
      <c r="J1705" t="s">
        <v>12</v>
      </c>
      <c r="K1705">
        <v>24</v>
      </c>
      <c r="L1705" t="str">
        <f>IF(Table1[[#This Row],[Age]]&lt;30,"20-29",
IF(Table1[[#This Row],[Age]]&lt;40,"30-39",
IF(Table1[[#This Row],[Age]]&lt;50,"40-49",
IF(Table1[[#This Row],[Age]]&lt;60,"50-59","60+"))))</f>
        <v>20-29</v>
      </c>
      <c r="M1705" t="s">
        <v>13</v>
      </c>
      <c r="N1705" t="s">
        <v>25</v>
      </c>
    </row>
    <row r="1706" spans="1:14" x14ac:dyDescent="0.35">
      <c r="A1706">
        <v>1805</v>
      </c>
      <c r="B1706" t="s">
        <v>15</v>
      </c>
      <c r="C1706" s="6">
        <v>43479</v>
      </c>
      <c r="D1706">
        <f>YEAR(Table1[[#This Row],[Join Date]])</f>
        <v>2019</v>
      </c>
      <c r="E1706" s="6">
        <v>44449</v>
      </c>
      <c r="F1706">
        <f>IFERROR(YEAR(Table1[[#This Row],[Exit Date]]), " ")</f>
        <v>2021</v>
      </c>
      <c r="G1706">
        <f>IFERROR((Table1[[#This Row],[Exit Year]]-Table1[[#This Row],[Join Year]])+1," ")</f>
        <v>3</v>
      </c>
      <c r="H1706" t="s">
        <v>46</v>
      </c>
      <c r="I1706" t="s">
        <v>23</v>
      </c>
      <c r="J1706" t="s">
        <v>12</v>
      </c>
      <c r="K1706">
        <v>50</v>
      </c>
      <c r="L1706" t="str">
        <f>IF(Table1[[#This Row],[Age]]&lt;30,"20-29",
IF(Table1[[#This Row],[Age]]&lt;40,"30-39",
IF(Table1[[#This Row],[Age]]&lt;50,"40-49",
IF(Table1[[#This Row],[Age]]&lt;60,"50-59","60+"))))</f>
        <v>50-59</v>
      </c>
      <c r="M1706" t="s">
        <v>16</v>
      </c>
      <c r="N1706" t="s">
        <v>35</v>
      </c>
    </row>
    <row r="1707" spans="1:14" x14ac:dyDescent="0.35">
      <c r="A1707">
        <v>1806</v>
      </c>
      <c r="B1707" t="s">
        <v>26</v>
      </c>
      <c r="C1707" s="6">
        <v>44749</v>
      </c>
      <c r="D1707">
        <f>YEAR(Table1[[#This Row],[Join Date]])</f>
        <v>2022</v>
      </c>
      <c r="E1707" s="6">
        <v>44972</v>
      </c>
      <c r="F1707">
        <f>IFERROR(YEAR(Table1[[#This Row],[Exit Date]]), " ")</f>
        <v>2023</v>
      </c>
      <c r="G1707">
        <f>IFERROR((Table1[[#This Row],[Exit Year]]-Table1[[#This Row],[Join Year]])+1," ")</f>
        <v>2</v>
      </c>
      <c r="H1707" t="s">
        <v>46</v>
      </c>
      <c r="I1707" t="s">
        <v>23</v>
      </c>
      <c r="J1707" t="s">
        <v>18</v>
      </c>
      <c r="K1707">
        <v>28</v>
      </c>
      <c r="L1707" t="str">
        <f>IF(Table1[[#This Row],[Age]]&lt;30,"20-29",
IF(Table1[[#This Row],[Age]]&lt;40,"30-39",
IF(Table1[[#This Row],[Age]]&lt;50,"40-49",
IF(Table1[[#This Row],[Age]]&lt;60,"50-59","60+"))))</f>
        <v>20-29</v>
      </c>
      <c r="M1707" t="s">
        <v>16</v>
      </c>
      <c r="N1707" t="s">
        <v>14</v>
      </c>
    </row>
    <row r="1708" spans="1:14" x14ac:dyDescent="0.35">
      <c r="A1708">
        <v>1807</v>
      </c>
      <c r="B1708" t="s">
        <v>29</v>
      </c>
      <c r="C1708" s="6">
        <v>45457</v>
      </c>
      <c r="D1708">
        <f>YEAR(Table1[[#This Row],[Join Date]])</f>
        <v>2024</v>
      </c>
      <c r="E1708" s="6" t="s">
        <v>48</v>
      </c>
      <c r="F1708" t="str">
        <f>IFERROR(YEAR(Table1[[#This Row],[Exit Date]]), " ")</f>
        <v xml:space="preserve"> </v>
      </c>
      <c r="G1708" t="str">
        <f>IFERROR((Table1[[#This Row],[Exit Year]]-Table1[[#This Row],[Join Year]])+1," ")</f>
        <v xml:space="preserve"> </v>
      </c>
      <c r="H1708" t="s">
        <v>48</v>
      </c>
      <c r="I1708" t="s">
        <v>11</v>
      </c>
      <c r="J1708" t="s">
        <v>12</v>
      </c>
      <c r="K1708">
        <v>40</v>
      </c>
      <c r="L1708" t="str">
        <f>IF(Table1[[#This Row],[Age]]&lt;30,"20-29",
IF(Table1[[#This Row],[Age]]&lt;40,"30-39",
IF(Table1[[#This Row],[Age]]&lt;50,"40-49",
IF(Table1[[#This Row],[Age]]&lt;60,"50-59","60+"))))</f>
        <v>40-49</v>
      </c>
      <c r="M1708" t="s">
        <v>20</v>
      </c>
      <c r="N1708" t="s">
        <v>19</v>
      </c>
    </row>
    <row r="1709" spans="1:14" x14ac:dyDescent="0.35">
      <c r="A1709">
        <v>1808</v>
      </c>
      <c r="B1709" t="s">
        <v>10</v>
      </c>
      <c r="C1709" s="6">
        <v>43304</v>
      </c>
      <c r="D1709">
        <f>YEAR(Table1[[#This Row],[Join Date]])</f>
        <v>2018</v>
      </c>
      <c r="E1709" s="6" t="s">
        <v>48</v>
      </c>
      <c r="F1709" t="str">
        <f>IFERROR(YEAR(Table1[[#This Row],[Exit Date]]), " ")</f>
        <v xml:space="preserve"> </v>
      </c>
      <c r="G1709" t="str">
        <f>IFERROR((Table1[[#This Row],[Exit Year]]-Table1[[#This Row],[Join Year]])+1," ")</f>
        <v xml:space="preserve"> </v>
      </c>
      <c r="H1709" t="s">
        <v>48</v>
      </c>
      <c r="I1709" t="s">
        <v>11</v>
      </c>
      <c r="J1709" t="s">
        <v>18</v>
      </c>
      <c r="K1709">
        <v>32</v>
      </c>
      <c r="L1709" t="str">
        <f>IF(Table1[[#This Row],[Age]]&lt;30,"20-29",
IF(Table1[[#This Row],[Age]]&lt;40,"30-39",
IF(Table1[[#This Row],[Age]]&lt;50,"40-49",
IF(Table1[[#This Row],[Age]]&lt;60,"50-59","60+"))))</f>
        <v>30-39</v>
      </c>
      <c r="M1709" t="s">
        <v>24</v>
      </c>
      <c r="N1709" t="s">
        <v>21</v>
      </c>
    </row>
    <row r="1710" spans="1:14" x14ac:dyDescent="0.35">
      <c r="A1710">
        <v>1809</v>
      </c>
      <c r="B1710" t="s">
        <v>15</v>
      </c>
      <c r="C1710" s="6">
        <v>44987</v>
      </c>
      <c r="D1710">
        <f>YEAR(Table1[[#This Row],[Join Date]])</f>
        <v>2023</v>
      </c>
      <c r="E1710" s="6" t="s">
        <v>48</v>
      </c>
      <c r="F1710" t="str">
        <f>IFERROR(YEAR(Table1[[#This Row],[Exit Date]]), " ")</f>
        <v xml:space="preserve"> </v>
      </c>
      <c r="G1710" t="str">
        <f>IFERROR((Table1[[#This Row],[Exit Year]]-Table1[[#This Row],[Join Year]])+1," ")</f>
        <v xml:space="preserve"> </v>
      </c>
      <c r="H1710" t="s">
        <v>48</v>
      </c>
      <c r="I1710" t="s">
        <v>11</v>
      </c>
      <c r="J1710" t="s">
        <v>18</v>
      </c>
      <c r="K1710">
        <v>50</v>
      </c>
      <c r="L1710" t="str">
        <f>IF(Table1[[#This Row],[Age]]&lt;30,"20-29",
IF(Table1[[#This Row],[Age]]&lt;40,"30-39",
IF(Table1[[#This Row],[Age]]&lt;50,"40-49",
IF(Table1[[#This Row],[Age]]&lt;60,"50-59","60+"))))</f>
        <v>50-59</v>
      </c>
      <c r="M1710" t="s">
        <v>13</v>
      </c>
      <c r="N1710" t="s">
        <v>25</v>
      </c>
    </row>
    <row r="1711" spans="1:14" x14ac:dyDescent="0.35">
      <c r="A1711">
        <v>1810</v>
      </c>
      <c r="B1711" t="s">
        <v>34</v>
      </c>
      <c r="C1711" s="6">
        <v>45326</v>
      </c>
      <c r="D1711">
        <f>YEAR(Table1[[#This Row],[Join Date]])</f>
        <v>2024</v>
      </c>
      <c r="E1711" s="6" t="s">
        <v>48</v>
      </c>
      <c r="F1711" t="str">
        <f>IFERROR(YEAR(Table1[[#This Row],[Exit Date]]), " ")</f>
        <v xml:space="preserve"> </v>
      </c>
      <c r="G1711" t="str">
        <f>IFERROR((Table1[[#This Row],[Exit Year]]-Table1[[#This Row],[Join Year]])+1," ")</f>
        <v xml:space="preserve"> </v>
      </c>
      <c r="H1711" t="s">
        <v>48</v>
      </c>
      <c r="I1711" t="s">
        <v>11</v>
      </c>
      <c r="J1711" t="s">
        <v>12</v>
      </c>
      <c r="K1711">
        <v>24</v>
      </c>
      <c r="L1711" t="str">
        <f>IF(Table1[[#This Row],[Age]]&lt;30,"20-29",
IF(Table1[[#This Row],[Age]]&lt;40,"30-39",
IF(Table1[[#This Row],[Age]]&lt;50,"40-49",
IF(Table1[[#This Row],[Age]]&lt;60,"50-59","60+"))))</f>
        <v>20-29</v>
      </c>
      <c r="M1711" t="s">
        <v>30</v>
      </c>
      <c r="N1711" t="s">
        <v>35</v>
      </c>
    </row>
    <row r="1712" spans="1:14" x14ac:dyDescent="0.35">
      <c r="A1712">
        <v>1811</v>
      </c>
      <c r="B1712" t="s">
        <v>36</v>
      </c>
      <c r="C1712" s="6">
        <v>45474</v>
      </c>
      <c r="D1712">
        <f>YEAR(Table1[[#This Row],[Join Date]])</f>
        <v>2024</v>
      </c>
      <c r="E1712" s="6" t="s">
        <v>48</v>
      </c>
      <c r="F1712" t="str">
        <f>IFERROR(YEAR(Table1[[#This Row],[Exit Date]]), " ")</f>
        <v xml:space="preserve"> </v>
      </c>
      <c r="G1712" t="str">
        <f>IFERROR((Table1[[#This Row],[Exit Year]]-Table1[[#This Row],[Join Year]])+1," ")</f>
        <v xml:space="preserve"> </v>
      </c>
      <c r="H1712" t="s">
        <v>48</v>
      </c>
      <c r="I1712" t="s">
        <v>11</v>
      </c>
      <c r="J1712" t="s">
        <v>18</v>
      </c>
      <c r="K1712">
        <v>36</v>
      </c>
      <c r="L1712" t="str">
        <f>IF(Table1[[#This Row],[Age]]&lt;30,"20-29",
IF(Table1[[#This Row],[Age]]&lt;40,"30-39",
IF(Table1[[#This Row],[Age]]&lt;50,"40-49",
IF(Table1[[#This Row],[Age]]&lt;60,"50-59","60+"))))</f>
        <v>30-39</v>
      </c>
      <c r="M1712" t="s">
        <v>13</v>
      </c>
      <c r="N1712" t="s">
        <v>17</v>
      </c>
    </row>
    <row r="1713" spans="1:14" x14ac:dyDescent="0.35">
      <c r="A1713">
        <v>1812</v>
      </c>
      <c r="B1713" t="s">
        <v>29</v>
      </c>
      <c r="C1713" s="6">
        <v>44227</v>
      </c>
      <c r="D1713">
        <f>YEAR(Table1[[#This Row],[Join Date]])</f>
        <v>2021</v>
      </c>
      <c r="E1713" s="6">
        <v>45322</v>
      </c>
      <c r="F1713">
        <f>IFERROR(YEAR(Table1[[#This Row],[Exit Date]]), " ")</f>
        <v>2024</v>
      </c>
      <c r="G1713">
        <f>IFERROR((Table1[[#This Row],[Exit Year]]-Table1[[#This Row],[Join Year]])+1," ")</f>
        <v>4</v>
      </c>
      <c r="H1713" t="s">
        <v>46</v>
      </c>
      <c r="I1713" t="s">
        <v>23</v>
      </c>
      <c r="J1713" t="s">
        <v>12</v>
      </c>
      <c r="K1713">
        <v>49</v>
      </c>
      <c r="L1713" t="str">
        <f>IF(Table1[[#This Row],[Age]]&lt;30,"20-29",
IF(Table1[[#This Row],[Age]]&lt;40,"30-39",
IF(Table1[[#This Row],[Age]]&lt;50,"40-49",
IF(Table1[[#This Row],[Age]]&lt;60,"50-59","60+"))))</f>
        <v>40-49</v>
      </c>
      <c r="M1713" t="s">
        <v>13</v>
      </c>
      <c r="N1713" t="s">
        <v>19</v>
      </c>
    </row>
    <row r="1714" spans="1:14" x14ac:dyDescent="0.35">
      <c r="A1714">
        <v>1813</v>
      </c>
      <c r="B1714" t="s">
        <v>10</v>
      </c>
      <c r="C1714" s="6">
        <v>43446</v>
      </c>
      <c r="D1714">
        <f>YEAR(Table1[[#This Row],[Join Date]])</f>
        <v>2018</v>
      </c>
      <c r="E1714" s="6">
        <v>43936</v>
      </c>
      <c r="F1714">
        <f>IFERROR(YEAR(Table1[[#This Row],[Exit Date]]), " ")</f>
        <v>2020</v>
      </c>
      <c r="G1714">
        <f>IFERROR((Table1[[#This Row],[Exit Year]]-Table1[[#This Row],[Join Year]])+1," ")</f>
        <v>3</v>
      </c>
      <c r="H1714" t="s">
        <v>38</v>
      </c>
      <c r="I1714" t="s">
        <v>23</v>
      </c>
      <c r="J1714" t="s">
        <v>12</v>
      </c>
      <c r="K1714">
        <v>43</v>
      </c>
      <c r="L1714" t="str">
        <f>IF(Table1[[#This Row],[Age]]&lt;30,"20-29",
IF(Table1[[#This Row],[Age]]&lt;40,"30-39",
IF(Table1[[#This Row],[Age]]&lt;50,"40-49",
IF(Table1[[#This Row],[Age]]&lt;60,"50-59","60+"))))</f>
        <v>40-49</v>
      </c>
      <c r="M1714" t="s">
        <v>16</v>
      </c>
      <c r="N1714" t="s">
        <v>21</v>
      </c>
    </row>
    <row r="1715" spans="1:14" x14ac:dyDescent="0.35">
      <c r="A1715">
        <v>1814</v>
      </c>
      <c r="B1715" t="s">
        <v>15</v>
      </c>
      <c r="C1715" s="6">
        <v>45314</v>
      </c>
      <c r="D1715">
        <f>YEAR(Table1[[#This Row],[Join Date]])</f>
        <v>2024</v>
      </c>
      <c r="E1715" s="6" t="s">
        <v>48</v>
      </c>
      <c r="F1715" t="str">
        <f>IFERROR(YEAR(Table1[[#This Row],[Exit Date]]), " ")</f>
        <v xml:space="preserve"> </v>
      </c>
      <c r="G1715" t="str">
        <f>IFERROR((Table1[[#This Row],[Exit Year]]-Table1[[#This Row],[Join Year]])+1," ")</f>
        <v xml:space="preserve"> </v>
      </c>
      <c r="H1715" t="s">
        <v>48</v>
      </c>
      <c r="I1715" t="s">
        <v>11</v>
      </c>
      <c r="J1715" t="s">
        <v>18</v>
      </c>
      <c r="K1715">
        <v>40</v>
      </c>
      <c r="L1715" t="str">
        <f>IF(Table1[[#This Row],[Age]]&lt;30,"20-29",
IF(Table1[[#This Row],[Age]]&lt;40,"30-39",
IF(Table1[[#This Row],[Age]]&lt;50,"40-49",
IF(Table1[[#This Row],[Age]]&lt;60,"50-59","60+"))))</f>
        <v>40-49</v>
      </c>
      <c r="M1715" t="s">
        <v>13</v>
      </c>
      <c r="N1715" t="s">
        <v>25</v>
      </c>
    </row>
    <row r="1716" spans="1:14" x14ac:dyDescent="0.35">
      <c r="A1716">
        <v>1815</v>
      </c>
      <c r="B1716" t="s">
        <v>15</v>
      </c>
      <c r="C1716" s="6">
        <v>43123</v>
      </c>
      <c r="D1716">
        <f>YEAR(Table1[[#This Row],[Join Date]])</f>
        <v>2018</v>
      </c>
      <c r="E1716" s="6" t="s">
        <v>48</v>
      </c>
      <c r="F1716" t="str">
        <f>IFERROR(YEAR(Table1[[#This Row],[Exit Date]]), " ")</f>
        <v xml:space="preserve"> </v>
      </c>
      <c r="G1716" t="str">
        <f>IFERROR((Table1[[#This Row],[Exit Year]]-Table1[[#This Row],[Join Year]])+1," ")</f>
        <v xml:space="preserve"> </v>
      </c>
      <c r="H1716" t="s">
        <v>48</v>
      </c>
      <c r="I1716" t="s">
        <v>11</v>
      </c>
      <c r="J1716" t="s">
        <v>12</v>
      </c>
      <c r="K1716">
        <v>42</v>
      </c>
      <c r="L1716" t="str">
        <f>IF(Table1[[#This Row],[Age]]&lt;30,"20-29",
IF(Table1[[#This Row],[Age]]&lt;40,"30-39",
IF(Table1[[#This Row],[Age]]&lt;50,"40-49",
IF(Table1[[#This Row],[Age]]&lt;60,"50-59","60+"))))</f>
        <v>40-49</v>
      </c>
      <c r="M1716" t="s">
        <v>20</v>
      </c>
      <c r="N1716" t="s">
        <v>35</v>
      </c>
    </row>
    <row r="1717" spans="1:14" x14ac:dyDescent="0.35">
      <c r="A1717">
        <v>1816</v>
      </c>
      <c r="B1717" t="s">
        <v>10</v>
      </c>
      <c r="C1717" s="6">
        <v>43717</v>
      </c>
      <c r="D1717">
        <f>YEAR(Table1[[#This Row],[Join Date]])</f>
        <v>2019</v>
      </c>
      <c r="E1717" s="6">
        <v>44677</v>
      </c>
      <c r="F1717">
        <f>IFERROR(YEAR(Table1[[#This Row],[Exit Date]]), " ")</f>
        <v>2022</v>
      </c>
      <c r="G1717">
        <f>IFERROR((Table1[[#This Row],[Exit Year]]-Table1[[#This Row],[Join Year]])+1," ")</f>
        <v>4</v>
      </c>
      <c r="H1717" t="s">
        <v>40</v>
      </c>
      <c r="I1717" t="s">
        <v>23</v>
      </c>
      <c r="J1717" t="s">
        <v>18</v>
      </c>
      <c r="K1717">
        <v>35</v>
      </c>
      <c r="L1717" t="str">
        <f>IF(Table1[[#This Row],[Age]]&lt;30,"20-29",
IF(Table1[[#This Row],[Age]]&lt;40,"30-39",
IF(Table1[[#This Row],[Age]]&lt;50,"40-49",
IF(Table1[[#This Row],[Age]]&lt;60,"50-59","60+"))))</f>
        <v>30-39</v>
      </c>
      <c r="M1717" t="s">
        <v>44</v>
      </c>
      <c r="N1717" t="s">
        <v>14</v>
      </c>
    </row>
    <row r="1718" spans="1:14" x14ac:dyDescent="0.35">
      <c r="A1718">
        <v>1817</v>
      </c>
      <c r="B1718" t="s">
        <v>29</v>
      </c>
      <c r="C1718" s="6">
        <v>43534</v>
      </c>
      <c r="D1718">
        <f>YEAR(Table1[[#This Row],[Join Date]])</f>
        <v>2019</v>
      </c>
      <c r="E1718" s="6">
        <v>44117</v>
      </c>
      <c r="F1718">
        <f>IFERROR(YEAR(Table1[[#This Row],[Exit Date]]), " ")</f>
        <v>2020</v>
      </c>
      <c r="G1718">
        <f>IFERROR((Table1[[#This Row],[Exit Year]]-Table1[[#This Row],[Join Year]])+1," ")</f>
        <v>2</v>
      </c>
      <c r="H1718" t="s">
        <v>38</v>
      </c>
      <c r="I1718" t="s">
        <v>23</v>
      </c>
      <c r="J1718" t="s">
        <v>18</v>
      </c>
      <c r="K1718">
        <v>31</v>
      </c>
      <c r="L1718" t="str">
        <f>IF(Table1[[#This Row],[Age]]&lt;30,"20-29",
IF(Table1[[#This Row],[Age]]&lt;40,"30-39",
IF(Table1[[#This Row],[Age]]&lt;50,"40-49",
IF(Table1[[#This Row],[Age]]&lt;60,"50-59","60+"))))</f>
        <v>30-39</v>
      </c>
      <c r="M1718" t="s">
        <v>13</v>
      </c>
      <c r="N1718" t="s">
        <v>19</v>
      </c>
    </row>
    <row r="1719" spans="1:14" x14ac:dyDescent="0.35">
      <c r="A1719">
        <v>1818</v>
      </c>
      <c r="B1719" t="s">
        <v>36</v>
      </c>
      <c r="C1719" s="6">
        <v>44619</v>
      </c>
      <c r="D1719">
        <f>YEAR(Table1[[#This Row],[Join Date]])</f>
        <v>2022</v>
      </c>
      <c r="E1719" s="6" t="s">
        <v>48</v>
      </c>
      <c r="F1719" t="str">
        <f>IFERROR(YEAR(Table1[[#This Row],[Exit Date]]), " ")</f>
        <v xml:space="preserve"> </v>
      </c>
      <c r="G1719" t="str">
        <f>IFERROR((Table1[[#This Row],[Exit Year]]-Table1[[#This Row],[Join Year]])+1," ")</f>
        <v xml:space="preserve"> </v>
      </c>
      <c r="H1719" t="s">
        <v>48</v>
      </c>
      <c r="I1719" t="s">
        <v>11</v>
      </c>
      <c r="J1719" t="s">
        <v>12</v>
      </c>
      <c r="K1719">
        <v>51</v>
      </c>
      <c r="L1719" t="str">
        <f>IF(Table1[[#This Row],[Age]]&lt;30,"20-29",
IF(Table1[[#This Row],[Age]]&lt;40,"30-39",
IF(Table1[[#This Row],[Age]]&lt;50,"40-49",
IF(Table1[[#This Row],[Age]]&lt;60,"50-59","60+"))))</f>
        <v>50-59</v>
      </c>
      <c r="M1719" t="s">
        <v>16</v>
      </c>
      <c r="N1719" t="s">
        <v>21</v>
      </c>
    </row>
    <row r="1720" spans="1:14" x14ac:dyDescent="0.35">
      <c r="A1720">
        <v>1819</v>
      </c>
      <c r="B1720" t="s">
        <v>10</v>
      </c>
      <c r="C1720" s="6">
        <v>45485</v>
      </c>
      <c r="D1720">
        <f>YEAR(Table1[[#This Row],[Join Date]])</f>
        <v>2024</v>
      </c>
      <c r="E1720" s="6" t="s">
        <v>48</v>
      </c>
      <c r="F1720" t="str">
        <f>IFERROR(YEAR(Table1[[#This Row],[Exit Date]]), " ")</f>
        <v xml:space="preserve"> </v>
      </c>
      <c r="G1720" t="str">
        <f>IFERROR((Table1[[#This Row],[Exit Year]]-Table1[[#This Row],[Join Year]])+1," ")</f>
        <v xml:space="preserve"> </v>
      </c>
      <c r="H1720" t="s">
        <v>48</v>
      </c>
      <c r="I1720" t="s">
        <v>11</v>
      </c>
      <c r="J1720" t="s">
        <v>12</v>
      </c>
      <c r="K1720">
        <v>48</v>
      </c>
      <c r="L1720" t="str">
        <f>IF(Table1[[#This Row],[Age]]&lt;30,"20-29",
IF(Table1[[#This Row],[Age]]&lt;40,"30-39",
IF(Table1[[#This Row],[Age]]&lt;50,"40-49",
IF(Table1[[#This Row],[Age]]&lt;60,"50-59","60+"))))</f>
        <v>40-49</v>
      </c>
      <c r="M1720" t="s">
        <v>16</v>
      </c>
      <c r="N1720" t="s">
        <v>37</v>
      </c>
    </row>
    <row r="1721" spans="1:14" x14ac:dyDescent="0.35">
      <c r="A1721">
        <v>1820</v>
      </c>
      <c r="B1721" t="s">
        <v>29</v>
      </c>
      <c r="C1721" s="6">
        <v>43588</v>
      </c>
      <c r="D1721">
        <f>YEAR(Table1[[#This Row],[Join Date]])</f>
        <v>2019</v>
      </c>
      <c r="E1721" s="6">
        <v>44896</v>
      </c>
      <c r="F1721">
        <f>IFERROR(YEAR(Table1[[#This Row],[Exit Date]]), " ")</f>
        <v>2022</v>
      </c>
      <c r="G1721">
        <f>IFERROR((Table1[[#This Row],[Exit Year]]-Table1[[#This Row],[Join Year]])+1," ")</f>
        <v>4</v>
      </c>
      <c r="H1721" t="s">
        <v>41</v>
      </c>
      <c r="I1721" t="s">
        <v>23</v>
      </c>
      <c r="J1721" t="s">
        <v>12</v>
      </c>
      <c r="K1721">
        <v>41</v>
      </c>
      <c r="L1721" t="str">
        <f>IF(Table1[[#This Row],[Age]]&lt;30,"20-29",
IF(Table1[[#This Row],[Age]]&lt;40,"30-39",
IF(Table1[[#This Row],[Age]]&lt;50,"40-49",
IF(Table1[[#This Row],[Age]]&lt;60,"50-59","60+"))))</f>
        <v>40-49</v>
      </c>
      <c r="M1721" t="s">
        <v>20</v>
      </c>
      <c r="N1721" t="s">
        <v>25</v>
      </c>
    </row>
    <row r="1722" spans="1:14" x14ac:dyDescent="0.35">
      <c r="A1722">
        <v>1821</v>
      </c>
      <c r="B1722" t="s">
        <v>36</v>
      </c>
      <c r="C1722" s="6">
        <v>44250</v>
      </c>
      <c r="D1722">
        <f>YEAR(Table1[[#This Row],[Join Date]])</f>
        <v>2021</v>
      </c>
      <c r="E1722" s="6">
        <v>45392</v>
      </c>
      <c r="F1722">
        <f>IFERROR(YEAR(Table1[[#This Row],[Exit Date]]), " ")</f>
        <v>2024</v>
      </c>
      <c r="G1722">
        <f>IFERROR((Table1[[#This Row],[Exit Year]]-Table1[[#This Row],[Join Year]])+1," ")</f>
        <v>4</v>
      </c>
      <c r="H1722" t="s">
        <v>46</v>
      </c>
      <c r="I1722" t="s">
        <v>23</v>
      </c>
      <c r="J1722" t="s">
        <v>12</v>
      </c>
      <c r="K1722">
        <v>35</v>
      </c>
      <c r="L1722" t="str">
        <f>IF(Table1[[#This Row],[Age]]&lt;30,"20-29",
IF(Table1[[#This Row],[Age]]&lt;40,"30-39",
IF(Table1[[#This Row],[Age]]&lt;50,"40-49",
IF(Table1[[#This Row],[Age]]&lt;60,"50-59","60+"))))</f>
        <v>30-39</v>
      </c>
      <c r="M1722" t="s">
        <v>24</v>
      </c>
      <c r="N1722" t="s">
        <v>35</v>
      </c>
    </row>
    <row r="1723" spans="1:14" x14ac:dyDescent="0.35">
      <c r="A1723">
        <v>1822</v>
      </c>
      <c r="B1723" t="s">
        <v>26</v>
      </c>
      <c r="C1723" s="6">
        <v>45244</v>
      </c>
      <c r="D1723">
        <f>YEAR(Table1[[#This Row],[Join Date]])</f>
        <v>2023</v>
      </c>
      <c r="E1723" s="6">
        <v>45446</v>
      </c>
      <c r="F1723">
        <f>IFERROR(YEAR(Table1[[#This Row],[Exit Date]]), " ")</f>
        <v>2024</v>
      </c>
      <c r="G1723">
        <f>IFERROR((Table1[[#This Row],[Exit Year]]-Table1[[#This Row],[Join Year]])+1," ")</f>
        <v>2</v>
      </c>
      <c r="H1723" t="s">
        <v>40</v>
      </c>
      <c r="I1723" t="s">
        <v>23</v>
      </c>
      <c r="J1723" t="s">
        <v>12</v>
      </c>
      <c r="K1723">
        <v>24</v>
      </c>
      <c r="L1723" t="str">
        <f>IF(Table1[[#This Row],[Age]]&lt;30,"20-29",
IF(Table1[[#This Row],[Age]]&lt;40,"30-39",
IF(Table1[[#This Row],[Age]]&lt;50,"40-49",
IF(Table1[[#This Row],[Age]]&lt;60,"50-59","60+"))))</f>
        <v>20-29</v>
      </c>
      <c r="M1723" t="s">
        <v>13</v>
      </c>
      <c r="N1723" t="s">
        <v>14</v>
      </c>
    </row>
    <row r="1724" spans="1:14" x14ac:dyDescent="0.35">
      <c r="A1724">
        <v>1823</v>
      </c>
      <c r="B1724" t="s">
        <v>15</v>
      </c>
      <c r="C1724" s="6">
        <v>45256</v>
      </c>
      <c r="D1724">
        <f>YEAR(Table1[[#This Row],[Join Date]])</f>
        <v>2023</v>
      </c>
      <c r="E1724" s="6" t="s">
        <v>48</v>
      </c>
      <c r="F1724" t="str">
        <f>IFERROR(YEAR(Table1[[#This Row],[Exit Date]]), " ")</f>
        <v xml:space="preserve"> </v>
      </c>
      <c r="G1724" t="str">
        <f>IFERROR((Table1[[#This Row],[Exit Year]]-Table1[[#This Row],[Join Year]])+1," ")</f>
        <v xml:space="preserve"> </v>
      </c>
      <c r="H1724" t="s">
        <v>48</v>
      </c>
      <c r="I1724" t="s">
        <v>11</v>
      </c>
      <c r="J1724" t="s">
        <v>18</v>
      </c>
      <c r="K1724">
        <v>41</v>
      </c>
      <c r="L1724" t="str">
        <f>IF(Table1[[#This Row],[Age]]&lt;30,"20-29",
IF(Table1[[#This Row],[Age]]&lt;40,"30-39",
IF(Table1[[#This Row],[Age]]&lt;50,"40-49",
IF(Table1[[#This Row],[Age]]&lt;60,"50-59","60+"))))</f>
        <v>40-49</v>
      </c>
      <c r="M1724" t="s">
        <v>30</v>
      </c>
      <c r="N1724" t="s">
        <v>17</v>
      </c>
    </row>
    <row r="1725" spans="1:14" x14ac:dyDescent="0.35">
      <c r="A1725">
        <v>1824</v>
      </c>
      <c r="B1725" t="s">
        <v>26</v>
      </c>
      <c r="C1725" s="6">
        <v>45465</v>
      </c>
      <c r="D1725">
        <f>YEAR(Table1[[#This Row],[Join Date]])</f>
        <v>2024</v>
      </c>
      <c r="E1725" s="6" t="s">
        <v>48</v>
      </c>
      <c r="F1725" t="str">
        <f>IFERROR(YEAR(Table1[[#This Row],[Exit Date]]), " ")</f>
        <v xml:space="preserve"> </v>
      </c>
      <c r="G1725" t="str">
        <f>IFERROR((Table1[[#This Row],[Exit Year]]-Table1[[#This Row],[Join Year]])+1," ")</f>
        <v xml:space="preserve"> </v>
      </c>
      <c r="H1725" t="s">
        <v>48</v>
      </c>
      <c r="I1725" t="s">
        <v>11</v>
      </c>
      <c r="J1725" t="s">
        <v>18</v>
      </c>
      <c r="K1725">
        <v>40</v>
      </c>
      <c r="L1725" t="str">
        <f>IF(Table1[[#This Row],[Age]]&lt;30,"20-29",
IF(Table1[[#This Row],[Age]]&lt;40,"30-39",
IF(Table1[[#This Row],[Age]]&lt;50,"40-49",
IF(Table1[[#This Row],[Age]]&lt;60,"50-59","60+"))))</f>
        <v>40-49</v>
      </c>
      <c r="M1725" t="s">
        <v>13</v>
      </c>
      <c r="N1725" t="s">
        <v>19</v>
      </c>
    </row>
    <row r="1726" spans="1:14" x14ac:dyDescent="0.35">
      <c r="A1726">
        <v>1825</v>
      </c>
      <c r="B1726" t="s">
        <v>10</v>
      </c>
      <c r="C1726" s="6">
        <v>43597</v>
      </c>
      <c r="D1726">
        <f>YEAR(Table1[[#This Row],[Join Date]])</f>
        <v>2019</v>
      </c>
      <c r="E1726" s="6" t="s">
        <v>48</v>
      </c>
      <c r="F1726" t="str">
        <f>IFERROR(YEAR(Table1[[#This Row],[Exit Date]]), " ")</f>
        <v xml:space="preserve"> </v>
      </c>
      <c r="G1726" t="str">
        <f>IFERROR((Table1[[#This Row],[Exit Year]]-Table1[[#This Row],[Join Year]])+1," ")</f>
        <v xml:space="preserve"> </v>
      </c>
      <c r="H1726" t="s">
        <v>48</v>
      </c>
      <c r="I1726" t="s">
        <v>11</v>
      </c>
      <c r="J1726" t="s">
        <v>18</v>
      </c>
      <c r="K1726">
        <v>48</v>
      </c>
      <c r="L1726" t="str">
        <f>IF(Table1[[#This Row],[Age]]&lt;30,"20-29",
IF(Table1[[#This Row],[Age]]&lt;40,"30-39",
IF(Table1[[#This Row],[Age]]&lt;50,"40-49",
IF(Table1[[#This Row],[Age]]&lt;60,"50-59","60+"))))</f>
        <v>40-49</v>
      </c>
      <c r="M1726" t="s">
        <v>13</v>
      </c>
      <c r="N1726" t="s">
        <v>21</v>
      </c>
    </row>
    <row r="1727" spans="1:14" x14ac:dyDescent="0.35">
      <c r="A1727">
        <v>1826</v>
      </c>
      <c r="B1727" t="s">
        <v>15</v>
      </c>
      <c r="C1727" s="6">
        <v>44866</v>
      </c>
      <c r="D1727">
        <f>YEAR(Table1[[#This Row],[Join Date]])</f>
        <v>2022</v>
      </c>
      <c r="E1727" s="6" t="s">
        <v>48</v>
      </c>
      <c r="F1727" t="str">
        <f>IFERROR(YEAR(Table1[[#This Row],[Exit Date]]), " ")</f>
        <v xml:space="preserve"> </v>
      </c>
      <c r="G1727" t="str">
        <f>IFERROR((Table1[[#This Row],[Exit Year]]-Table1[[#This Row],[Join Year]])+1," ")</f>
        <v xml:space="preserve"> </v>
      </c>
      <c r="H1727" t="s">
        <v>48</v>
      </c>
      <c r="I1727" t="s">
        <v>11</v>
      </c>
      <c r="J1727" t="s">
        <v>18</v>
      </c>
      <c r="K1727">
        <v>52</v>
      </c>
      <c r="L1727" t="str">
        <f>IF(Table1[[#This Row],[Age]]&lt;30,"20-29",
IF(Table1[[#This Row],[Age]]&lt;40,"30-39",
IF(Table1[[#This Row],[Age]]&lt;50,"40-49",
IF(Table1[[#This Row],[Age]]&lt;60,"50-59","60+"))))</f>
        <v>50-59</v>
      </c>
      <c r="M1727" t="s">
        <v>16</v>
      </c>
      <c r="N1727" t="s">
        <v>17</v>
      </c>
    </row>
    <row r="1728" spans="1:14" x14ac:dyDescent="0.35">
      <c r="A1728">
        <v>1827</v>
      </c>
      <c r="B1728" t="s">
        <v>34</v>
      </c>
      <c r="C1728" s="6">
        <v>44006</v>
      </c>
      <c r="D1728">
        <f>YEAR(Table1[[#This Row],[Join Date]])</f>
        <v>2020</v>
      </c>
      <c r="E1728" s="6">
        <v>44463</v>
      </c>
      <c r="F1728">
        <f>IFERROR(YEAR(Table1[[#This Row],[Exit Date]]), " ")</f>
        <v>2021</v>
      </c>
      <c r="G1728">
        <f>IFERROR((Table1[[#This Row],[Exit Year]]-Table1[[#This Row],[Join Year]])+1," ")</f>
        <v>2</v>
      </c>
      <c r="H1728" t="s">
        <v>46</v>
      </c>
      <c r="I1728" t="s">
        <v>23</v>
      </c>
      <c r="J1728" t="s">
        <v>18</v>
      </c>
      <c r="K1728">
        <v>33</v>
      </c>
      <c r="L1728" t="str">
        <f>IF(Table1[[#This Row],[Age]]&lt;30,"20-29",
IF(Table1[[#This Row],[Age]]&lt;40,"30-39",
IF(Table1[[#This Row],[Age]]&lt;50,"40-49",
IF(Table1[[#This Row],[Age]]&lt;60,"50-59","60+"))))</f>
        <v>30-39</v>
      </c>
      <c r="M1728" t="s">
        <v>13</v>
      </c>
      <c r="N1728" t="s">
        <v>19</v>
      </c>
    </row>
    <row r="1729" spans="1:14" x14ac:dyDescent="0.35">
      <c r="A1729">
        <v>1828</v>
      </c>
      <c r="B1729" t="s">
        <v>26</v>
      </c>
      <c r="C1729" s="6">
        <v>45095</v>
      </c>
      <c r="D1729">
        <f>YEAR(Table1[[#This Row],[Join Date]])</f>
        <v>2023</v>
      </c>
      <c r="E1729" s="6" t="s">
        <v>48</v>
      </c>
      <c r="F1729" t="str">
        <f>IFERROR(YEAR(Table1[[#This Row],[Exit Date]]), " ")</f>
        <v xml:space="preserve"> </v>
      </c>
      <c r="G1729" t="str">
        <f>IFERROR((Table1[[#This Row],[Exit Year]]-Table1[[#This Row],[Join Year]])+1," ")</f>
        <v xml:space="preserve"> </v>
      </c>
      <c r="H1729" t="s">
        <v>48</v>
      </c>
      <c r="I1729" t="s">
        <v>11</v>
      </c>
      <c r="J1729" t="s">
        <v>12</v>
      </c>
      <c r="K1729">
        <v>51</v>
      </c>
      <c r="L1729" t="str">
        <f>IF(Table1[[#This Row],[Age]]&lt;30,"20-29",
IF(Table1[[#This Row],[Age]]&lt;40,"30-39",
IF(Table1[[#This Row],[Age]]&lt;50,"40-49",
IF(Table1[[#This Row],[Age]]&lt;60,"50-59","60+"))))</f>
        <v>50-59</v>
      </c>
      <c r="M1729" t="s">
        <v>20</v>
      </c>
      <c r="N1729" t="s">
        <v>21</v>
      </c>
    </row>
    <row r="1730" spans="1:14" x14ac:dyDescent="0.35">
      <c r="A1730">
        <v>1829</v>
      </c>
      <c r="B1730" t="s">
        <v>10</v>
      </c>
      <c r="C1730" s="6">
        <v>44360</v>
      </c>
      <c r="D1730">
        <f>YEAR(Table1[[#This Row],[Join Date]])</f>
        <v>2021</v>
      </c>
      <c r="E1730" s="6">
        <v>44755</v>
      </c>
      <c r="F1730">
        <f>IFERROR(YEAR(Table1[[#This Row],[Exit Date]]), " ")</f>
        <v>2022</v>
      </c>
      <c r="G1730">
        <f>IFERROR((Table1[[#This Row],[Exit Year]]-Table1[[#This Row],[Join Year]])+1," ")</f>
        <v>2</v>
      </c>
      <c r="H1730" t="s">
        <v>38</v>
      </c>
      <c r="I1730" t="s">
        <v>23</v>
      </c>
      <c r="J1730" t="s">
        <v>18</v>
      </c>
      <c r="K1730">
        <v>46</v>
      </c>
      <c r="L1730" t="str">
        <f>IF(Table1[[#This Row],[Age]]&lt;30,"20-29",
IF(Table1[[#This Row],[Age]]&lt;40,"30-39",
IF(Table1[[#This Row],[Age]]&lt;50,"40-49",
IF(Table1[[#This Row],[Age]]&lt;60,"50-59","60+"))))</f>
        <v>40-49</v>
      </c>
      <c r="M1730" t="s">
        <v>39</v>
      </c>
      <c r="N1730" t="s">
        <v>25</v>
      </c>
    </row>
    <row r="1731" spans="1:14" x14ac:dyDescent="0.35">
      <c r="A1731">
        <v>1830</v>
      </c>
      <c r="B1731" t="s">
        <v>26</v>
      </c>
      <c r="C1731" s="6">
        <v>43419</v>
      </c>
      <c r="D1731">
        <f>YEAR(Table1[[#This Row],[Join Date]])</f>
        <v>2018</v>
      </c>
      <c r="E1731" s="6">
        <v>44303</v>
      </c>
      <c r="F1731">
        <f>IFERROR(YEAR(Table1[[#This Row],[Exit Date]]), " ")</f>
        <v>2021</v>
      </c>
      <c r="G1731">
        <f>IFERROR((Table1[[#This Row],[Exit Year]]-Table1[[#This Row],[Join Year]])+1," ")</f>
        <v>4</v>
      </c>
      <c r="H1731" t="s">
        <v>22</v>
      </c>
      <c r="I1731" t="s">
        <v>23</v>
      </c>
      <c r="J1731" t="s">
        <v>18</v>
      </c>
      <c r="K1731">
        <v>53</v>
      </c>
      <c r="L1731" t="str">
        <f>IF(Table1[[#This Row],[Age]]&lt;30,"20-29",
IF(Table1[[#This Row],[Age]]&lt;40,"30-39",
IF(Table1[[#This Row],[Age]]&lt;50,"40-49",
IF(Table1[[#This Row],[Age]]&lt;60,"50-59","60+"))))</f>
        <v>50-59</v>
      </c>
      <c r="M1731" t="s">
        <v>13</v>
      </c>
      <c r="N1731" t="s">
        <v>28</v>
      </c>
    </row>
    <row r="1732" spans="1:14" x14ac:dyDescent="0.35">
      <c r="A1732">
        <v>1831</v>
      </c>
      <c r="B1732" t="s">
        <v>36</v>
      </c>
      <c r="C1732" s="6">
        <v>44249</v>
      </c>
      <c r="D1732">
        <f>YEAR(Table1[[#This Row],[Join Date]])</f>
        <v>2021</v>
      </c>
      <c r="E1732" s="6" t="s">
        <v>48</v>
      </c>
      <c r="F1732" t="str">
        <f>IFERROR(YEAR(Table1[[#This Row],[Exit Date]]), " ")</f>
        <v xml:space="preserve"> </v>
      </c>
      <c r="G1732" t="str">
        <f>IFERROR((Table1[[#This Row],[Exit Year]]-Table1[[#This Row],[Join Year]])+1," ")</f>
        <v xml:space="preserve"> </v>
      </c>
      <c r="H1732" t="s">
        <v>48</v>
      </c>
      <c r="I1732" t="s">
        <v>11</v>
      </c>
      <c r="J1732" t="s">
        <v>18</v>
      </c>
      <c r="K1732">
        <v>35</v>
      </c>
      <c r="L1732" t="str">
        <f>IF(Table1[[#This Row],[Age]]&lt;30,"20-29",
IF(Table1[[#This Row],[Age]]&lt;40,"30-39",
IF(Table1[[#This Row],[Age]]&lt;50,"40-49",
IF(Table1[[#This Row],[Age]]&lt;60,"50-59","60+"))))</f>
        <v>30-39</v>
      </c>
      <c r="M1732" t="s">
        <v>16</v>
      </c>
      <c r="N1732" t="s">
        <v>31</v>
      </c>
    </row>
    <row r="1733" spans="1:14" x14ac:dyDescent="0.35">
      <c r="A1733">
        <v>1832</v>
      </c>
      <c r="B1733" t="s">
        <v>10</v>
      </c>
      <c r="C1733" s="6">
        <v>45533</v>
      </c>
      <c r="D1733">
        <f>YEAR(Table1[[#This Row],[Join Date]])</f>
        <v>2024</v>
      </c>
      <c r="E1733" s="6" t="s">
        <v>48</v>
      </c>
      <c r="F1733" t="str">
        <f>IFERROR(YEAR(Table1[[#This Row],[Exit Date]]), " ")</f>
        <v xml:space="preserve"> </v>
      </c>
      <c r="G1733" t="str">
        <f>IFERROR((Table1[[#This Row],[Exit Year]]-Table1[[#This Row],[Join Year]])+1," ")</f>
        <v xml:space="preserve"> </v>
      </c>
      <c r="H1733" t="s">
        <v>48</v>
      </c>
      <c r="I1733" t="s">
        <v>11</v>
      </c>
      <c r="J1733" t="s">
        <v>12</v>
      </c>
      <c r="K1733">
        <v>32</v>
      </c>
      <c r="L1733" t="str">
        <f>IF(Table1[[#This Row],[Age]]&lt;30,"20-29",
IF(Table1[[#This Row],[Age]]&lt;40,"30-39",
IF(Table1[[#This Row],[Age]]&lt;50,"40-49",
IF(Table1[[#This Row],[Age]]&lt;60,"50-59","60+"))))</f>
        <v>30-39</v>
      </c>
      <c r="M1733" t="s">
        <v>16</v>
      </c>
      <c r="N1733" t="s">
        <v>32</v>
      </c>
    </row>
    <row r="1734" spans="1:14" x14ac:dyDescent="0.35">
      <c r="A1734">
        <v>1833</v>
      </c>
      <c r="B1734" t="s">
        <v>36</v>
      </c>
      <c r="C1734" s="6">
        <v>44377</v>
      </c>
      <c r="D1734">
        <f>YEAR(Table1[[#This Row],[Join Date]])</f>
        <v>2021</v>
      </c>
      <c r="E1734" s="6" t="s">
        <v>48</v>
      </c>
      <c r="F1734" t="str">
        <f>IFERROR(YEAR(Table1[[#This Row],[Exit Date]]), " ")</f>
        <v xml:space="preserve"> </v>
      </c>
      <c r="G1734" t="str">
        <f>IFERROR((Table1[[#This Row],[Exit Year]]-Table1[[#This Row],[Join Year]])+1," ")</f>
        <v xml:space="preserve"> </v>
      </c>
      <c r="H1734" t="s">
        <v>48</v>
      </c>
      <c r="I1734" t="s">
        <v>11</v>
      </c>
      <c r="J1734" t="s">
        <v>12</v>
      </c>
      <c r="K1734">
        <v>46</v>
      </c>
      <c r="L1734" t="str">
        <f>IF(Table1[[#This Row],[Age]]&lt;30,"20-29",
IF(Table1[[#This Row],[Age]]&lt;40,"30-39",
IF(Table1[[#This Row],[Age]]&lt;50,"40-49",
IF(Table1[[#This Row],[Age]]&lt;60,"50-59","60+"))))</f>
        <v>40-49</v>
      </c>
      <c r="M1734" t="s">
        <v>20</v>
      </c>
      <c r="N1734" t="s">
        <v>33</v>
      </c>
    </row>
    <row r="1735" spans="1:14" x14ac:dyDescent="0.35">
      <c r="A1735">
        <v>1834</v>
      </c>
      <c r="B1735" t="s">
        <v>10</v>
      </c>
      <c r="C1735" s="6">
        <v>44088</v>
      </c>
      <c r="D1735">
        <f>YEAR(Table1[[#This Row],[Join Date]])</f>
        <v>2020</v>
      </c>
      <c r="E1735" s="6" t="s">
        <v>48</v>
      </c>
      <c r="F1735" t="str">
        <f>IFERROR(YEAR(Table1[[#This Row],[Exit Date]]), " ")</f>
        <v xml:space="preserve"> </v>
      </c>
      <c r="G1735" t="str">
        <f>IFERROR((Table1[[#This Row],[Exit Year]]-Table1[[#This Row],[Join Year]])+1," ")</f>
        <v xml:space="preserve"> </v>
      </c>
      <c r="H1735" t="s">
        <v>48</v>
      </c>
      <c r="I1735" t="s">
        <v>11</v>
      </c>
      <c r="J1735" t="s">
        <v>18</v>
      </c>
      <c r="K1735">
        <v>50</v>
      </c>
      <c r="L1735" t="str">
        <f>IF(Table1[[#This Row],[Age]]&lt;30,"20-29",
IF(Table1[[#This Row],[Age]]&lt;40,"30-39",
IF(Table1[[#This Row],[Age]]&lt;50,"40-49",
IF(Table1[[#This Row],[Age]]&lt;60,"50-59","60+"))))</f>
        <v>50-59</v>
      </c>
      <c r="M1735" t="s">
        <v>24</v>
      </c>
      <c r="N1735" t="s">
        <v>35</v>
      </c>
    </row>
    <row r="1736" spans="1:14" x14ac:dyDescent="0.35">
      <c r="A1736">
        <v>1835</v>
      </c>
      <c r="B1736" t="s">
        <v>26</v>
      </c>
      <c r="C1736" s="6">
        <v>43373</v>
      </c>
      <c r="D1736">
        <f>YEAR(Table1[[#This Row],[Join Date]])</f>
        <v>2018</v>
      </c>
      <c r="E1736" s="6">
        <v>44825</v>
      </c>
      <c r="F1736">
        <f>IFERROR(YEAR(Table1[[#This Row],[Exit Date]]), " ")</f>
        <v>2022</v>
      </c>
      <c r="G1736">
        <f>IFERROR((Table1[[#This Row],[Exit Year]]-Table1[[#This Row],[Join Year]])+1," ")</f>
        <v>5</v>
      </c>
      <c r="H1736" t="s">
        <v>27</v>
      </c>
      <c r="I1736" t="s">
        <v>23</v>
      </c>
      <c r="J1736" t="s">
        <v>12</v>
      </c>
      <c r="K1736">
        <v>65</v>
      </c>
      <c r="L1736" t="str">
        <f>IF(Table1[[#This Row],[Age]]&lt;30,"20-29",
IF(Table1[[#This Row],[Age]]&lt;40,"30-39",
IF(Table1[[#This Row],[Age]]&lt;50,"40-49",
IF(Table1[[#This Row],[Age]]&lt;60,"50-59","60+"))))</f>
        <v>60+</v>
      </c>
      <c r="M1736" t="s">
        <v>13</v>
      </c>
      <c r="N1736" t="s">
        <v>37</v>
      </c>
    </row>
    <row r="1737" spans="1:14" x14ac:dyDescent="0.35">
      <c r="A1737">
        <v>1836</v>
      </c>
      <c r="B1737" t="s">
        <v>26</v>
      </c>
      <c r="C1737" s="6">
        <v>43314</v>
      </c>
      <c r="D1737">
        <f>YEAR(Table1[[#This Row],[Join Date]])</f>
        <v>2018</v>
      </c>
      <c r="E1737" s="6" t="s">
        <v>48</v>
      </c>
      <c r="F1737" t="str">
        <f>IFERROR(YEAR(Table1[[#This Row],[Exit Date]]), " ")</f>
        <v xml:space="preserve"> </v>
      </c>
      <c r="G1737" t="str">
        <f>IFERROR((Table1[[#This Row],[Exit Year]]-Table1[[#This Row],[Join Year]])+1," ")</f>
        <v xml:space="preserve"> </v>
      </c>
      <c r="H1737" t="s">
        <v>48</v>
      </c>
      <c r="I1737" t="s">
        <v>11</v>
      </c>
      <c r="J1737" t="s">
        <v>12</v>
      </c>
      <c r="K1737">
        <v>29</v>
      </c>
      <c r="L1737" t="str">
        <f>IF(Table1[[#This Row],[Age]]&lt;30,"20-29",
IF(Table1[[#This Row],[Age]]&lt;40,"30-39",
IF(Table1[[#This Row],[Age]]&lt;50,"40-49",
IF(Table1[[#This Row],[Age]]&lt;60,"50-59","60+"))))</f>
        <v>20-29</v>
      </c>
      <c r="M1737" t="s">
        <v>30</v>
      </c>
      <c r="N1737" t="s">
        <v>19</v>
      </c>
    </row>
    <row r="1738" spans="1:14" x14ac:dyDescent="0.35">
      <c r="A1738">
        <v>1837</v>
      </c>
      <c r="B1738" t="s">
        <v>26</v>
      </c>
      <c r="C1738" s="6">
        <v>44418</v>
      </c>
      <c r="D1738">
        <f>YEAR(Table1[[#This Row],[Join Date]])</f>
        <v>2021</v>
      </c>
      <c r="E1738" s="6">
        <v>45628</v>
      </c>
      <c r="F1738">
        <f>IFERROR(YEAR(Table1[[#This Row],[Exit Date]]), " ")</f>
        <v>2024</v>
      </c>
      <c r="G1738">
        <f>IFERROR((Table1[[#This Row],[Exit Year]]-Table1[[#This Row],[Join Year]])+1," ")</f>
        <v>4</v>
      </c>
      <c r="H1738" t="s">
        <v>46</v>
      </c>
      <c r="I1738" t="s">
        <v>23</v>
      </c>
      <c r="J1738" t="s">
        <v>18</v>
      </c>
      <c r="K1738">
        <v>27</v>
      </c>
      <c r="L1738" t="str">
        <f>IF(Table1[[#This Row],[Age]]&lt;30,"20-29",
IF(Table1[[#This Row],[Age]]&lt;40,"30-39",
IF(Table1[[#This Row],[Age]]&lt;50,"40-49",
IF(Table1[[#This Row],[Age]]&lt;60,"50-59","60+"))))</f>
        <v>20-29</v>
      </c>
      <c r="M1738" t="s">
        <v>13</v>
      </c>
      <c r="N1738" t="s">
        <v>25</v>
      </c>
    </row>
    <row r="1739" spans="1:14" x14ac:dyDescent="0.35">
      <c r="A1739">
        <v>1838</v>
      </c>
      <c r="B1739" t="s">
        <v>34</v>
      </c>
      <c r="C1739" s="6">
        <v>44324</v>
      </c>
      <c r="D1739">
        <f>YEAR(Table1[[#This Row],[Join Date]])</f>
        <v>2021</v>
      </c>
      <c r="E1739" s="6">
        <v>45076</v>
      </c>
      <c r="F1739">
        <f>IFERROR(YEAR(Table1[[#This Row],[Exit Date]]), " ")</f>
        <v>2023</v>
      </c>
      <c r="G1739">
        <f>IFERROR((Table1[[#This Row],[Exit Year]]-Table1[[#This Row],[Join Year]])+1," ")</f>
        <v>3</v>
      </c>
      <c r="H1739" t="s">
        <v>40</v>
      </c>
      <c r="I1739" t="s">
        <v>23</v>
      </c>
      <c r="J1739" t="s">
        <v>12</v>
      </c>
      <c r="K1739">
        <v>31</v>
      </c>
      <c r="L1739" t="str">
        <f>IF(Table1[[#This Row],[Age]]&lt;30,"20-29",
IF(Table1[[#This Row],[Age]]&lt;40,"30-39",
IF(Table1[[#This Row],[Age]]&lt;50,"40-49",
IF(Table1[[#This Row],[Age]]&lt;60,"50-59","60+"))))</f>
        <v>30-39</v>
      </c>
      <c r="M1739" t="s">
        <v>13</v>
      </c>
      <c r="N1739" t="s">
        <v>35</v>
      </c>
    </row>
    <row r="1740" spans="1:14" x14ac:dyDescent="0.35">
      <c r="A1740">
        <v>1839</v>
      </c>
      <c r="B1740" t="s">
        <v>10</v>
      </c>
      <c r="C1740" s="6">
        <v>43513</v>
      </c>
      <c r="D1740">
        <f>YEAR(Table1[[#This Row],[Join Date]])</f>
        <v>2019</v>
      </c>
      <c r="E1740" s="6">
        <v>44923</v>
      </c>
      <c r="F1740">
        <f>IFERROR(YEAR(Table1[[#This Row],[Exit Date]]), " ")</f>
        <v>2022</v>
      </c>
      <c r="G1740">
        <f>IFERROR((Table1[[#This Row],[Exit Year]]-Table1[[#This Row],[Join Year]])+1," ")</f>
        <v>4</v>
      </c>
      <c r="H1740" t="s">
        <v>38</v>
      </c>
      <c r="I1740" t="s">
        <v>23</v>
      </c>
      <c r="J1740" t="s">
        <v>12</v>
      </c>
      <c r="K1740">
        <v>24</v>
      </c>
      <c r="L1740" t="str">
        <f>IF(Table1[[#This Row],[Age]]&lt;30,"20-29",
IF(Table1[[#This Row],[Age]]&lt;40,"30-39",
IF(Table1[[#This Row],[Age]]&lt;50,"40-49",
IF(Table1[[#This Row],[Age]]&lt;60,"50-59","60+"))))</f>
        <v>20-29</v>
      </c>
      <c r="M1740" t="s">
        <v>16</v>
      </c>
      <c r="N1740" t="s">
        <v>17</v>
      </c>
    </row>
    <row r="1741" spans="1:14" x14ac:dyDescent="0.35">
      <c r="A1741">
        <v>1840</v>
      </c>
      <c r="B1741" t="s">
        <v>36</v>
      </c>
      <c r="C1741" s="6">
        <v>44180</v>
      </c>
      <c r="D1741">
        <f>YEAR(Table1[[#This Row],[Join Date]])</f>
        <v>2020</v>
      </c>
      <c r="E1741" s="6" t="s">
        <v>48</v>
      </c>
      <c r="F1741" t="str">
        <f>IFERROR(YEAR(Table1[[#This Row],[Exit Date]]), " ")</f>
        <v xml:space="preserve"> </v>
      </c>
      <c r="G1741" t="str">
        <f>IFERROR((Table1[[#This Row],[Exit Year]]-Table1[[#This Row],[Join Year]])+1," ")</f>
        <v xml:space="preserve"> </v>
      </c>
      <c r="H1741" t="s">
        <v>48</v>
      </c>
      <c r="I1741" t="s">
        <v>11</v>
      </c>
      <c r="J1741" t="s">
        <v>12</v>
      </c>
      <c r="K1741">
        <v>37</v>
      </c>
      <c r="L1741" t="str">
        <f>IF(Table1[[#This Row],[Age]]&lt;30,"20-29",
IF(Table1[[#This Row],[Age]]&lt;40,"30-39",
IF(Table1[[#This Row],[Age]]&lt;50,"40-49",
IF(Table1[[#This Row],[Age]]&lt;60,"50-59","60+"))))</f>
        <v>30-39</v>
      </c>
      <c r="M1741" t="s">
        <v>13</v>
      </c>
      <c r="N1741" t="s">
        <v>19</v>
      </c>
    </row>
    <row r="1742" spans="1:14" x14ac:dyDescent="0.35">
      <c r="A1742">
        <v>1841</v>
      </c>
      <c r="B1742" t="s">
        <v>34</v>
      </c>
      <c r="C1742" s="6">
        <v>44099</v>
      </c>
      <c r="D1742">
        <f>YEAR(Table1[[#This Row],[Join Date]])</f>
        <v>2020</v>
      </c>
      <c r="E1742" s="6" t="s">
        <v>48</v>
      </c>
      <c r="F1742" t="str">
        <f>IFERROR(YEAR(Table1[[#This Row],[Exit Date]]), " ")</f>
        <v xml:space="preserve"> </v>
      </c>
      <c r="G1742" t="str">
        <f>IFERROR((Table1[[#This Row],[Exit Year]]-Table1[[#This Row],[Join Year]])+1," ")</f>
        <v xml:space="preserve"> </v>
      </c>
      <c r="H1742" t="s">
        <v>48</v>
      </c>
      <c r="I1742" t="s">
        <v>11</v>
      </c>
      <c r="J1742" t="s">
        <v>18</v>
      </c>
      <c r="K1742">
        <v>23</v>
      </c>
      <c r="L1742" t="str">
        <f>IF(Table1[[#This Row],[Age]]&lt;30,"20-29",
IF(Table1[[#This Row],[Age]]&lt;40,"30-39",
IF(Table1[[#This Row],[Age]]&lt;50,"40-49",
IF(Table1[[#This Row],[Age]]&lt;60,"50-59","60+"))))</f>
        <v>20-29</v>
      </c>
      <c r="M1742" t="s">
        <v>20</v>
      </c>
      <c r="N1742" t="s">
        <v>21</v>
      </c>
    </row>
    <row r="1743" spans="1:14" x14ac:dyDescent="0.35">
      <c r="A1743">
        <v>1842</v>
      </c>
      <c r="B1743" t="s">
        <v>34</v>
      </c>
      <c r="C1743" s="6">
        <v>45632</v>
      </c>
      <c r="D1743">
        <f>YEAR(Table1[[#This Row],[Join Date]])</f>
        <v>2024</v>
      </c>
      <c r="E1743" s="6" t="s">
        <v>48</v>
      </c>
      <c r="F1743" t="str">
        <f>IFERROR(YEAR(Table1[[#This Row],[Exit Date]]), " ")</f>
        <v xml:space="preserve"> </v>
      </c>
      <c r="G1743" t="str">
        <f>IFERROR((Table1[[#This Row],[Exit Year]]-Table1[[#This Row],[Join Year]])+1," ")</f>
        <v xml:space="preserve"> </v>
      </c>
      <c r="H1743" t="s">
        <v>48</v>
      </c>
      <c r="I1743" t="s">
        <v>11</v>
      </c>
      <c r="J1743" t="s">
        <v>12</v>
      </c>
      <c r="K1743">
        <v>31</v>
      </c>
      <c r="L1743" t="str">
        <f>IF(Table1[[#This Row],[Age]]&lt;30,"20-29",
IF(Table1[[#This Row],[Age]]&lt;40,"30-39",
IF(Table1[[#This Row],[Age]]&lt;50,"40-49",
IF(Table1[[#This Row],[Age]]&lt;60,"50-59","60+"))))</f>
        <v>30-39</v>
      </c>
      <c r="M1743" t="s">
        <v>44</v>
      </c>
      <c r="N1743" t="s">
        <v>25</v>
      </c>
    </row>
    <row r="1744" spans="1:14" x14ac:dyDescent="0.35">
      <c r="A1744">
        <v>1843</v>
      </c>
      <c r="B1744" t="s">
        <v>36</v>
      </c>
      <c r="C1744" s="6">
        <v>45294</v>
      </c>
      <c r="D1744">
        <f>YEAR(Table1[[#This Row],[Join Date]])</f>
        <v>2024</v>
      </c>
      <c r="E1744" s="6" t="s">
        <v>48</v>
      </c>
      <c r="F1744" t="str">
        <f>IFERROR(YEAR(Table1[[#This Row],[Exit Date]]), " ")</f>
        <v xml:space="preserve"> </v>
      </c>
      <c r="G1744" t="str">
        <f>IFERROR((Table1[[#This Row],[Exit Year]]-Table1[[#This Row],[Join Year]])+1," ")</f>
        <v xml:space="preserve"> </v>
      </c>
      <c r="H1744" t="s">
        <v>48</v>
      </c>
      <c r="I1744" t="s">
        <v>11</v>
      </c>
      <c r="J1744" t="s">
        <v>18</v>
      </c>
      <c r="K1744">
        <v>52</v>
      </c>
      <c r="L1744" t="str">
        <f>IF(Table1[[#This Row],[Age]]&lt;30,"20-29",
IF(Table1[[#This Row],[Age]]&lt;40,"30-39",
IF(Table1[[#This Row],[Age]]&lt;50,"40-49",
IF(Table1[[#This Row],[Age]]&lt;60,"50-59","60+"))))</f>
        <v>50-59</v>
      </c>
      <c r="M1744" t="s">
        <v>13</v>
      </c>
      <c r="N1744" t="s">
        <v>35</v>
      </c>
    </row>
    <row r="1745" spans="1:14" x14ac:dyDescent="0.35">
      <c r="A1745">
        <v>1844</v>
      </c>
      <c r="B1745" t="s">
        <v>26</v>
      </c>
      <c r="C1745" s="6">
        <v>44590</v>
      </c>
      <c r="D1745">
        <f>YEAR(Table1[[#This Row],[Join Date]])</f>
        <v>2022</v>
      </c>
      <c r="E1745" s="6" t="s">
        <v>48</v>
      </c>
      <c r="F1745" t="str">
        <f>IFERROR(YEAR(Table1[[#This Row],[Exit Date]]), " ")</f>
        <v xml:space="preserve"> </v>
      </c>
      <c r="G1745" t="str">
        <f>IFERROR((Table1[[#This Row],[Exit Year]]-Table1[[#This Row],[Join Year]])+1," ")</f>
        <v xml:space="preserve"> </v>
      </c>
      <c r="H1745" t="s">
        <v>48</v>
      </c>
      <c r="I1745" t="s">
        <v>11</v>
      </c>
      <c r="J1745" t="s">
        <v>18</v>
      </c>
      <c r="K1745">
        <v>25</v>
      </c>
      <c r="L1745" t="str">
        <f>IF(Table1[[#This Row],[Age]]&lt;30,"20-29",
IF(Table1[[#This Row],[Age]]&lt;40,"30-39",
IF(Table1[[#This Row],[Age]]&lt;50,"40-49",
IF(Table1[[#This Row],[Age]]&lt;60,"50-59","60+"))))</f>
        <v>20-29</v>
      </c>
      <c r="M1745" t="s">
        <v>16</v>
      </c>
      <c r="N1745" t="s">
        <v>14</v>
      </c>
    </row>
    <row r="1746" spans="1:14" x14ac:dyDescent="0.35">
      <c r="A1746">
        <v>1845</v>
      </c>
      <c r="B1746" t="s">
        <v>15</v>
      </c>
      <c r="C1746" s="6">
        <v>45215</v>
      </c>
      <c r="D1746">
        <f>YEAR(Table1[[#This Row],[Join Date]])</f>
        <v>2023</v>
      </c>
      <c r="E1746" s="6" t="s">
        <v>48</v>
      </c>
      <c r="F1746" t="str">
        <f>IFERROR(YEAR(Table1[[#This Row],[Exit Date]]), " ")</f>
        <v xml:space="preserve"> </v>
      </c>
      <c r="G1746" t="str">
        <f>IFERROR((Table1[[#This Row],[Exit Year]]-Table1[[#This Row],[Join Year]])+1," ")</f>
        <v xml:space="preserve"> </v>
      </c>
      <c r="H1746" t="s">
        <v>48</v>
      </c>
      <c r="I1746" t="s">
        <v>11</v>
      </c>
      <c r="J1746" t="s">
        <v>18</v>
      </c>
      <c r="K1746">
        <v>46</v>
      </c>
      <c r="L1746" t="str">
        <f>IF(Table1[[#This Row],[Age]]&lt;30,"20-29",
IF(Table1[[#This Row],[Age]]&lt;40,"30-39",
IF(Table1[[#This Row],[Age]]&lt;50,"40-49",
IF(Table1[[#This Row],[Age]]&lt;60,"50-59","60+"))))</f>
        <v>40-49</v>
      </c>
      <c r="M1746" t="s">
        <v>16</v>
      </c>
      <c r="N1746" t="s">
        <v>19</v>
      </c>
    </row>
    <row r="1747" spans="1:14" x14ac:dyDescent="0.35">
      <c r="A1747">
        <v>1846</v>
      </c>
      <c r="B1747" t="s">
        <v>15</v>
      </c>
      <c r="C1747" s="6">
        <v>43624</v>
      </c>
      <c r="D1747">
        <f>YEAR(Table1[[#This Row],[Join Date]])</f>
        <v>2019</v>
      </c>
      <c r="E1747" s="6">
        <v>44228</v>
      </c>
      <c r="F1747">
        <f>IFERROR(YEAR(Table1[[#This Row],[Exit Date]]), " ")</f>
        <v>2021</v>
      </c>
      <c r="G1747">
        <f>IFERROR((Table1[[#This Row],[Exit Year]]-Table1[[#This Row],[Join Year]])+1," ")</f>
        <v>3</v>
      </c>
      <c r="H1747" t="s">
        <v>41</v>
      </c>
      <c r="I1747" t="s">
        <v>23</v>
      </c>
      <c r="J1747" t="s">
        <v>12</v>
      </c>
      <c r="K1747">
        <v>24</v>
      </c>
      <c r="L1747" t="str">
        <f>IF(Table1[[#This Row],[Age]]&lt;30,"20-29",
IF(Table1[[#This Row],[Age]]&lt;40,"30-39",
IF(Table1[[#This Row],[Age]]&lt;50,"40-49",
IF(Table1[[#This Row],[Age]]&lt;60,"50-59","60+"))))</f>
        <v>20-29</v>
      </c>
      <c r="M1747" t="s">
        <v>20</v>
      </c>
      <c r="N1747" t="s">
        <v>21</v>
      </c>
    </row>
    <row r="1748" spans="1:14" x14ac:dyDescent="0.35">
      <c r="A1748">
        <v>1847</v>
      </c>
      <c r="B1748" t="s">
        <v>15</v>
      </c>
      <c r="C1748" s="6">
        <v>44514</v>
      </c>
      <c r="D1748">
        <f>YEAR(Table1[[#This Row],[Join Date]])</f>
        <v>2021</v>
      </c>
      <c r="E1748" s="6">
        <v>45529</v>
      </c>
      <c r="F1748">
        <f>IFERROR(YEAR(Table1[[#This Row],[Exit Date]]), " ")</f>
        <v>2024</v>
      </c>
      <c r="G1748">
        <f>IFERROR((Table1[[#This Row],[Exit Year]]-Table1[[#This Row],[Join Year]])+1," ")</f>
        <v>4</v>
      </c>
      <c r="H1748" t="s">
        <v>41</v>
      </c>
      <c r="I1748" t="s">
        <v>23</v>
      </c>
      <c r="J1748" t="s">
        <v>12</v>
      </c>
      <c r="K1748">
        <v>38</v>
      </c>
      <c r="L1748" t="str">
        <f>IF(Table1[[#This Row],[Age]]&lt;30,"20-29",
IF(Table1[[#This Row],[Age]]&lt;40,"30-39",
IF(Table1[[#This Row],[Age]]&lt;50,"40-49",
IF(Table1[[#This Row],[Age]]&lt;60,"50-59","60+"))))</f>
        <v>30-39</v>
      </c>
      <c r="M1748" t="s">
        <v>24</v>
      </c>
      <c r="N1748" t="s">
        <v>25</v>
      </c>
    </row>
    <row r="1749" spans="1:14" x14ac:dyDescent="0.35">
      <c r="A1749">
        <v>1848</v>
      </c>
      <c r="B1749" t="s">
        <v>29</v>
      </c>
      <c r="C1749" s="6">
        <v>43700</v>
      </c>
      <c r="D1749">
        <f>YEAR(Table1[[#This Row],[Join Date]])</f>
        <v>2019</v>
      </c>
      <c r="E1749" s="6" t="s">
        <v>48</v>
      </c>
      <c r="F1749" t="str">
        <f>IFERROR(YEAR(Table1[[#This Row],[Exit Date]]), " ")</f>
        <v xml:space="preserve"> </v>
      </c>
      <c r="G1749" t="str">
        <f>IFERROR((Table1[[#This Row],[Exit Year]]-Table1[[#This Row],[Join Year]])+1," ")</f>
        <v xml:space="preserve"> </v>
      </c>
      <c r="H1749" t="s">
        <v>48</v>
      </c>
      <c r="I1749" t="s">
        <v>11</v>
      </c>
      <c r="J1749" t="s">
        <v>18</v>
      </c>
      <c r="K1749">
        <v>49</v>
      </c>
      <c r="L1749" t="str">
        <f>IF(Table1[[#This Row],[Age]]&lt;30,"20-29",
IF(Table1[[#This Row],[Age]]&lt;40,"30-39",
IF(Table1[[#This Row],[Age]]&lt;50,"40-49",
IF(Table1[[#This Row],[Age]]&lt;60,"50-59","60+"))))</f>
        <v>40-49</v>
      </c>
      <c r="M1749" t="s">
        <v>13</v>
      </c>
      <c r="N1749" t="s">
        <v>35</v>
      </c>
    </row>
    <row r="1750" spans="1:14" x14ac:dyDescent="0.35">
      <c r="A1750">
        <v>1849</v>
      </c>
      <c r="B1750" t="s">
        <v>34</v>
      </c>
      <c r="C1750" s="6">
        <v>45540</v>
      </c>
      <c r="D1750">
        <f>YEAR(Table1[[#This Row],[Join Date]])</f>
        <v>2024</v>
      </c>
      <c r="E1750" s="6" t="s">
        <v>48</v>
      </c>
      <c r="F1750" t="str">
        <f>IFERROR(YEAR(Table1[[#This Row],[Exit Date]]), " ")</f>
        <v xml:space="preserve"> </v>
      </c>
      <c r="G1750" t="str">
        <f>IFERROR((Table1[[#This Row],[Exit Year]]-Table1[[#This Row],[Join Year]])+1," ")</f>
        <v xml:space="preserve"> </v>
      </c>
      <c r="H1750" t="s">
        <v>48</v>
      </c>
      <c r="I1750" t="s">
        <v>11</v>
      </c>
      <c r="J1750" t="s">
        <v>18</v>
      </c>
      <c r="K1750">
        <v>31</v>
      </c>
      <c r="L1750" t="str">
        <f>IF(Table1[[#This Row],[Age]]&lt;30,"20-29",
IF(Table1[[#This Row],[Age]]&lt;40,"30-39",
IF(Table1[[#This Row],[Age]]&lt;50,"40-49",
IF(Table1[[#This Row],[Age]]&lt;60,"50-59","60+"))))</f>
        <v>30-39</v>
      </c>
      <c r="M1750" t="s">
        <v>30</v>
      </c>
      <c r="N1750" t="s">
        <v>17</v>
      </c>
    </row>
    <row r="1751" spans="1:14" x14ac:dyDescent="0.35">
      <c r="A1751">
        <v>1850</v>
      </c>
      <c r="B1751" t="s">
        <v>10</v>
      </c>
      <c r="C1751" s="6">
        <v>43297</v>
      </c>
      <c r="D1751">
        <f>YEAR(Table1[[#This Row],[Join Date]])</f>
        <v>2018</v>
      </c>
      <c r="E1751" s="6">
        <v>44682</v>
      </c>
      <c r="F1751">
        <f>IFERROR(YEAR(Table1[[#This Row],[Exit Date]]), " ")</f>
        <v>2022</v>
      </c>
      <c r="G1751">
        <f>IFERROR((Table1[[#This Row],[Exit Year]]-Table1[[#This Row],[Join Year]])+1," ")</f>
        <v>5</v>
      </c>
      <c r="H1751" t="s">
        <v>40</v>
      </c>
      <c r="I1751" t="s">
        <v>23</v>
      </c>
      <c r="J1751" t="s">
        <v>12</v>
      </c>
      <c r="K1751">
        <v>51</v>
      </c>
      <c r="L1751" t="str">
        <f>IF(Table1[[#This Row],[Age]]&lt;30,"20-29",
IF(Table1[[#This Row],[Age]]&lt;40,"30-39",
IF(Table1[[#This Row],[Age]]&lt;50,"40-49",
IF(Table1[[#This Row],[Age]]&lt;60,"50-59","60+"))))</f>
        <v>50-59</v>
      </c>
      <c r="M1751" t="s">
        <v>13</v>
      </c>
      <c r="N1751" t="s">
        <v>19</v>
      </c>
    </row>
    <row r="1752" spans="1:14" x14ac:dyDescent="0.35">
      <c r="A1752">
        <v>1851</v>
      </c>
      <c r="B1752" t="s">
        <v>10</v>
      </c>
      <c r="C1752" s="6">
        <v>43407</v>
      </c>
      <c r="D1752">
        <f>YEAR(Table1[[#This Row],[Join Date]])</f>
        <v>2018</v>
      </c>
      <c r="E1752" s="6" t="s">
        <v>48</v>
      </c>
      <c r="F1752" t="str">
        <f>IFERROR(YEAR(Table1[[#This Row],[Exit Date]]), " ")</f>
        <v xml:space="preserve"> </v>
      </c>
      <c r="G1752" t="str">
        <f>IFERROR((Table1[[#This Row],[Exit Year]]-Table1[[#This Row],[Join Year]])+1," ")</f>
        <v xml:space="preserve"> </v>
      </c>
      <c r="H1752" t="s">
        <v>48</v>
      </c>
      <c r="I1752" t="s">
        <v>11</v>
      </c>
      <c r="J1752" t="s">
        <v>12</v>
      </c>
      <c r="K1752">
        <v>27</v>
      </c>
      <c r="L1752" t="str">
        <f>IF(Table1[[#This Row],[Age]]&lt;30,"20-29",
IF(Table1[[#This Row],[Age]]&lt;40,"30-39",
IF(Table1[[#This Row],[Age]]&lt;50,"40-49",
IF(Table1[[#This Row],[Age]]&lt;60,"50-59","60+"))))</f>
        <v>20-29</v>
      </c>
      <c r="M1752" t="s">
        <v>13</v>
      </c>
      <c r="N1752" t="s">
        <v>21</v>
      </c>
    </row>
    <row r="1753" spans="1:14" x14ac:dyDescent="0.35">
      <c r="A1753">
        <v>1852</v>
      </c>
      <c r="B1753" t="s">
        <v>15</v>
      </c>
      <c r="C1753" s="6">
        <v>44121</v>
      </c>
      <c r="D1753">
        <f>YEAR(Table1[[#This Row],[Join Date]])</f>
        <v>2020</v>
      </c>
      <c r="E1753" s="6" t="s">
        <v>48</v>
      </c>
      <c r="F1753" t="str">
        <f>IFERROR(YEAR(Table1[[#This Row],[Exit Date]]), " ")</f>
        <v xml:space="preserve"> </v>
      </c>
      <c r="G1753" t="str">
        <f>IFERROR((Table1[[#This Row],[Exit Year]]-Table1[[#This Row],[Join Year]])+1," ")</f>
        <v xml:space="preserve"> </v>
      </c>
      <c r="H1753" t="s">
        <v>48</v>
      </c>
      <c r="I1753" t="s">
        <v>11</v>
      </c>
      <c r="J1753" t="s">
        <v>12</v>
      </c>
      <c r="K1753">
        <v>22</v>
      </c>
      <c r="L1753" t="str">
        <f>IF(Table1[[#This Row],[Age]]&lt;30,"20-29",
IF(Table1[[#This Row],[Age]]&lt;40,"30-39",
IF(Table1[[#This Row],[Age]]&lt;50,"40-49",
IF(Table1[[#This Row],[Age]]&lt;60,"50-59","60+"))))</f>
        <v>20-29</v>
      </c>
      <c r="M1753" t="s">
        <v>16</v>
      </c>
      <c r="N1753" t="s">
        <v>25</v>
      </c>
    </row>
    <row r="1754" spans="1:14" x14ac:dyDescent="0.35">
      <c r="A1754">
        <v>1853</v>
      </c>
      <c r="B1754" t="s">
        <v>15</v>
      </c>
      <c r="C1754" s="6">
        <v>44423</v>
      </c>
      <c r="D1754">
        <f>YEAR(Table1[[#This Row],[Join Date]])</f>
        <v>2021</v>
      </c>
      <c r="E1754" s="6" t="s">
        <v>48</v>
      </c>
      <c r="F1754" t="str">
        <f>IFERROR(YEAR(Table1[[#This Row],[Exit Date]]), " ")</f>
        <v xml:space="preserve"> </v>
      </c>
      <c r="G1754" t="str">
        <f>IFERROR((Table1[[#This Row],[Exit Year]]-Table1[[#This Row],[Join Year]])+1," ")</f>
        <v xml:space="preserve"> </v>
      </c>
      <c r="H1754" t="s">
        <v>48</v>
      </c>
      <c r="I1754" t="s">
        <v>11</v>
      </c>
      <c r="J1754" t="s">
        <v>12</v>
      </c>
      <c r="K1754">
        <v>50</v>
      </c>
      <c r="L1754" t="str">
        <f>IF(Table1[[#This Row],[Age]]&lt;30,"20-29",
IF(Table1[[#This Row],[Age]]&lt;40,"30-39",
IF(Table1[[#This Row],[Age]]&lt;50,"40-49",
IF(Table1[[#This Row],[Age]]&lt;60,"50-59","60+"))))</f>
        <v>50-59</v>
      </c>
      <c r="M1754" t="s">
        <v>13</v>
      </c>
      <c r="N1754" t="s">
        <v>35</v>
      </c>
    </row>
    <row r="1755" spans="1:14" x14ac:dyDescent="0.35">
      <c r="A1755">
        <v>1854</v>
      </c>
      <c r="B1755" t="s">
        <v>15</v>
      </c>
      <c r="C1755" s="6">
        <v>45087</v>
      </c>
      <c r="D1755">
        <f>YEAR(Table1[[#This Row],[Join Date]])</f>
        <v>2023</v>
      </c>
      <c r="E1755" s="6" t="s">
        <v>48</v>
      </c>
      <c r="F1755" t="str">
        <f>IFERROR(YEAR(Table1[[#This Row],[Exit Date]]), " ")</f>
        <v xml:space="preserve"> </v>
      </c>
      <c r="G1755" t="str">
        <f>IFERROR((Table1[[#This Row],[Exit Year]]-Table1[[#This Row],[Join Year]])+1," ")</f>
        <v xml:space="preserve"> </v>
      </c>
      <c r="H1755" t="s">
        <v>48</v>
      </c>
      <c r="I1755" t="s">
        <v>11</v>
      </c>
      <c r="J1755" t="s">
        <v>18</v>
      </c>
      <c r="K1755">
        <v>24</v>
      </c>
      <c r="L1755" t="str">
        <f>IF(Table1[[#This Row],[Age]]&lt;30,"20-29",
IF(Table1[[#This Row],[Age]]&lt;40,"30-39",
IF(Table1[[#This Row],[Age]]&lt;50,"40-49",
IF(Table1[[#This Row],[Age]]&lt;60,"50-59","60+"))))</f>
        <v>20-29</v>
      </c>
      <c r="M1755" t="s">
        <v>20</v>
      </c>
      <c r="N1755" t="s">
        <v>14</v>
      </c>
    </row>
    <row r="1756" spans="1:14" x14ac:dyDescent="0.35">
      <c r="A1756">
        <v>1855</v>
      </c>
      <c r="B1756" t="s">
        <v>15</v>
      </c>
      <c r="C1756" s="6">
        <v>43479</v>
      </c>
      <c r="D1756">
        <f>YEAR(Table1[[#This Row],[Join Date]])</f>
        <v>2019</v>
      </c>
      <c r="E1756" s="6">
        <v>44449</v>
      </c>
      <c r="F1756">
        <f>IFERROR(YEAR(Table1[[#This Row],[Exit Date]]), " ")</f>
        <v>2021</v>
      </c>
      <c r="G1756">
        <f>IFERROR((Table1[[#This Row],[Exit Year]]-Table1[[#This Row],[Join Year]])+1," ")</f>
        <v>3</v>
      </c>
      <c r="H1756" t="s">
        <v>22</v>
      </c>
      <c r="I1756" t="s">
        <v>23</v>
      </c>
      <c r="J1756" t="s">
        <v>12</v>
      </c>
      <c r="K1756">
        <v>50</v>
      </c>
      <c r="L1756" t="str">
        <f>IF(Table1[[#This Row],[Age]]&lt;30,"20-29",
IF(Table1[[#This Row],[Age]]&lt;40,"30-39",
IF(Table1[[#This Row],[Age]]&lt;50,"40-49",
IF(Table1[[#This Row],[Age]]&lt;60,"50-59","60+"))))</f>
        <v>50-59</v>
      </c>
      <c r="M1756" t="s">
        <v>39</v>
      </c>
      <c r="N1756" t="s">
        <v>19</v>
      </c>
    </row>
    <row r="1757" spans="1:14" x14ac:dyDescent="0.35">
      <c r="A1757">
        <v>1856</v>
      </c>
      <c r="B1757" t="s">
        <v>26</v>
      </c>
      <c r="C1757" s="6">
        <v>44749</v>
      </c>
      <c r="D1757">
        <f>YEAR(Table1[[#This Row],[Join Date]])</f>
        <v>2022</v>
      </c>
      <c r="E1757" s="6">
        <v>44972</v>
      </c>
      <c r="F1757">
        <f>IFERROR(YEAR(Table1[[#This Row],[Exit Date]]), " ")</f>
        <v>2023</v>
      </c>
      <c r="G1757">
        <f>IFERROR((Table1[[#This Row],[Exit Year]]-Table1[[#This Row],[Join Year]])+1," ")</f>
        <v>2</v>
      </c>
      <c r="H1757" t="s">
        <v>46</v>
      </c>
      <c r="I1757" t="s">
        <v>23</v>
      </c>
      <c r="J1757" t="s">
        <v>18</v>
      </c>
      <c r="K1757">
        <v>28</v>
      </c>
      <c r="L1757" t="str">
        <f>IF(Table1[[#This Row],[Age]]&lt;30,"20-29",
IF(Table1[[#This Row],[Age]]&lt;40,"30-39",
IF(Table1[[#This Row],[Age]]&lt;50,"40-49",
IF(Table1[[#This Row],[Age]]&lt;60,"50-59","60+"))))</f>
        <v>20-29</v>
      </c>
      <c r="M1757" t="s">
        <v>13</v>
      </c>
      <c r="N1757" t="s">
        <v>21</v>
      </c>
    </row>
    <row r="1758" spans="1:14" x14ac:dyDescent="0.35">
      <c r="A1758">
        <v>1857</v>
      </c>
      <c r="B1758" t="s">
        <v>29</v>
      </c>
      <c r="C1758" s="6">
        <v>45457</v>
      </c>
      <c r="D1758">
        <f>YEAR(Table1[[#This Row],[Join Date]])</f>
        <v>2024</v>
      </c>
      <c r="E1758" s="6" t="s">
        <v>48</v>
      </c>
      <c r="F1758" t="str">
        <f>IFERROR(YEAR(Table1[[#This Row],[Exit Date]]), " ")</f>
        <v xml:space="preserve"> </v>
      </c>
      <c r="G1758" t="str">
        <f>IFERROR((Table1[[#This Row],[Exit Year]]-Table1[[#This Row],[Join Year]])+1," ")</f>
        <v xml:space="preserve"> </v>
      </c>
      <c r="H1758" t="s">
        <v>48</v>
      </c>
      <c r="I1758" t="s">
        <v>11</v>
      </c>
      <c r="J1758" t="s">
        <v>18</v>
      </c>
      <c r="K1758">
        <v>40</v>
      </c>
      <c r="L1758" t="str">
        <f>IF(Table1[[#This Row],[Age]]&lt;30,"20-29",
IF(Table1[[#This Row],[Age]]&lt;40,"30-39",
IF(Table1[[#This Row],[Age]]&lt;50,"40-49",
IF(Table1[[#This Row],[Age]]&lt;60,"50-59","60+"))))</f>
        <v>40-49</v>
      </c>
      <c r="M1758" t="s">
        <v>16</v>
      </c>
      <c r="N1758" t="s">
        <v>37</v>
      </c>
    </row>
    <row r="1759" spans="1:14" x14ac:dyDescent="0.35">
      <c r="A1759">
        <v>1858</v>
      </c>
      <c r="B1759" t="s">
        <v>10</v>
      </c>
      <c r="C1759" s="6">
        <v>43304</v>
      </c>
      <c r="D1759">
        <f>YEAR(Table1[[#This Row],[Join Date]])</f>
        <v>2018</v>
      </c>
      <c r="E1759" s="6" t="s">
        <v>48</v>
      </c>
      <c r="F1759" t="str">
        <f>IFERROR(YEAR(Table1[[#This Row],[Exit Date]]), " ")</f>
        <v xml:space="preserve"> </v>
      </c>
      <c r="G1759" t="str">
        <f>IFERROR((Table1[[#This Row],[Exit Year]]-Table1[[#This Row],[Join Year]])+1," ")</f>
        <v xml:space="preserve"> </v>
      </c>
      <c r="H1759" t="s">
        <v>48</v>
      </c>
      <c r="I1759" t="s">
        <v>11</v>
      </c>
      <c r="J1759" t="s">
        <v>12</v>
      </c>
      <c r="K1759">
        <v>32</v>
      </c>
      <c r="L1759" t="str">
        <f>IF(Table1[[#This Row],[Age]]&lt;30,"20-29",
IF(Table1[[#This Row],[Age]]&lt;40,"30-39",
IF(Table1[[#This Row],[Age]]&lt;50,"40-49",
IF(Table1[[#This Row],[Age]]&lt;60,"50-59","60+"))))</f>
        <v>30-39</v>
      </c>
      <c r="M1759" t="s">
        <v>16</v>
      </c>
      <c r="N1759" t="s">
        <v>25</v>
      </c>
    </row>
    <row r="1760" spans="1:14" x14ac:dyDescent="0.35">
      <c r="A1760">
        <v>1859</v>
      </c>
      <c r="B1760" t="s">
        <v>15</v>
      </c>
      <c r="C1760" s="6">
        <v>44987</v>
      </c>
      <c r="D1760">
        <f>YEAR(Table1[[#This Row],[Join Date]])</f>
        <v>2023</v>
      </c>
      <c r="E1760" s="6" t="s">
        <v>48</v>
      </c>
      <c r="F1760" t="str">
        <f>IFERROR(YEAR(Table1[[#This Row],[Exit Date]]), " ")</f>
        <v xml:space="preserve"> </v>
      </c>
      <c r="G1760" t="str">
        <f>IFERROR((Table1[[#This Row],[Exit Year]]-Table1[[#This Row],[Join Year]])+1," ")</f>
        <v xml:space="preserve"> </v>
      </c>
      <c r="H1760" t="s">
        <v>48</v>
      </c>
      <c r="I1760" t="s">
        <v>11</v>
      </c>
      <c r="J1760" t="s">
        <v>12</v>
      </c>
      <c r="K1760">
        <v>50</v>
      </c>
      <c r="L1760" t="str">
        <f>IF(Table1[[#This Row],[Age]]&lt;30,"20-29",
IF(Table1[[#This Row],[Age]]&lt;40,"30-39",
IF(Table1[[#This Row],[Age]]&lt;50,"40-49",
IF(Table1[[#This Row],[Age]]&lt;60,"50-59","60+"))))</f>
        <v>50-59</v>
      </c>
      <c r="M1760" t="s">
        <v>20</v>
      </c>
      <c r="N1760" t="s">
        <v>35</v>
      </c>
    </row>
    <row r="1761" spans="1:14" x14ac:dyDescent="0.35">
      <c r="A1761">
        <v>1860</v>
      </c>
      <c r="B1761" t="s">
        <v>34</v>
      </c>
      <c r="C1761" s="6">
        <v>45326</v>
      </c>
      <c r="D1761">
        <f>YEAR(Table1[[#This Row],[Join Date]])</f>
        <v>2024</v>
      </c>
      <c r="E1761" s="6" t="s">
        <v>48</v>
      </c>
      <c r="F1761" t="str">
        <f>IFERROR(YEAR(Table1[[#This Row],[Exit Date]]), " ")</f>
        <v xml:space="preserve"> </v>
      </c>
      <c r="G1761" t="str">
        <f>IFERROR((Table1[[#This Row],[Exit Year]]-Table1[[#This Row],[Join Year]])+1," ")</f>
        <v xml:space="preserve"> </v>
      </c>
      <c r="H1761" t="s">
        <v>48</v>
      </c>
      <c r="I1761" t="s">
        <v>11</v>
      </c>
      <c r="J1761" t="s">
        <v>12</v>
      </c>
      <c r="K1761">
        <v>24</v>
      </c>
      <c r="L1761" t="str">
        <f>IF(Table1[[#This Row],[Age]]&lt;30,"20-29",
IF(Table1[[#This Row],[Age]]&lt;40,"30-39",
IF(Table1[[#This Row],[Age]]&lt;50,"40-49",
IF(Table1[[#This Row],[Age]]&lt;60,"50-59","60+"))))</f>
        <v>20-29</v>
      </c>
      <c r="M1761" t="s">
        <v>24</v>
      </c>
      <c r="N1761" t="s">
        <v>14</v>
      </c>
    </row>
    <row r="1762" spans="1:14" x14ac:dyDescent="0.35">
      <c r="A1762">
        <v>1861</v>
      </c>
      <c r="B1762" t="s">
        <v>36</v>
      </c>
      <c r="C1762" s="6">
        <v>45474</v>
      </c>
      <c r="D1762">
        <f>YEAR(Table1[[#This Row],[Join Date]])</f>
        <v>2024</v>
      </c>
      <c r="E1762" s="6" t="s">
        <v>48</v>
      </c>
      <c r="F1762" t="str">
        <f>IFERROR(YEAR(Table1[[#This Row],[Exit Date]]), " ")</f>
        <v xml:space="preserve"> </v>
      </c>
      <c r="G1762" t="str">
        <f>IFERROR((Table1[[#This Row],[Exit Year]]-Table1[[#This Row],[Join Year]])+1," ")</f>
        <v xml:space="preserve"> </v>
      </c>
      <c r="H1762" t="s">
        <v>48</v>
      </c>
      <c r="I1762" t="s">
        <v>11</v>
      </c>
      <c r="J1762" t="s">
        <v>18</v>
      </c>
      <c r="K1762">
        <v>36</v>
      </c>
      <c r="L1762" t="str">
        <f>IF(Table1[[#This Row],[Age]]&lt;30,"20-29",
IF(Table1[[#This Row],[Age]]&lt;40,"30-39",
IF(Table1[[#This Row],[Age]]&lt;50,"40-49",
IF(Table1[[#This Row],[Age]]&lt;60,"50-59","60+"))))</f>
        <v>30-39</v>
      </c>
      <c r="M1762" t="s">
        <v>13</v>
      </c>
      <c r="N1762" t="s">
        <v>17</v>
      </c>
    </row>
    <row r="1763" spans="1:14" x14ac:dyDescent="0.35">
      <c r="A1763">
        <v>1862</v>
      </c>
      <c r="B1763" t="s">
        <v>29</v>
      </c>
      <c r="C1763" s="6">
        <v>44227</v>
      </c>
      <c r="D1763">
        <f>YEAR(Table1[[#This Row],[Join Date]])</f>
        <v>2021</v>
      </c>
      <c r="E1763" s="6">
        <v>45322</v>
      </c>
      <c r="F1763">
        <f>IFERROR(YEAR(Table1[[#This Row],[Exit Date]]), " ")</f>
        <v>2024</v>
      </c>
      <c r="G1763">
        <f>IFERROR((Table1[[#This Row],[Exit Year]]-Table1[[#This Row],[Join Year]])+1," ")</f>
        <v>4</v>
      </c>
      <c r="H1763" t="s">
        <v>46</v>
      </c>
      <c r="I1763" t="s">
        <v>23</v>
      </c>
      <c r="J1763" t="s">
        <v>12</v>
      </c>
      <c r="K1763">
        <v>49</v>
      </c>
      <c r="L1763" t="str">
        <f>IF(Table1[[#This Row],[Age]]&lt;30,"20-29",
IF(Table1[[#This Row],[Age]]&lt;40,"30-39",
IF(Table1[[#This Row],[Age]]&lt;50,"40-49",
IF(Table1[[#This Row],[Age]]&lt;60,"50-59","60+"))))</f>
        <v>40-49</v>
      </c>
      <c r="M1763" t="s">
        <v>42</v>
      </c>
      <c r="N1763" t="s">
        <v>19</v>
      </c>
    </row>
    <row r="1764" spans="1:14" x14ac:dyDescent="0.35">
      <c r="A1764">
        <v>1863</v>
      </c>
      <c r="B1764" t="s">
        <v>10</v>
      </c>
      <c r="C1764" s="6">
        <v>43446</v>
      </c>
      <c r="D1764">
        <f>YEAR(Table1[[#This Row],[Join Date]])</f>
        <v>2018</v>
      </c>
      <c r="E1764" s="6">
        <v>43936</v>
      </c>
      <c r="F1764">
        <f>IFERROR(YEAR(Table1[[#This Row],[Exit Date]]), " ")</f>
        <v>2020</v>
      </c>
      <c r="G1764">
        <f>IFERROR((Table1[[#This Row],[Exit Year]]-Table1[[#This Row],[Join Year]])+1," ")</f>
        <v>3</v>
      </c>
      <c r="H1764" t="s">
        <v>38</v>
      </c>
      <c r="I1764" t="s">
        <v>23</v>
      </c>
      <c r="J1764" t="s">
        <v>18</v>
      </c>
      <c r="K1764">
        <v>43</v>
      </c>
      <c r="L1764" t="str">
        <f>IF(Table1[[#This Row],[Age]]&lt;30,"20-29",
IF(Table1[[#This Row],[Age]]&lt;40,"30-39",
IF(Table1[[#This Row],[Age]]&lt;50,"40-49",
IF(Table1[[#This Row],[Age]]&lt;60,"50-59","60+"))))</f>
        <v>40-49</v>
      </c>
      <c r="M1764" t="s">
        <v>13</v>
      </c>
      <c r="N1764" t="s">
        <v>21</v>
      </c>
    </row>
    <row r="1765" spans="1:14" x14ac:dyDescent="0.35">
      <c r="A1765">
        <v>1864</v>
      </c>
      <c r="B1765" t="s">
        <v>15</v>
      </c>
      <c r="C1765" s="6">
        <v>45314</v>
      </c>
      <c r="D1765">
        <f>YEAR(Table1[[#This Row],[Join Date]])</f>
        <v>2024</v>
      </c>
      <c r="E1765" s="6" t="s">
        <v>48</v>
      </c>
      <c r="F1765" t="str">
        <f>IFERROR(YEAR(Table1[[#This Row],[Exit Date]]), " ")</f>
        <v xml:space="preserve"> </v>
      </c>
      <c r="G1765" t="str">
        <f>IFERROR((Table1[[#This Row],[Exit Year]]-Table1[[#This Row],[Join Year]])+1," ")</f>
        <v xml:space="preserve"> </v>
      </c>
      <c r="H1765" t="s">
        <v>48</v>
      </c>
      <c r="I1765" t="s">
        <v>11</v>
      </c>
      <c r="J1765" t="s">
        <v>12</v>
      </c>
      <c r="K1765">
        <v>40</v>
      </c>
      <c r="L1765" t="str">
        <f>IF(Table1[[#This Row],[Age]]&lt;30,"20-29",
IF(Table1[[#This Row],[Age]]&lt;40,"30-39",
IF(Table1[[#This Row],[Age]]&lt;50,"40-49",
IF(Table1[[#This Row],[Age]]&lt;60,"50-59","60+"))))</f>
        <v>40-49</v>
      </c>
      <c r="M1765" t="s">
        <v>13</v>
      </c>
      <c r="N1765" t="s">
        <v>17</v>
      </c>
    </row>
    <row r="1766" spans="1:14" x14ac:dyDescent="0.35">
      <c r="A1766">
        <v>1865</v>
      </c>
      <c r="B1766" t="s">
        <v>15</v>
      </c>
      <c r="C1766" s="6">
        <v>43123</v>
      </c>
      <c r="D1766">
        <f>YEAR(Table1[[#This Row],[Join Date]])</f>
        <v>2018</v>
      </c>
      <c r="E1766" s="6" t="s">
        <v>48</v>
      </c>
      <c r="F1766" t="str">
        <f>IFERROR(YEAR(Table1[[#This Row],[Exit Date]]), " ")</f>
        <v xml:space="preserve"> </v>
      </c>
      <c r="G1766" t="str">
        <f>IFERROR((Table1[[#This Row],[Exit Year]]-Table1[[#This Row],[Join Year]])+1," ")</f>
        <v xml:space="preserve"> </v>
      </c>
      <c r="H1766" t="s">
        <v>48</v>
      </c>
      <c r="I1766" t="s">
        <v>11</v>
      </c>
      <c r="J1766" t="s">
        <v>12</v>
      </c>
      <c r="K1766">
        <v>42</v>
      </c>
      <c r="L1766" t="str">
        <f>IF(Table1[[#This Row],[Age]]&lt;30,"20-29",
IF(Table1[[#This Row],[Age]]&lt;40,"30-39",
IF(Table1[[#This Row],[Age]]&lt;50,"40-49",
IF(Table1[[#This Row],[Age]]&lt;60,"50-59","60+"))))</f>
        <v>40-49</v>
      </c>
      <c r="M1766" t="s">
        <v>16</v>
      </c>
      <c r="N1766" t="s">
        <v>19</v>
      </c>
    </row>
    <row r="1767" spans="1:14" x14ac:dyDescent="0.35">
      <c r="A1767">
        <v>1866</v>
      </c>
      <c r="B1767" t="s">
        <v>10</v>
      </c>
      <c r="C1767" s="6">
        <v>43717</v>
      </c>
      <c r="D1767">
        <f>YEAR(Table1[[#This Row],[Join Date]])</f>
        <v>2019</v>
      </c>
      <c r="E1767" s="6">
        <v>44677</v>
      </c>
      <c r="F1767">
        <f>IFERROR(YEAR(Table1[[#This Row],[Exit Date]]), " ")</f>
        <v>2022</v>
      </c>
      <c r="G1767">
        <f>IFERROR((Table1[[#This Row],[Exit Year]]-Table1[[#This Row],[Join Year]])+1," ")</f>
        <v>4</v>
      </c>
      <c r="H1767" t="s">
        <v>40</v>
      </c>
      <c r="I1767" t="s">
        <v>23</v>
      </c>
      <c r="J1767" t="s">
        <v>18</v>
      </c>
      <c r="K1767">
        <v>35</v>
      </c>
      <c r="L1767" t="str">
        <f>IF(Table1[[#This Row],[Age]]&lt;30,"20-29",
IF(Table1[[#This Row],[Age]]&lt;40,"30-39",
IF(Table1[[#This Row],[Age]]&lt;50,"40-49",
IF(Table1[[#This Row],[Age]]&lt;60,"50-59","60+"))))</f>
        <v>30-39</v>
      </c>
      <c r="M1767" t="s">
        <v>13</v>
      </c>
      <c r="N1767" t="s">
        <v>21</v>
      </c>
    </row>
    <row r="1768" spans="1:14" x14ac:dyDescent="0.35">
      <c r="A1768">
        <v>1867</v>
      </c>
      <c r="B1768" t="s">
        <v>29</v>
      </c>
      <c r="C1768" s="6">
        <v>43534</v>
      </c>
      <c r="D1768">
        <f>YEAR(Table1[[#This Row],[Join Date]])</f>
        <v>2019</v>
      </c>
      <c r="E1768" s="6">
        <v>44117</v>
      </c>
      <c r="F1768">
        <f>IFERROR(YEAR(Table1[[#This Row],[Exit Date]]), " ")</f>
        <v>2020</v>
      </c>
      <c r="G1768">
        <f>IFERROR((Table1[[#This Row],[Exit Year]]-Table1[[#This Row],[Join Year]])+1," ")</f>
        <v>2</v>
      </c>
      <c r="H1768" t="s">
        <v>38</v>
      </c>
      <c r="I1768" t="s">
        <v>23</v>
      </c>
      <c r="J1768" t="s">
        <v>18</v>
      </c>
      <c r="K1768">
        <v>31</v>
      </c>
      <c r="L1768" t="str">
        <f>IF(Table1[[#This Row],[Age]]&lt;30,"20-29",
IF(Table1[[#This Row],[Age]]&lt;40,"30-39",
IF(Table1[[#This Row],[Age]]&lt;50,"40-49",
IF(Table1[[#This Row],[Age]]&lt;60,"50-59","60+"))))</f>
        <v>30-39</v>
      </c>
      <c r="M1768" t="s">
        <v>20</v>
      </c>
      <c r="N1768" t="s">
        <v>25</v>
      </c>
    </row>
    <row r="1769" spans="1:14" x14ac:dyDescent="0.35">
      <c r="A1769">
        <v>1868</v>
      </c>
      <c r="B1769" t="s">
        <v>36</v>
      </c>
      <c r="C1769" s="6">
        <v>44619</v>
      </c>
      <c r="D1769">
        <f>YEAR(Table1[[#This Row],[Join Date]])</f>
        <v>2022</v>
      </c>
      <c r="E1769" s="6" t="s">
        <v>48</v>
      </c>
      <c r="F1769" t="str">
        <f>IFERROR(YEAR(Table1[[#This Row],[Exit Date]]), " ")</f>
        <v xml:space="preserve"> </v>
      </c>
      <c r="G1769" t="str">
        <f>IFERROR((Table1[[#This Row],[Exit Year]]-Table1[[#This Row],[Join Year]])+1," ")</f>
        <v xml:space="preserve"> </v>
      </c>
      <c r="H1769" t="s">
        <v>48</v>
      </c>
      <c r="I1769" t="s">
        <v>11</v>
      </c>
      <c r="J1769" t="s">
        <v>12</v>
      </c>
      <c r="K1769">
        <v>51</v>
      </c>
      <c r="L1769" t="str">
        <f>IF(Table1[[#This Row],[Age]]&lt;30,"20-29",
IF(Table1[[#This Row],[Age]]&lt;40,"30-39",
IF(Table1[[#This Row],[Age]]&lt;50,"40-49",
IF(Table1[[#This Row],[Age]]&lt;60,"50-59","60+"))))</f>
        <v>50-59</v>
      </c>
      <c r="M1769" t="s">
        <v>39</v>
      </c>
      <c r="N1769" t="s">
        <v>28</v>
      </c>
    </row>
    <row r="1770" spans="1:14" x14ac:dyDescent="0.35">
      <c r="A1770">
        <v>1869</v>
      </c>
      <c r="B1770" t="s">
        <v>10</v>
      </c>
      <c r="C1770" s="6">
        <v>45485</v>
      </c>
      <c r="D1770">
        <f>YEAR(Table1[[#This Row],[Join Date]])</f>
        <v>2024</v>
      </c>
      <c r="E1770" s="6" t="s">
        <v>48</v>
      </c>
      <c r="F1770" t="str">
        <f>IFERROR(YEAR(Table1[[#This Row],[Exit Date]]), " ")</f>
        <v xml:space="preserve"> </v>
      </c>
      <c r="G1770" t="str">
        <f>IFERROR((Table1[[#This Row],[Exit Year]]-Table1[[#This Row],[Join Year]])+1," ")</f>
        <v xml:space="preserve"> </v>
      </c>
      <c r="H1770" t="s">
        <v>48</v>
      </c>
      <c r="I1770" t="s">
        <v>11</v>
      </c>
      <c r="J1770" t="s">
        <v>18</v>
      </c>
      <c r="K1770">
        <v>48</v>
      </c>
      <c r="L1770" t="str">
        <f>IF(Table1[[#This Row],[Age]]&lt;30,"20-29",
IF(Table1[[#This Row],[Age]]&lt;40,"30-39",
IF(Table1[[#This Row],[Age]]&lt;50,"40-49",
IF(Table1[[#This Row],[Age]]&lt;60,"50-59","60+"))))</f>
        <v>40-49</v>
      </c>
      <c r="M1770" t="s">
        <v>13</v>
      </c>
      <c r="N1770" t="s">
        <v>31</v>
      </c>
    </row>
    <row r="1771" spans="1:14" x14ac:dyDescent="0.35">
      <c r="A1771">
        <v>1870</v>
      </c>
      <c r="B1771" t="s">
        <v>29</v>
      </c>
      <c r="C1771" s="6">
        <v>43588</v>
      </c>
      <c r="D1771">
        <f>YEAR(Table1[[#This Row],[Join Date]])</f>
        <v>2019</v>
      </c>
      <c r="E1771" s="6">
        <v>44896</v>
      </c>
      <c r="F1771">
        <f>IFERROR(YEAR(Table1[[#This Row],[Exit Date]]), " ")</f>
        <v>2022</v>
      </c>
      <c r="G1771">
        <f>IFERROR((Table1[[#This Row],[Exit Year]]-Table1[[#This Row],[Join Year]])+1," ")</f>
        <v>4</v>
      </c>
      <c r="H1771" t="s">
        <v>41</v>
      </c>
      <c r="I1771" t="s">
        <v>23</v>
      </c>
      <c r="J1771" t="s">
        <v>12</v>
      </c>
      <c r="K1771">
        <v>41</v>
      </c>
      <c r="L1771" t="str">
        <f>IF(Table1[[#This Row],[Age]]&lt;30,"20-29",
IF(Table1[[#This Row],[Age]]&lt;40,"30-39",
IF(Table1[[#This Row],[Age]]&lt;50,"40-49",
IF(Table1[[#This Row],[Age]]&lt;60,"50-59","60+"))))</f>
        <v>40-49</v>
      </c>
      <c r="M1771" t="s">
        <v>16</v>
      </c>
      <c r="N1771" t="s">
        <v>32</v>
      </c>
    </row>
    <row r="1772" spans="1:14" x14ac:dyDescent="0.35">
      <c r="A1772">
        <v>1871</v>
      </c>
      <c r="B1772" t="s">
        <v>36</v>
      </c>
      <c r="C1772" s="6">
        <v>44250</v>
      </c>
      <c r="D1772">
        <f>YEAR(Table1[[#This Row],[Join Date]])</f>
        <v>2021</v>
      </c>
      <c r="E1772" s="6">
        <v>45392</v>
      </c>
      <c r="F1772">
        <f>IFERROR(YEAR(Table1[[#This Row],[Exit Date]]), " ")</f>
        <v>2024</v>
      </c>
      <c r="G1772">
        <f>IFERROR((Table1[[#This Row],[Exit Year]]-Table1[[#This Row],[Join Year]])+1," ")</f>
        <v>4</v>
      </c>
      <c r="H1772" t="s">
        <v>46</v>
      </c>
      <c r="I1772" t="s">
        <v>23</v>
      </c>
      <c r="J1772" t="s">
        <v>12</v>
      </c>
      <c r="K1772">
        <v>35</v>
      </c>
      <c r="L1772" t="str">
        <f>IF(Table1[[#This Row],[Age]]&lt;30,"20-29",
IF(Table1[[#This Row],[Age]]&lt;40,"30-39",
IF(Table1[[#This Row],[Age]]&lt;50,"40-49",
IF(Table1[[#This Row],[Age]]&lt;60,"50-59","60+"))))</f>
        <v>30-39</v>
      </c>
      <c r="M1772" t="s">
        <v>16</v>
      </c>
      <c r="N1772" t="s">
        <v>33</v>
      </c>
    </row>
    <row r="1773" spans="1:14" x14ac:dyDescent="0.35">
      <c r="A1773">
        <v>1872</v>
      </c>
      <c r="B1773" t="s">
        <v>26</v>
      </c>
      <c r="C1773" s="6">
        <v>45244</v>
      </c>
      <c r="D1773">
        <f>YEAR(Table1[[#This Row],[Join Date]])</f>
        <v>2023</v>
      </c>
      <c r="E1773" s="6">
        <v>45446</v>
      </c>
      <c r="F1773">
        <f>IFERROR(YEAR(Table1[[#This Row],[Exit Date]]), " ")</f>
        <v>2024</v>
      </c>
      <c r="G1773">
        <f>IFERROR((Table1[[#This Row],[Exit Year]]-Table1[[#This Row],[Join Year]])+1," ")</f>
        <v>2</v>
      </c>
      <c r="H1773" t="s">
        <v>40</v>
      </c>
      <c r="I1773" t="s">
        <v>23</v>
      </c>
      <c r="J1773" t="s">
        <v>12</v>
      </c>
      <c r="K1773">
        <v>24</v>
      </c>
      <c r="L1773" t="str">
        <f>IF(Table1[[#This Row],[Age]]&lt;30,"20-29",
IF(Table1[[#This Row],[Age]]&lt;40,"30-39",
IF(Table1[[#This Row],[Age]]&lt;50,"40-49",
IF(Table1[[#This Row],[Age]]&lt;60,"50-59","60+"))))</f>
        <v>20-29</v>
      </c>
      <c r="M1773" t="s">
        <v>20</v>
      </c>
      <c r="N1773" t="s">
        <v>35</v>
      </c>
    </row>
    <row r="1774" spans="1:14" x14ac:dyDescent="0.35">
      <c r="A1774">
        <v>1873</v>
      </c>
      <c r="B1774" t="s">
        <v>15</v>
      </c>
      <c r="C1774" s="6">
        <v>45256</v>
      </c>
      <c r="D1774">
        <f>YEAR(Table1[[#This Row],[Join Date]])</f>
        <v>2023</v>
      </c>
      <c r="E1774" s="6" t="s">
        <v>48</v>
      </c>
      <c r="F1774" t="str">
        <f>IFERROR(YEAR(Table1[[#This Row],[Exit Date]]), " ")</f>
        <v xml:space="preserve"> </v>
      </c>
      <c r="G1774" t="str">
        <f>IFERROR((Table1[[#This Row],[Exit Year]]-Table1[[#This Row],[Join Year]])+1," ")</f>
        <v xml:space="preserve"> </v>
      </c>
      <c r="H1774" t="s">
        <v>48</v>
      </c>
      <c r="I1774" t="s">
        <v>11</v>
      </c>
      <c r="J1774" t="s">
        <v>18</v>
      </c>
      <c r="K1774">
        <v>41</v>
      </c>
      <c r="L1774" t="str">
        <f>IF(Table1[[#This Row],[Age]]&lt;30,"20-29",
IF(Table1[[#This Row],[Age]]&lt;40,"30-39",
IF(Table1[[#This Row],[Age]]&lt;50,"40-49",
IF(Table1[[#This Row],[Age]]&lt;60,"50-59","60+"))))</f>
        <v>40-49</v>
      </c>
      <c r="M1774" t="s">
        <v>24</v>
      </c>
      <c r="N1774" t="s">
        <v>37</v>
      </c>
    </row>
    <row r="1775" spans="1:14" x14ac:dyDescent="0.35">
      <c r="A1775">
        <v>1874</v>
      </c>
      <c r="B1775" t="s">
        <v>26</v>
      </c>
      <c r="C1775" s="6">
        <v>45465</v>
      </c>
      <c r="D1775">
        <f>YEAR(Table1[[#This Row],[Join Date]])</f>
        <v>2024</v>
      </c>
      <c r="E1775" s="6" t="s">
        <v>48</v>
      </c>
      <c r="F1775" t="str">
        <f>IFERROR(YEAR(Table1[[#This Row],[Exit Date]]), " ")</f>
        <v xml:space="preserve"> </v>
      </c>
      <c r="G1775" t="str">
        <f>IFERROR((Table1[[#This Row],[Exit Year]]-Table1[[#This Row],[Join Year]])+1," ")</f>
        <v xml:space="preserve"> </v>
      </c>
      <c r="H1775" t="s">
        <v>48</v>
      </c>
      <c r="I1775" t="s">
        <v>11</v>
      </c>
      <c r="J1775" t="s">
        <v>12</v>
      </c>
      <c r="K1775">
        <v>40</v>
      </c>
      <c r="L1775" t="str">
        <f>IF(Table1[[#This Row],[Age]]&lt;30,"20-29",
IF(Table1[[#This Row],[Age]]&lt;40,"30-39",
IF(Table1[[#This Row],[Age]]&lt;50,"40-49",
IF(Table1[[#This Row],[Age]]&lt;60,"50-59","60+"))))</f>
        <v>40-49</v>
      </c>
      <c r="M1775" t="s">
        <v>13</v>
      </c>
      <c r="N1775" t="s">
        <v>19</v>
      </c>
    </row>
    <row r="1776" spans="1:14" x14ac:dyDescent="0.35">
      <c r="A1776">
        <v>1875</v>
      </c>
      <c r="B1776" t="s">
        <v>10</v>
      </c>
      <c r="C1776" s="6">
        <v>43597</v>
      </c>
      <c r="D1776">
        <f>YEAR(Table1[[#This Row],[Join Date]])</f>
        <v>2019</v>
      </c>
      <c r="E1776" s="6" t="s">
        <v>48</v>
      </c>
      <c r="F1776" t="str">
        <f>IFERROR(YEAR(Table1[[#This Row],[Exit Date]]), " ")</f>
        <v xml:space="preserve"> </v>
      </c>
      <c r="G1776" t="str">
        <f>IFERROR((Table1[[#This Row],[Exit Year]]-Table1[[#This Row],[Join Year]])+1," ")</f>
        <v xml:space="preserve"> </v>
      </c>
      <c r="H1776" t="s">
        <v>48</v>
      </c>
      <c r="I1776" t="s">
        <v>11</v>
      </c>
      <c r="J1776" t="s">
        <v>18</v>
      </c>
      <c r="K1776">
        <v>48</v>
      </c>
      <c r="L1776" t="str">
        <f>IF(Table1[[#This Row],[Age]]&lt;30,"20-29",
IF(Table1[[#This Row],[Age]]&lt;40,"30-39",
IF(Table1[[#This Row],[Age]]&lt;50,"40-49",
IF(Table1[[#This Row],[Age]]&lt;60,"50-59","60+"))))</f>
        <v>40-49</v>
      </c>
      <c r="M1776" t="s">
        <v>42</v>
      </c>
      <c r="N1776" t="s">
        <v>25</v>
      </c>
    </row>
    <row r="1777" spans="1:14" x14ac:dyDescent="0.35">
      <c r="A1777">
        <v>1876</v>
      </c>
      <c r="B1777" t="s">
        <v>15</v>
      </c>
      <c r="C1777" s="6">
        <v>44866</v>
      </c>
      <c r="D1777">
        <f>YEAR(Table1[[#This Row],[Join Date]])</f>
        <v>2022</v>
      </c>
      <c r="E1777" s="6" t="s">
        <v>48</v>
      </c>
      <c r="F1777" t="str">
        <f>IFERROR(YEAR(Table1[[#This Row],[Exit Date]]), " ")</f>
        <v xml:space="preserve"> </v>
      </c>
      <c r="G1777" t="str">
        <f>IFERROR((Table1[[#This Row],[Exit Year]]-Table1[[#This Row],[Join Year]])+1," ")</f>
        <v xml:space="preserve"> </v>
      </c>
      <c r="H1777" t="s">
        <v>48</v>
      </c>
      <c r="I1777" t="s">
        <v>11</v>
      </c>
      <c r="J1777" t="s">
        <v>12</v>
      </c>
      <c r="K1777">
        <v>52</v>
      </c>
      <c r="L1777" t="str">
        <f>IF(Table1[[#This Row],[Age]]&lt;30,"20-29",
IF(Table1[[#This Row],[Age]]&lt;40,"30-39",
IF(Table1[[#This Row],[Age]]&lt;50,"40-49",
IF(Table1[[#This Row],[Age]]&lt;60,"50-59","60+"))))</f>
        <v>50-59</v>
      </c>
      <c r="M1777" t="s">
        <v>13</v>
      </c>
      <c r="N1777" t="s">
        <v>35</v>
      </c>
    </row>
    <row r="1778" spans="1:14" x14ac:dyDescent="0.35">
      <c r="A1778">
        <v>1877</v>
      </c>
      <c r="B1778" t="s">
        <v>34</v>
      </c>
      <c r="C1778" s="6">
        <v>44006</v>
      </c>
      <c r="D1778">
        <f>YEAR(Table1[[#This Row],[Join Date]])</f>
        <v>2020</v>
      </c>
      <c r="E1778" s="6">
        <v>44463</v>
      </c>
      <c r="F1778">
        <f>IFERROR(YEAR(Table1[[#This Row],[Exit Date]]), " ")</f>
        <v>2021</v>
      </c>
      <c r="G1778">
        <f>IFERROR((Table1[[#This Row],[Exit Year]]-Table1[[#This Row],[Join Year]])+1," ")</f>
        <v>2</v>
      </c>
      <c r="H1778" t="s">
        <v>43</v>
      </c>
      <c r="I1778" t="s">
        <v>23</v>
      </c>
      <c r="J1778" t="s">
        <v>18</v>
      </c>
      <c r="K1778">
        <v>33</v>
      </c>
      <c r="L1778" t="str">
        <f>IF(Table1[[#This Row],[Age]]&lt;30,"20-29",
IF(Table1[[#This Row],[Age]]&lt;40,"30-39",
IF(Table1[[#This Row],[Age]]&lt;50,"40-49",
IF(Table1[[#This Row],[Age]]&lt;60,"50-59","60+"))))</f>
        <v>30-39</v>
      </c>
      <c r="M1778" t="s">
        <v>13</v>
      </c>
      <c r="N1778" t="s">
        <v>17</v>
      </c>
    </row>
    <row r="1779" spans="1:14" x14ac:dyDescent="0.35">
      <c r="A1779">
        <v>1878</v>
      </c>
      <c r="B1779" t="s">
        <v>26</v>
      </c>
      <c r="C1779" s="6">
        <v>45095</v>
      </c>
      <c r="D1779">
        <f>YEAR(Table1[[#This Row],[Join Date]])</f>
        <v>2023</v>
      </c>
      <c r="E1779" s="6" t="s">
        <v>48</v>
      </c>
      <c r="F1779" t="str">
        <f>IFERROR(YEAR(Table1[[#This Row],[Exit Date]]), " ")</f>
        <v xml:space="preserve"> </v>
      </c>
      <c r="G1779" t="str">
        <f>IFERROR((Table1[[#This Row],[Exit Year]]-Table1[[#This Row],[Join Year]])+1," ")</f>
        <v xml:space="preserve"> </v>
      </c>
      <c r="H1779" t="s">
        <v>48</v>
      </c>
      <c r="I1779" t="s">
        <v>11</v>
      </c>
      <c r="J1779" t="s">
        <v>18</v>
      </c>
      <c r="K1779">
        <v>51</v>
      </c>
      <c r="L1779" t="str">
        <f>IF(Table1[[#This Row],[Age]]&lt;30,"20-29",
IF(Table1[[#This Row],[Age]]&lt;40,"30-39",
IF(Table1[[#This Row],[Age]]&lt;50,"40-49",
IF(Table1[[#This Row],[Age]]&lt;60,"50-59","60+"))))</f>
        <v>50-59</v>
      </c>
      <c r="M1779" t="s">
        <v>16</v>
      </c>
      <c r="N1779" t="s">
        <v>19</v>
      </c>
    </row>
    <row r="1780" spans="1:14" x14ac:dyDescent="0.35">
      <c r="A1780">
        <v>1879</v>
      </c>
      <c r="B1780" t="s">
        <v>10</v>
      </c>
      <c r="C1780" s="6">
        <v>44360</v>
      </c>
      <c r="D1780">
        <f>YEAR(Table1[[#This Row],[Join Date]])</f>
        <v>2021</v>
      </c>
      <c r="E1780" s="6">
        <v>44755</v>
      </c>
      <c r="F1780">
        <f>IFERROR(YEAR(Table1[[#This Row],[Exit Date]]), " ")</f>
        <v>2022</v>
      </c>
      <c r="G1780">
        <f>IFERROR((Table1[[#This Row],[Exit Year]]-Table1[[#This Row],[Join Year]])+1," ")</f>
        <v>2</v>
      </c>
      <c r="H1780" t="s">
        <v>38</v>
      </c>
      <c r="I1780" t="s">
        <v>23</v>
      </c>
      <c r="J1780" t="s">
        <v>12</v>
      </c>
      <c r="K1780">
        <v>46</v>
      </c>
      <c r="L1780" t="str">
        <f>IF(Table1[[#This Row],[Age]]&lt;30,"20-29",
IF(Table1[[#This Row],[Age]]&lt;40,"30-39",
IF(Table1[[#This Row],[Age]]&lt;50,"40-49",
IF(Table1[[#This Row],[Age]]&lt;60,"50-59","60+"))))</f>
        <v>40-49</v>
      </c>
      <c r="M1780" t="s">
        <v>13</v>
      </c>
      <c r="N1780" t="s">
        <v>21</v>
      </c>
    </row>
    <row r="1781" spans="1:14" x14ac:dyDescent="0.35">
      <c r="A1781">
        <v>1880</v>
      </c>
      <c r="B1781" t="s">
        <v>26</v>
      </c>
      <c r="C1781" s="6">
        <v>43419</v>
      </c>
      <c r="D1781">
        <f>YEAR(Table1[[#This Row],[Join Date]])</f>
        <v>2018</v>
      </c>
      <c r="E1781" s="6">
        <v>44303</v>
      </c>
      <c r="F1781">
        <f>IFERROR(YEAR(Table1[[#This Row],[Exit Date]]), " ")</f>
        <v>2021</v>
      </c>
      <c r="G1781">
        <f>IFERROR((Table1[[#This Row],[Exit Year]]-Table1[[#This Row],[Join Year]])+1," ")</f>
        <v>4</v>
      </c>
      <c r="H1781" t="s">
        <v>22</v>
      </c>
      <c r="I1781" t="s">
        <v>23</v>
      </c>
      <c r="J1781" t="s">
        <v>18</v>
      </c>
      <c r="K1781">
        <v>53</v>
      </c>
      <c r="L1781" t="str">
        <f>IF(Table1[[#This Row],[Age]]&lt;30,"20-29",
IF(Table1[[#This Row],[Age]]&lt;40,"30-39",
IF(Table1[[#This Row],[Age]]&lt;50,"40-49",
IF(Table1[[#This Row],[Age]]&lt;60,"50-59","60+"))))</f>
        <v>50-59</v>
      </c>
      <c r="M1781" t="s">
        <v>20</v>
      </c>
      <c r="N1781" t="s">
        <v>25</v>
      </c>
    </row>
    <row r="1782" spans="1:14" x14ac:dyDescent="0.35">
      <c r="A1782">
        <v>1881</v>
      </c>
      <c r="B1782" t="s">
        <v>36</v>
      </c>
      <c r="C1782" s="6">
        <v>44249</v>
      </c>
      <c r="D1782">
        <f>YEAR(Table1[[#This Row],[Join Date]])</f>
        <v>2021</v>
      </c>
      <c r="E1782" s="6" t="s">
        <v>48</v>
      </c>
      <c r="F1782" t="str">
        <f>IFERROR(YEAR(Table1[[#This Row],[Exit Date]]), " ")</f>
        <v xml:space="preserve"> </v>
      </c>
      <c r="G1782" t="str">
        <f>IFERROR((Table1[[#This Row],[Exit Year]]-Table1[[#This Row],[Join Year]])+1," ")</f>
        <v xml:space="preserve"> </v>
      </c>
      <c r="H1782" t="s">
        <v>48</v>
      </c>
      <c r="I1782" t="s">
        <v>11</v>
      </c>
      <c r="J1782" t="s">
        <v>18</v>
      </c>
      <c r="K1782">
        <v>35</v>
      </c>
      <c r="L1782" t="str">
        <f>IF(Table1[[#This Row],[Age]]&lt;30,"20-29",
IF(Table1[[#This Row],[Age]]&lt;40,"30-39",
IF(Table1[[#This Row],[Age]]&lt;50,"40-49",
IF(Table1[[#This Row],[Age]]&lt;60,"50-59","60+"))))</f>
        <v>30-39</v>
      </c>
      <c r="M1782" t="s">
        <v>39</v>
      </c>
      <c r="N1782" t="s">
        <v>35</v>
      </c>
    </row>
    <row r="1783" spans="1:14" x14ac:dyDescent="0.35">
      <c r="A1783">
        <v>1882</v>
      </c>
      <c r="B1783" t="s">
        <v>10</v>
      </c>
      <c r="C1783" s="6">
        <v>45533</v>
      </c>
      <c r="D1783">
        <f>YEAR(Table1[[#This Row],[Join Date]])</f>
        <v>2024</v>
      </c>
      <c r="E1783" s="6" t="s">
        <v>48</v>
      </c>
      <c r="F1783" t="str">
        <f>IFERROR(YEAR(Table1[[#This Row],[Exit Date]]), " ")</f>
        <v xml:space="preserve"> </v>
      </c>
      <c r="G1783" t="str">
        <f>IFERROR((Table1[[#This Row],[Exit Year]]-Table1[[#This Row],[Join Year]])+1," ")</f>
        <v xml:space="preserve"> </v>
      </c>
      <c r="H1783" t="s">
        <v>48</v>
      </c>
      <c r="I1783" t="s">
        <v>11</v>
      </c>
      <c r="J1783" t="s">
        <v>12</v>
      </c>
      <c r="K1783">
        <v>32</v>
      </c>
      <c r="L1783" t="str">
        <f>IF(Table1[[#This Row],[Age]]&lt;30,"20-29",
IF(Table1[[#This Row],[Age]]&lt;40,"30-39",
IF(Table1[[#This Row],[Age]]&lt;50,"40-49",
IF(Table1[[#This Row],[Age]]&lt;60,"50-59","60+"))))</f>
        <v>30-39</v>
      </c>
      <c r="M1783" t="s">
        <v>13</v>
      </c>
      <c r="N1783" t="s">
        <v>14</v>
      </c>
    </row>
    <row r="1784" spans="1:14" x14ac:dyDescent="0.35">
      <c r="A1784">
        <v>1883</v>
      </c>
      <c r="B1784" t="s">
        <v>36</v>
      </c>
      <c r="C1784" s="6">
        <v>44377</v>
      </c>
      <c r="D1784">
        <f>YEAR(Table1[[#This Row],[Join Date]])</f>
        <v>2021</v>
      </c>
      <c r="E1784" s="6" t="s">
        <v>48</v>
      </c>
      <c r="F1784" t="str">
        <f>IFERROR(YEAR(Table1[[#This Row],[Exit Date]]), " ")</f>
        <v xml:space="preserve"> </v>
      </c>
      <c r="G1784" t="str">
        <f>IFERROR((Table1[[#This Row],[Exit Year]]-Table1[[#This Row],[Join Year]])+1," ")</f>
        <v xml:space="preserve"> </v>
      </c>
      <c r="H1784" t="s">
        <v>48</v>
      </c>
      <c r="I1784" t="s">
        <v>11</v>
      </c>
      <c r="J1784" t="s">
        <v>12</v>
      </c>
      <c r="K1784">
        <v>46</v>
      </c>
      <c r="L1784" t="str">
        <f>IF(Table1[[#This Row],[Age]]&lt;30,"20-29",
IF(Table1[[#This Row],[Age]]&lt;40,"30-39",
IF(Table1[[#This Row],[Age]]&lt;50,"40-49",
IF(Table1[[#This Row],[Age]]&lt;60,"50-59","60+"))))</f>
        <v>40-49</v>
      </c>
      <c r="M1784" t="s">
        <v>16</v>
      </c>
      <c r="N1784" t="s">
        <v>19</v>
      </c>
    </row>
    <row r="1785" spans="1:14" x14ac:dyDescent="0.35">
      <c r="A1785">
        <v>1884</v>
      </c>
      <c r="B1785" t="s">
        <v>10</v>
      </c>
      <c r="C1785" s="6">
        <v>44088</v>
      </c>
      <c r="D1785">
        <f>YEAR(Table1[[#This Row],[Join Date]])</f>
        <v>2020</v>
      </c>
      <c r="E1785" s="6" t="s">
        <v>48</v>
      </c>
      <c r="F1785" t="str">
        <f>IFERROR(YEAR(Table1[[#This Row],[Exit Date]]), " ")</f>
        <v xml:space="preserve"> </v>
      </c>
      <c r="G1785" t="str">
        <f>IFERROR((Table1[[#This Row],[Exit Year]]-Table1[[#This Row],[Join Year]])+1," ")</f>
        <v xml:space="preserve"> </v>
      </c>
      <c r="H1785" t="s">
        <v>48</v>
      </c>
      <c r="I1785" t="s">
        <v>11</v>
      </c>
      <c r="J1785" t="s">
        <v>18</v>
      </c>
      <c r="K1785">
        <v>50</v>
      </c>
      <c r="L1785" t="str">
        <f>IF(Table1[[#This Row],[Age]]&lt;30,"20-29",
IF(Table1[[#This Row],[Age]]&lt;40,"30-39",
IF(Table1[[#This Row],[Age]]&lt;50,"40-49",
IF(Table1[[#This Row],[Age]]&lt;60,"50-59","60+"))))</f>
        <v>50-59</v>
      </c>
      <c r="M1785" t="s">
        <v>16</v>
      </c>
      <c r="N1785" t="s">
        <v>21</v>
      </c>
    </row>
    <row r="1786" spans="1:14" x14ac:dyDescent="0.35">
      <c r="A1786">
        <v>1885</v>
      </c>
      <c r="B1786" t="s">
        <v>26</v>
      </c>
      <c r="C1786" s="6">
        <v>43373</v>
      </c>
      <c r="D1786">
        <f>YEAR(Table1[[#This Row],[Join Date]])</f>
        <v>2018</v>
      </c>
      <c r="E1786" s="6">
        <v>44825</v>
      </c>
      <c r="F1786">
        <f>IFERROR(YEAR(Table1[[#This Row],[Exit Date]]), " ")</f>
        <v>2022</v>
      </c>
      <c r="G1786">
        <f>IFERROR((Table1[[#This Row],[Exit Year]]-Table1[[#This Row],[Join Year]])+1," ")</f>
        <v>5</v>
      </c>
      <c r="H1786" t="s">
        <v>27</v>
      </c>
      <c r="I1786" t="s">
        <v>23</v>
      </c>
      <c r="J1786" t="s">
        <v>18</v>
      </c>
      <c r="K1786">
        <v>62</v>
      </c>
      <c r="L1786" t="str">
        <f>IF(Table1[[#This Row],[Age]]&lt;30,"20-29",
IF(Table1[[#This Row],[Age]]&lt;40,"30-39",
IF(Table1[[#This Row],[Age]]&lt;50,"40-49",
IF(Table1[[#This Row],[Age]]&lt;60,"50-59","60+"))))</f>
        <v>60+</v>
      </c>
      <c r="M1786" t="s">
        <v>20</v>
      </c>
      <c r="N1786" t="s">
        <v>25</v>
      </c>
    </row>
    <row r="1787" spans="1:14" x14ac:dyDescent="0.35">
      <c r="A1787">
        <v>1886</v>
      </c>
      <c r="B1787" t="s">
        <v>26</v>
      </c>
      <c r="C1787" s="6">
        <v>43314</v>
      </c>
      <c r="D1787">
        <f>YEAR(Table1[[#This Row],[Join Date]])</f>
        <v>2018</v>
      </c>
      <c r="E1787" s="6" t="s">
        <v>48</v>
      </c>
      <c r="F1787" t="str">
        <f>IFERROR(YEAR(Table1[[#This Row],[Exit Date]]), " ")</f>
        <v xml:space="preserve"> </v>
      </c>
      <c r="G1787" t="str">
        <f>IFERROR((Table1[[#This Row],[Exit Year]]-Table1[[#This Row],[Join Year]])+1," ")</f>
        <v xml:space="preserve"> </v>
      </c>
      <c r="H1787" t="s">
        <v>48</v>
      </c>
      <c r="I1787" t="s">
        <v>11</v>
      </c>
      <c r="J1787" t="s">
        <v>12</v>
      </c>
      <c r="K1787">
        <v>29</v>
      </c>
      <c r="L1787" t="str">
        <f>IF(Table1[[#This Row],[Age]]&lt;30,"20-29",
IF(Table1[[#This Row],[Age]]&lt;40,"30-39",
IF(Table1[[#This Row],[Age]]&lt;50,"40-49",
IF(Table1[[#This Row],[Age]]&lt;60,"50-59","60+"))))</f>
        <v>20-29</v>
      </c>
      <c r="M1787" t="s">
        <v>24</v>
      </c>
      <c r="N1787" t="s">
        <v>35</v>
      </c>
    </row>
    <row r="1788" spans="1:14" x14ac:dyDescent="0.35">
      <c r="A1788">
        <v>1887</v>
      </c>
      <c r="B1788" t="s">
        <v>26</v>
      </c>
      <c r="C1788" s="6">
        <v>44418</v>
      </c>
      <c r="D1788">
        <f>YEAR(Table1[[#This Row],[Join Date]])</f>
        <v>2021</v>
      </c>
      <c r="E1788" s="6">
        <v>45628</v>
      </c>
      <c r="F1788">
        <f>IFERROR(YEAR(Table1[[#This Row],[Exit Date]]), " ")</f>
        <v>2024</v>
      </c>
      <c r="G1788">
        <f>IFERROR((Table1[[#This Row],[Exit Year]]-Table1[[#This Row],[Join Year]])+1," ")</f>
        <v>4</v>
      </c>
      <c r="H1788" t="s">
        <v>22</v>
      </c>
      <c r="I1788" t="s">
        <v>23</v>
      </c>
      <c r="J1788" t="s">
        <v>18</v>
      </c>
      <c r="K1788">
        <v>27</v>
      </c>
      <c r="L1788" t="str">
        <f>IF(Table1[[#This Row],[Age]]&lt;30,"20-29",
IF(Table1[[#This Row],[Age]]&lt;40,"30-39",
IF(Table1[[#This Row],[Age]]&lt;50,"40-49",
IF(Table1[[#This Row],[Age]]&lt;60,"50-59","60+"))))</f>
        <v>20-29</v>
      </c>
      <c r="M1788" t="s">
        <v>13</v>
      </c>
      <c r="N1788" t="s">
        <v>17</v>
      </c>
    </row>
    <row r="1789" spans="1:14" x14ac:dyDescent="0.35">
      <c r="A1789">
        <v>1888</v>
      </c>
      <c r="B1789" t="s">
        <v>34</v>
      </c>
      <c r="C1789" s="6">
        <v>44324</v>
      </c>
      <c r="D1789">
        <f>YEAR(Table1[[#This Row],[Join Date]])</f>
        <v>2021</v>
      </c>
      <c r="E1789" s="6">
        <v>45076</v>
      </c>
      <c r="F1789">
        <f>IFERROR(YEAR(Table1[[#This Row],[Exit Date]]), " ")</f>
        <v>2023</v>
      </c>
      <c r="G1789">
        <f>IFERROR((Table1[[#This Row],[Exit Year]]-Table1[[#This Row],[Join Year]])+1," ")</f>
        <v>3</v>
      </c>
      <c r="H1789" t="s">
        <v>40</v>
      </c>
      <c r="I1789" t="s">
        <v>23</v>
      </c>
      <c r="J1789" t="s">
        <v>12</v>
      </c>
      <c r="K1789">
        <v>31</v>
      </c>
      <c r="L1789" t="str">
        <f>IF(Table1[[#This Row],[Age]]&lt;30,"20-29",
IF(Table1[[#This Row],[Age]]&lt;40,"30-39",
IF(Table1[[#This Row],[Age]]&lt;50,"40-49",
IF(Table1[[#This Row],[Age]]&lt;60,"50-59","60+"))))</f>
        <v>30-39</v>
      </c>
      <c r="M1789" t="s">
        <v>44</v>
      </c>
      <c r="N1789" t="s">
        <v>19</v>
      </c>
    </row>
    <row r="1790" spans="1:14" x14ac:dyDescent="0.35">
      <c r="A1790">
        <v>1889</v>
      </c>
      <c r="B1790" t="s">
        <v>10</v>
      </c>
      <c r="C1790" s="6">
        <v>43513</v>
      </c>
      <c r="D1790">
        <f>YEAR(Table1[[#This Row],[Join Date]])</f>
        <v>2019</v>
      </c>
      <c r="E1790" s="6">
        <v>44923</v>
      </c>
      <c r="F1790">
        <f>IFERROR(YEAR(Table1[[#This Row],[Exit Date]]), " ")</f>
        <v>2022</v>
      </c>
      <c r="G1790">
        <f>IFERROR((Table1[[#This Row],[Exit Year]]-Table1[[#This Row],[Join Year]])+1," ")</f>
        <v>4</v>
      </c>
      <c r="H1790" t="s">
        <v>38</v>
      </c>
      <c r="I1790" t="s">
        <v>23</v>
      </c>
      <c r="J1790" t="s">
        <v>12</v>
      </c>
      <c r="K1790">
        <v>24</v>
      </c>
      <c r="L1790" t="str">
        <f>IF(Table1[[#This Row],[Age]]&lt;30,"20-29",
IF(Table1[[#This Row],[Age]]&lt;40,"30-39",
IF(Table1[[#This Row],[Age]]&lt;50,"40-49",
IF(Table1[[#This Row],[Age]]&lt;60,"50-59","60+"))))</f>
        <v>20-29</v>
      </c>
      <c r="M1790" t="s">
        <v>13</v>
      </c>
      <c r="N1790" t="s">
        <v>21</v>
      </c>
    </row>
    <row r="1791" spans="1:14" x14ac:dyDescent="0.35">
      <c r="A1791">
        <v>1890</v>
      </c>
      <c r="B1791" t="s">
        <v>36</v>
      </c>
      <c r="C1791" s="6">
        <v>44180</v>
      </c>
      <c r="D1791">
        <f>YEAR(Table1[[#This Row],[Join Date]])</f>
        <v>2020</v>
      </c>
      <c r="E1791" s="6" t="s">
        <v>48</v>
      </c>
      <c r="F1791" t="str">
        <f>IFERROR(YEAR(Table1[[#This Row],[Exit Date]]), " ")</f>
        <v xml:space="preserve"> </v>
      </c>
      <c r="G1791" t="str">
        <f>IFERROR((Table1[[#This Row],[Exit Year]]-Table1[[#This Row],[Join Year]])+1," ")</f>
        <v xml:space="preserve"> </v>
      </c>
      <c r="H1791" t="s">
        <v>48</v>
      </c>
      <c r="I1791" t="s">
        <v>11</v>
      </c>
      <c r="J1791" t="s">
        <v>12</v>
      </c>
      <c r="K1791">
        <v>37</v>
      </c>
      <c r="L1791" t="str">
        <f>IF(Table1[[#This Row],[Age]]&lt;30,"20-29",
IF(Table1[[#This Row],[Age]]&lt;40,"30-39",
IF(Table1[[#This Row],[Age]]&lt;50,"40-49",
IF(Table1[[#This Row],[Age]]&lt;60,"50-59","60+"))))</f>
        <v>30-39</v>
      </c>
      <c r="M1791" t="s">
        <v>13</v>
      </c>
      <c r="N1791" t="s">
        <v>25</v>
      </c>
    </row>
    <row r="1792" spans="1:14" x14ac:dyDescent="0.35">
      <c r="A1792">
        <v>1891</v>
      </c>
      <c r="B1792" t="s">
        <v>34</v>
      </c>
      <c r="C1792" s="6">
        <v>44099</v>
      </c>
      <c r="D1792">
        <f>YEAR(Table1[[#This Row],[Join Date]])</f>
        <v>2020</v>
      </c>
      <c r="E1792" s="6" t="s">
        <v>48</v>
      </c>
      <c r="F1792" t="str">
        <f>IFERROR(YEAR(Table1[[#This Row],[Exit Date]]), " ")</f>
        <v xml:space="preserve"> </v>
      </c>
      <c r="G1792" t="str">
        <f>IFERROR((Table1[[#This Row],[Exit Year]]-Table1[[#This Row],[Join Year]])+1," ")</f>
        <v xml:space="preserve"> </v>
      </c>
      <c r="H1792" t="s">
        <v>48</v>
      </c>
      <c r="I1792" t="s">
        <v>11</v>
      </c>
      <c r="J1792" t="s">
        <v>18</v>
      </c>
      <c r="K1792">
        <v>23</v>
      </c>
      <c r="L1792" t="str">
        <f>IF(Table1[[#This Row],[Age]]&lt;30,"20-29",
IF(Table1[[#This Row],[Age]]&lt;40,"30-39",
IF(Table1[[#This Row],[Age]]&lt;50,"40-49",
IF(Table1[[#This Row],[Age]]&lt;60,"50-59","60+"))))</f>
        <v>20-29</v>
      </c>
      <c r="M1792" t="s">
        <v>16</v>
      </c>
      <c r="N1792" t="s">
        <v>35</v>
      </c>
    </row>
    <row r="1793" spans="1:14" x14ac:dyDescent="0.35">
      <c r="A1793">
        <v>1892</v>
      </c>
      <c r="B1793" t="s">
        <v>34</v>
      </c>
      <c r="C1793" s="6">
        <v>45632</v>
      </c>
      <c r="D1793">
        <f>YEAR(Table1[[#This Row],[Join Date]])</f>
        <v>2024</v>
      </c>
      <c r="E1793" s="6" t="s">
        <v>48</v>
      </c>
      <c r="F1793" t="str">
        <f>IFERROR(YEAR(Table1[[#This Row],[Exit Date]]), " ")</f>
        <v xml:space="preserve"> </v>
      </c>
      <c r="G1793" t="str">
        <f>IFERROR((Table1[[#This Row],[Exit Year]]-Table1[[#This Row],[Join Year]])+1," ")</f>
        <v xml:space="preserve"> </v>
      </c>
      <c r="H1793" t="s">
        <v>48</v>
      </c>
      <c r="I1793" t="s">
        <v>11</v>
      </c>
      <c r="J1793" t="s">
        <v>12</v>
      </c>
      <c r="K1793">
        <v>31</v>
      </c>
      <c r="L1793" t="str">
        <f>IF(Table1[[#This Row],[Age]]&lt;30,"20-29",
IF(Table1[[#This Row],[Age]]&lt;40,"30-39",
IF(Table1[[#This Row],[Age]]&lt;50,"40-49",
IF(Table1[[#This Row],[Age]]&lt;60,"50-59","60+"))))</f>
        <v>30-39</v>
      </c>
      <c r="M1793" t="s">
        <v>13</v>
      </c>
      <c r="N1793" t="s">
        <v>14</v>
      </c>
    </row>
    <row r="1794" spans="1:14" x14ac:dyDescent="0.35">
      <c r="A1794">
        <v>1893</v>
      </c>
      <c r="B1794" t="s">
        <v>36</v>
      </c>
      <c r="C1794" s="6">
        <v>45294</v>
      </c>
      <c r="D1794">
        <f>YEAR(Table1[[#This Row],[Join Date]])</f>
        <v>2024</v>
      </c>
      <c r="E1794" s="6" t="s">
        <v>48</v>
      </c>
      <c r="F1794" t="str">
        <f>IFERROR(YEAR(Table1[[#This Row],[Exit Date]]), " ")</f>
        <v xml:space="preserve"> </v>
      </c>
      <c r="G1794" t="str">
        <f>IFERROR((Table1[[#This Row],[Exit Year]]-Table1[[#This Row],[Join Year]])+1," ")</f>
        <v xml:space="preserve"> </v>
      </c>
      <c r="H1794" t="s">
        <v>48</v>
      </c>
      <c r="I1794" t="s">
        <v>11</v>
      </c>
      <c r="J1794" t="s">
        <v>18</v>
      </c>
      <c r="K1794">
        <v>52</v>
      </c>
      <c r="L1794" t="str">
        <f>IF(Table1[[#This Row],[Age]]&lt;30,"20-29",
IF(Table1[[#This Row],[Age]]&lt;40,"30-39",
IF(Table1[[#This Row],[Age]]&lt;50,"40-49",
IF(Table1[[#This Row],[Age]]&lt;60,"50-59","60+"))))</f>
        <v>50-59</v>
      </c>
      <c r="M1794" t="s">
        <v>20</v>
      </c>
      <c r="N1794" t="s">
        <v>19</v>
      </c>
    </row>
    <row r="1795" spans="1:14" x14ac:dyDescent="0.35">
      <c r="A1795">
        <v>1894</v>
      </c>
      <c r="B1795" t="s">
        <v>26</v>
      </c>
      <c r="C1795" s="6">
        <v>44590</v>
      </c>
      <c r="D1795">
        <f>YEAR(Table1[[#This Row],[Join Date]])</f>
        <v>2022</v>
      </c>
      <c r="E1795" s="6" t="s">
        <v>48</v>
      </c>
      <c r="F1795" t="str">
        <f>IFERROR(YEAR(Table1[[#This Row],[Exit Date]]), " ")</f>
        <v xml:space="preserve"> </v>
      </c>
      <c r="G1795" t="str">
        <f>IFERROR((Table1[[#This Row],[Exit Year]]-Table1[[#This Row],[Join Year]])+1," ")</f>
        <v xml:space="preserve"> </v>
      </c>
      <c r="H1795" t="s">
        <v>48</v>
      </c>
      <c r="I1795" t="s">
        <v>11</v>
      </c>
      <c r="J1795" t="s">
        <v>12</v>
      </c>
      <c r="K1795">
        <v>25</v>
      </c>
      <c r="L1795" t="str">
        <f>IF(Table1[[#This Row],[Age]]&lt;30,"20-29",
IF(Table1[[#This Row],[Age]]&lt;40,"30-39",
IF(Table1[[#This Row],[Age]]&lt;50,"40-49",
IF(Table1[[#This Row],[Age]]&lt;60,"50-59","60+"))))</f>
        <v>20-29</v>
      </c>
      <c r="M1795" t="s">
        <v>44</v>
      </c>
      <c r="N1795" t="s">
        <v>21</v>
      </c>
    </row>
    <row r="1796" spans="1:14" x14ac:dyDescent="0.35">
      <c r="A1796">
        <v>1895</v>
      </c>
      <c r="B1796" t="s">
        <v>15</v>
      </c>
      <c r="C1796" s="6">
        <v>45215</v>
      </c>
      <c r="D1796">
        <f>YEAR(Table1[[#This Row],[Join Date]])</f>
        <v>2023</v>
      </c>
      <c r="E1796" s="6" t="s">
        <v>48</v>
      </c>
      <c r="F1796" t="str">
        <f>IFERROR(YEAR(Table1[[#This Row],[Exit Date]]), " ")</f>
        <v xml:space="preserve"> </v>
      </c>
      <c r="G1796" t="str">
        <f>IFERROR((Table1[[#This Row],[Exit Year]]-Table1[[#This Row],[Join Year]])+1," ")</f>
        <v xml:space="preserve"> </v>
      </c>
      <c r="H1796" t="s">
        <v>48</v>
      </c>
      <c r="I1796" t="s">
        <v>11</v>
      </c>
      <c r="J1796" t="s">
        <v>18</v>
      </c>
      <c r="K1796">
        <v>46</v>
      </c>
      <c r="L1796" t="str">
        <f>IF(Table1[[#This Row],[Age]]&lt;30,"20-29",
IF(Table1[[#This Row],[Age]]&lt;40,"30-39",
IF(Table1[[#This Row],[Age]]&lt;50,"40-49",
IF(Table1[[#This Row],[Age]]&lt;60,"50-59","60+"))))</f>
        <v>40-49</v>
      </c>
      <c r="M1796" t="s">
        <v>13</v>
      </c>
      <c r="N1796" t="s">
        <v>37</v>
      </c>
    </row>
    <row r="1797" spans="1:14" x14ac:dyDescent="0.35">
      <c r="A1797">
        <v>1896</v>
      </c>
      <c r="B1797" t="s">
        <v>15</v>
      </c>
      <c r="C1797" s="6">
        <v>43624</v>
      </c>
      <c r="D1797">
        <f>YEAR(Table1[[#This Row],[Join Date]])</f>
        <v>2019</v>
      </c>
      <c r="E1797" s="6">
        <v>44228</v>
      </c>
      <c r="F1797">
        <f>IFERROR(YEAR(Table1[[#This Row],[Exit Date]]), " ")</f>
        <v>2021</v>
      </c>
      <c r="G1797">
        <f>IFERROR((Table1[[#This Row],[Exit Year]]-Table1[[#This Row],[Join Year]])+1," ")</f>
        <v>3</v>
      </c>
      <c r="H1797" t="s">
        <v>41</v>
      </c>
      <c r="I1797" t="s">
        <v>23</v>
      </c>
      <c r="J1797" t="s">
        <v>18</v>
      </c>
      <c r="K1797">
        <v>24</v>
      </c>
      <c r="L1797" t="str">
        <f>IF(Table1[[#This Row],[Age]]&lt;30,"20-29",
IF(Table1[[#This Row],[Age]]&lt;40,"30-39",
IF(Table1[[#This Row],[Age]]&lt;50,"40-49",
IF(Table1[[#This Row],[Age]]&lt;60,"50-59","60+"))))</f>
        <v>20-29</v>
      </c>
      <c r="M1797" t="s">
        <v>16</v>
      </c>
      <c r="N1797" t="s">
        <v>25</v>
      </c>
    </row>
    <row r="1798" spans="1:14" x14ac:dyDescent="0.35">
      <c r="A1798">
        <v>1897</v>
      </c>
      <c r="B1798" t="s">
        <v>15</v>
      </c>
      <c r="C1798" s="6">
        <v>44514</v>
      </c>
      <c r="D1798">
        <f>YEAR(Table1[[#This Row],[Join Date]])</f>
        <v>2021</v>
      </c>
      <c r="E1798" s="6">
        <v>45529</v>
      </c>
      <c r="F1798">
        <f>IFERROR(YEAR(Table1[[#This Row],[Exit Date]]), " ")</f>
        <v>2024</v>
      </c>
      <c r="G1798">
        <f>IFERROR((Table1[[#This Row],[Exit Year]]-Table1[[#This Row],[Join Year]])+1," ")</f>
        <v>4</v>
      </c>
      <c r="H1798" t="s">
        <v>41</v>
      </c>
      <c r="I1798" t="s">
        <v>23</v>
      </c>
      <c r="J1798" t="s">
        <v>12</v>
      </c>
      <c r="K1798">
        <v>38</v>
      </c>
      <c r="L1798" t="str">
        <f>IF(Table1[[#This Row],[Age]]&lt;30,"20-29",
IF(Table1[[#This Row],[Age]]&lt;40,"30-39",
IF(Table1[[#This Row],[Age]]&lt;50,"40-49",
IF(Table1[[#This Row],[Age]]&lt;60,"50-59","60+"))))</f>
        <v>30-39</v>
      </c>
      <c r="M1798" t="s">
        <v>16</v>
      </c>
      <c r="N1798" t="s">
        <v>35</v>
      </c>
    </row>
    <row r="1799" spans="1:14" x14ac:dyDescent="0.35">
      <c r="A1799">
        <v>1898</v>
      </c>
      <c r="B1799" t="s">
        <v>29</v>
      </c>
      <c r="C1799" s="6">
        <v>43700</v>
      </c>
      <c r="D1799">
        <f>YEAR(Table1[[#This Row],[Join Date]])</f>
        <v>2019</v>
      </c>
      <c r="E1799" s="6" t="s">
        <v>48</v>
      </c>
      <c r="F1799" t="str">
        <f>IFERROR(YEAR(Table1[[#This Row],[Exit Date]]), " ")</f>
        <v xml:space="preserve"> </v>
      </c>
      <c r="G1799" t="str">
        <f>IFERROR((Table1[[#This Row],[Exit Year]]-Table1[[#This Row],[Join Year]])+1," ")</f>
        <v xml:space="preserve"> </v>
      </c>
      <c r="H1799" t="s">
        <v>48</v>
      </c>
      <c r="I1799" t="s">
        <v>11</v>
      </c>
      <c r="J1799" t="s">
        <v>18</v>
      </c>
      <c r="K1799">
        <v>49</v>
      </c>
      <c r="L1799" t="str">
        <f>IF(Table1[[#This Row],[Age]]&lt;30,"20-29",
IF(Table1[[#This Row],[Age]]&lt;40,"30-39",
IF(Table1[[#This Row],[Age]]&lt;50,"40-49",
IF(Table1[[#This Row],[Age]]&lt;60,"50-59","60+"))))</f>
        <v>40-49</v>
      </c>
      <c r="M1799" t="s">
        <v>20</v>
      </c>
      <c r="N1799" t="s">
        <v>14</v>
      </c>
    </row>
    <row r="1800" spans="1:14" x14ac:dyDescent="0.35">
      <c r="A1800">
        <v>1899</v>
      </c>
      <c r="B1800" t="s">
        <v>34</v>
      </c>
      <c r="C1800" s="6">
        <v>45540</v>
      </c>
      <c r="D1800">
        <f>YEAR(Table1[[#This Row],[Join Date]])</f>
        <v>2024</v>
      </c>
      <c r="E1800" s="6" t="s">
        <v>48</v>
      </c>
      <c r="F1800" t="str">
        <f>IFERROR(YEAR(Table1[[#This Row],[Exit Date]]), " ")</f>
        <v xml:space="preserve"> </v>
      </c>
      <c r="G1800" t="str">
        <f>IFERROR((Table1[[#This Row],[Exit Year]]-Table1[[#This Row],[Join Year]])+1," ")</f>
        <v xml:space="preserve"> </v>
      </c>
      <c r="H1800" t="s">
        <v>48</v>
      </c>
      <c r="I1800" t="s">
        <v>11</v>
      </c>
      <c r="J1800" t="s">
        <v>18</v>
      </c>
      <c r="K1800">
        <v>31</v>
      </c>
      <c r="L1800" t="str">
        <f>IF(Table1[[#This Row],[Age]]&lt;30,"20-29",
IF(Table1[[#This Row],[Age]]&lt;40,"30-39",
IF(Table1[[#This Row],[Age]]&lt;50,"40-49",
IF(Table1[[#This Row],[Age]]&lt;60,"50-59","60+"))))</f>
        <v>30-39</v>
      </c>
      <c r="M1800" t="s">
        <v>24</v>
      </c>
      <c r="N1800" t="s">
        <v>17</v>
      </c>
    </row>
    <row r="1801" spans="1:14" x14ac:dyDescent="0.35">
      <c r="A1801">
        <v>1900</v>
      </c>
      <c r="B1801" t="s">
        <v>10</v>
      </c>
      <c r="C1801" s="6">
        <v>43297</v>
      </c>
      <c r="D1801">
        <f>YEAR(Table1[[#This Row],[Join Date]])</f>
        <v>2018</v>
      </c>
      <c r="E1801" s="6">
        <v>44682</v>
      </c>
      <c r="F1801">
        <f>IFERROR(YEAR(Table1[[#This Row],[Exit Date]]), " ")</f>
        <v>2022</v>
      </c>
      <c r="G1801">
        <f>IFERROR((Table1[[#This Row],[Exit Year]]-Table1[[#This Row],[Join Year]])+1," ")</f>
        <v>5</v>
      </c>
      <c r="H1801" t="s">
        <v>40</v>
      </c>
      <c r="I1801" t="s">
        <v>23</v>
      </c>
      <c r="J1801" t="s">
        <v>12</v>
      </c>
      <c r="K1801">
        <v>51</v>
      </c>
      <c r="L1801" t="str">
        <f>IF(Table1[[#This Row],[Age]]&lt;30,"20-29",
IF(Table1[[#This Row],[Age]]&lt;40,"30-39",
IF(Table1[[#This Row],[Age]]&lt;50,"40-49",
IF(Table1[[#This Row],[Age]]&lt;60,"50-59","60+"))))</f>
        <v>50-59</v>
      </c>
      <c r="M1801" t="s">
        <v>13</v>
      </c>
      <c r="N1801" t="s">
        <v>19</v>
      </c>
    </row>
    <row r="1802" spans="1:14" x14ac:dyDescent="0.35">
      <c r="A1802">
        <v>1901</v>
      </c>
      <c r="B1802" t="s">
        <v>10</v>
      </c>
      <c r="C1802" s="6">
        <v>43407</v>
      </c>
      <c r="D1802">
        <f>YEAR(Table1[[#This Row],[Join Date]])</f>
        <v>2018</v>
      </c>
      <c r="E1802" s="6" t="s">
        <v>48</v>
      </c>
      <c r="F1802" t="str">
        <f>IFERROR(YEAR(Table1[[#This Row],[Exit Date]]), " ")</f>
        <v xml:space="preserve"> </v>
      </c>
      <c r="G1802" t="str">
        <f>IFERROR((Table1[[#This Row],[Exit Year]]-Table1[[#This Row],[Join Year]])+1," ")</f>
        <v xml:space="preserve"> </v>
      </c>
      <c r="H1802" t="s">
        <v>48</v>
      </c>
      <c r="I1802" t="s">
        <v>11</v>
      </c>
      <c r="J1802" t="s">
        <v>12</v>
      </c>
      <c r="K1802">
        <v>27</v>
      </c>
      <c r="L1802" t="str">
        <f>IF(Table1[[#This Row],[Age]]&lt;30,"20-29",
IF(Table1[[#This Row],[Age]]&lt;40,"30-39",
IF(Table1[[#This Row],[Age]]&lt;50,"40-49",
IF(Table1[[#This Row],[Age]]&lt;60,"50-59","60+"))))</f>
        <v>20-29</v>
      </c>
      <c r="M1802" t="s">
        <v>30</v>
      </c>
      <c r="N1802" t="s">
        <v>21</v>
      </c>
    </row>
    <row r="1803" spans="1:14" x14ac:dyDescent="0.35">
      <c r="A1803">
        <v>1902</v>
      </c>
      <c r="B1803" t="s">
        <v>15</v>
      </c>
      <c r="C1803" s="6">
        <v>44121</v>
      </c>
      <c r="D1803">
        <f>YEAR(Table1[[#This Row],[Join Date]])</f>
        <v>2020</v>
      </c>
      <c r="E1803" s="6" t="s">
        <v>48</v>
      </c>
      <c r="F1803" t="str">
        <f>IFERROR(YEAR(Table1[[#This Row],[Exit Date]]), " ")</f>
        <v xml:space="preserve"> </v>
      </c>
      <c r="G1803" t="str">
        <f>IFERROR((Table1[[#This Row],[Exit Year]]-Table1[[#This Row],[Join Year]])+1," ")</f>
        <v xml:space="preserve"> </v>
      </c>
      <c r="H1803" t="s">
        <v>48</v>
      </c>
      <c r="I1803" t="s">
        <v>11</v>
      </c>
      <c r="J1803" t="s">
        <v>12</v>
      </c>
      <c r="K1803">
        <v>22</v>
      </c>
      <c r="L1803" t="str">
        <f>IF(Table1[[#This Row],[Age]]&lt;30,"20-29",
IF(Table1[[#This Row],[Age]]&lt;40,"30-39",
IF(Table1[[#This Row],[Age]]&lt;50,"40-49",
IF(Table1[[#This Row],[Age]]&lt;60,"50-59","60+"))))</f>
        <v>20-29</v>
      </c>
      <c r="M1803" t="s">
        <v>13</v>
      </c>
      <c r="N1803" t="s">
        <v>17</v>
      </c>
    </row>
    <row r="1804" spans="1:14" x14ac:dyDescent="0.35">
      <c r="A1804">
        <v>1903</v>
      </c>
      <c r="B1804" t="s">
        <v>15</v>
      </c>
      <c r="C1804" s="6">
        <v>44423</v>
      </c>
      <c r="D1804">
        <f>YEAR(Table1[[#This Row],[Join Date]])</f>
        <v>2021</v>
      </c>
      <c r="E1804" s="6" t="s">
        <v>48</v>
      </c>
      <c r="F1804" t="str">
        <f>IFERROR(YEAR(Table1[[#This Row],[Exit Date]]), " ")</f>
        <v xml:space="preserve"> </v>
      </c>
      <c r="G1804" t="str">
        <f>IFERROR((Table1[[#This Row],[Exit Year]]-Table1[[#This Row],[Join Year]])+1," ")</f>
        <v xml:space="preserve"> </v>
      </c>
      <c r="H1804" t="s">
        <v>48</v>
      </c>
      <c r="I1804" t="s">
        <v>11</v>
      </c>
      <c r="J1804" t="s">
        <v>18</v>
      </c>
      <c r="K1804">
        <v>50</v>
      </c>
      <c r="L1804" t="str">
        <f>IF(Table1[[#This Row],[Age]]&lt;30,"20-29",
IF(Table1[[#This Row],[Age]]&lt;40,"30-39",
IF(Table1[[#This Row],[Age]]&lt;50,"40-49",
IF(Table1[[#This Row],[Age]]&lt;60,"50-59","60+"))))</f>
        <v>50-59</v>
      </c>
      <c r="M1804" t="s">
        <v>13</v>
      </c>
      <c r="N1804" t="s">
        <v>19</v>
      </c>
    </row>
    <row r="1805" spans="1:14" x14ac:dyDescent="0.35">
      <c r="A1805">
        <v>1904</v>
      </c>
      <c r="B1805" t="s">
        <v>15</v>
      </c>
      <c r="C1805" s="6">
        <v>45087</v>
      </c>
      <c r="D1805">
        <f>YEAR(Table1[[#This Row],[Join Date]])</f>
        <v>2023</v>
      </c>
      <c r="E1805" s="6" t="s">
        <v>48</v>
      </c>
      <c r="F1805" t="str">
        <f>IFERROR(YEAR(Table1[[#This Row],[Exit Date]]), " ")</f>
        <v xml:space="preserve"> </v>
      </c>
      <c r="G1805" t="str">
        <f>IFERROR((Table1[[#This Row],[Exit Year]]-Table1[[#This Row],[Join Year]])+1," ")</f>
        <v xml:space="preserve"> </v>
      </c>
      <c r="H1805" t="s">
        <v>48</v>
      </c>
      <c r="I1805" t="s">
        <v>11</v>
      </c>
      <c r="J1805" t="s">
        <v>18</v>
      </c>
      <c r="K1805">
        <v>24</v>
      </c>
      <c r="L1805" t="str">
        <f>IF(Table1[[#This Row],[Age]]&lt;30,"20-29",
IF(Table1[[#This Row],[Age]]&lt;40,"30-39",
IF(Table1[[#This Row],[Age]]&lt;50,"40-49",
IF(Table1[[#This Row],[Age]]&lt;60,"50-59","60+"))))</f>
        <v>20-29</v>
      </c>
      <c r="M1805" t="s">
        <v>16</v>
      </c>
      <c r="N1805" t="s">
        <v>21</v>
      </c>
    </row>
    <row r="1806" spans="1:14" x14ac:dyDescent="0.35">
      <c r="A1806">
        <v>1905</v>
      </c>
      <c r="B1806" t="s">
        <v>15</v>
      </c>
      <c r="C1806" s="6">
        <v>43479</v>
      </c>
      <c r="D1806">
        <f>YEAR(Table1[[#This Row],[Join Date]])</f>
        <v>2019</v>
      </c>
      <c r="E1806" s="6">
        <v>44449</v>
      </c>
      <c r="F1806">
        <f>IFERROR(YEAR(Table1[[#This Row],[Exit Date]]), " ")</f>
        <v>2021</v>
      </c>
      <c r="G1806">
        <f>IFERROR((Table1[[#This Row],[Exit Year]]-Table1[[#This Row],[Join Year]])+1," ")</f>
        <v>3</v>
      </c>
      <c r="H1806" t="s">
        <v>22</v>
      </c>
      <c r="I1806" t="s">
        <v>23</v>
      </c>
      <c r="J1806" t="s">
        <v>12</v>
      </c>
      <c r="K1806">
        <v>50</v>
      </c>
      <c r="L1806" t="str">
        <f>IF(Table1[[#This Row],[Age]]&lt;30,"20-29",
IF(Table1[[#This Row],[Age]]&lt;40,"30-39",
IF(Table1[[#This Row],[Age]]&lt;50,"40-49",
IF(Table1[[#This Row],[Age]]&lt;60,"50-59","60+"))))</f>
        <v>50-59</v>
      </c>
      <c r="M1806" t="s">
        <v>13</v>
      </c>
      <c r="N1806" t="s">
        <v>25</v>
      </c>
    </row>
    <row r="1807" spans="1:14" x14ac:dyDescent="0.35">
      <c r="A1807">
        <v>1906</v>
      </c>
      <c r="B1807" t="s">
        <v>26</v>
      </c>
      <c r="C1807" s="6">
        <v>44749</v>
      </c>
      <c r="D1807">
        <f>YEAR(Table1[[#This Row],[Join Date]])</f>
        <v>2022</v>
      </c>
      <c r="E1807" s="6">
        <v>44972</v>
      </c>
      <c r="F1807">
        <f>IFERROR(YEAR(Table1[[#This Row],[Exit Date]]), " ")</f>
        <v>2023</v>
      </c>
      <c r="G1807">
        <f>IFERROR((Table1[[#This Row],[Exit Year]]-Table1[[#This Row],[Join Year]])+1," ")</f>
        <v>2</v>
      </c>
      <c r="H1807" t="s">
        <v>46</v>
      </c>
      <c r="I1807" t="s">
        <v>23</v>
      </c>
      <c r="J1807" t="s">
        <v>18</v>
      </c>
      <c r="K1807">
        <v>28</v>
      </c>
      <c r="L1807" t="str">
        <f>IF(Table1[[#This Row],[Age]]&lt;30,"20-29",
IF(Table1[[#This Row],[Age]]&lt;40,"30-39",
IF(Table1[[#This Row],[Age]]&lt;50,"40-49",
IF(Table1[[#This Row],[Age]]&lt;60,"50-59","60+"))))</f>
        <v>20-29</v>
      </c>
      <c r="M1807" t="s">
        <v>20</v>
      </c>
      <c r="N1807" t="s">
        <v>28</v>
      </c>
    </row>
    <row r="1808" spans="1:14" x14ac:dyDescent="0.35">
      <c r="A1808">
        <v>1907</v>
      </c>
      <c r="B1808" t="s">
        <v>29</v>
      </c>
      <c r="C1808" s="6">
        <v>45457</v>
      </c>
      <c r="D1808">
        <f>YEAR(Table1[[#This Row],[Join Date]])</f>
        <v>2024</v>
      </c>
      <c r="E1808" s="6" t="s">
        <v>48</v>
      </c>
      <c r="F1808" t="str">
        <f>IFERROR(YEAR(Table1[[#This Row],[Exit Date]]), " ")</f>
        <v xml:space="preserve"> </v>
      </c>
      <c r="G1808" t="str">
        <f>IFERROR((Table1[[#This Row],[Exit Year]]-Table1[[#This Row],[Join Year]])+1," ")</f>
        <v xml:space="preserve"> </v>
      </c>
      <c r="H1808" t="s">
        <v>48</v>
      </c>
      <c r="I1808" t="s">
        <v>11</v>
      </c>
      <c r="J1808" t="s">
        <v>12</v>
      </c>
      <c r="K1808">
        <v>40</v>
      </c>
      <c r="L1808" t="str">
        <f>IF(Table1[[#This Row],[Age]]&lt;30,"20-29",
IF(Table1[[#This Row],[Age]]&lt;40,"30-39",
IF(Table1[[#This Row],[Age]]&lt;50,"40-49",
IF(Table1[[#This Row],[Age]]&lt;60,"50-59","60+"))))</f>
        <v>40-49</v>
      </c>
      <c r="M1808" t="s">
        <v>39</v>
      </c>
      <c r="N1808" t="s">
        <v>31</v>
      </c>
    </row>
    <row r="1809" spans="1:14" x14ac:dyDescent="0.35">
      <c r="A1809">
        <v>1908</v>
      </c>
      <c r="B1809" t="s">
        <v>10</v>
      </c>
      <c r="C1809" s="6">
        <v>43304</v>
      </c>
      <c r="D1809">
        <f>YEAR(Table1[[#This Row],[Join Date]])</f>
        <v>2018</v>
      </c>
      <c r="E1809" s="6" t="s">
        <v>48</v>
      </c>
      <c r="F1809" t="str">
        <f>IFERROR(YEAR(Table1[[#This Row],[Exit Date]]), " ")</f>
        <v xml:space="preserve"> </v>
      </c>
      <c r="G1809" t="str">
        <f>IFERROR((Table1[[#This Row],[Exit Year]]-Table1[[#This Row],[Join Year]])+1," ")</f>
        <v xml:space="preserve"> </v>
      </c>
      <c r="H1809" t="s">
        <v>48</v>
      </c>
      <c r="I1809" t="s">
        <v>11</v>
      </c>
      <c r="J1809" t="s">
        <v>12</v>
      </c>
      <c r="K1809">
        <v>32</v>
      </c>
      <c r="L1809" t="str">
        <f>IF(Table1[[#This Row],[Age]]&lt;30,"20-29",
IF(Table1[[#This Row],[Age]]&lt;40,"30-39",
IF(Table1[[#This Row],[Age]]&lt;50,"40-49",
IF(Table1[[#This Row],[Age]]&lt;60,"50-59","60+"))))</f>
        <v>30-39</v>
      </c>
      <c r="M1809" t="s">
        <v>13</v>
      </c>
      <c r="N1809" t="s">
        <v>32</v>
      </c>
    </row>
    <row r="1810" spans="1:14" x14ac:dyDescent="0.35">
      <c r="A1810">
        <v>1909</v>
      </c>
      <c r="B1810" t="s">
        <v>15</v>
      </c>
      <c r="C1810" s="6">
        <v>44987</v>
      </c>
      <c r="D1810">
        <f>YEAR(Table1[[#This Row],[Join Date]])</f>
        <v>2023</v>
      </c>
      <c r="E1810" s="6" t="s">
        <v>48</v>
      </c>
      <c r="F1810" t="str">
        <f>IFERROR(YEAR(Table1[[#This Row],[Exit Date]]), " ")</f>
        <v xml:space="preserve"> </v>
      </c>
      <c r="G1810" t="str">
        <f>IFERROR((Table1[[#This Row],[Exit Year]]-Table1[[#This Row],[Join Year]])+1," ")</f>
        <v xml:space="preserve"> </v>
      </c>
      <c r="H1810" t="s">
        <v>48</v>
      </c>
      <c r="I1810" t="s">
        <v>11</v>
      </c>
      <c r="J1810" t="s">
        <v>12</v>
      </c>
      <c r="K1810">
        <v>50</v>
      </c>
      <c r="L1810" t="str">
        <f>IF(Table1[[#This Row],[Age]]&lt;30,"20-29",
IF(Table1[[#This Row],[Age]]&lt;40,"30-39",
IF(Table1[[#This Row],[Age]]&lt;50,"40-49",
IF(Table1[[#This Row],[Age]]&lt;60,"50-59","60+"))))</f>
        <v>50-59</v>
      </c>
      <c r="M1810" t="s">
        <v>16</v>
      </c>
      <c r="N1810" t="s">
        <v>33</v>
      </c>
    </row>
    <row r="1811" spans="1:14" x14ac:dyDescent="0.35">
      <c r="A1811">
        <v>1910</v>
      </c>
      <c r="B1811" t="s">
        <v>34</v>
      </c>
      <c r="C1811" s="6">
        <v>45326</v>
      </c>
      <c r="D1811">
        <f>YEAR(Table1[[#This Row],[Join Date]])</f>
        <v>2024</v>
      </c>
      <c r="E1811" s="6" t="s">
        <v>48</v>
      </c>
      <c r="F1811" t="str">
        <f>IFERROR(YEAR(Table1[[#This Row],[Exit Date]]), " ")</f>
        <v xml:space="preserve"> </v>
      </c>
      <c r="G1811" t="str">
        <f>IFERROR((Table1[[#This Row],[Exit Year]]-Table1[[#This Row],[Join Year]])+1," ")</f>
        <v xml:space="preserve"> </v>
      </c>
      <c r="H1811" t="s">
        <v>48</v>
      </c>
      <c r="I1811" t="s">
        <v>11</v>
      </c>
      <c r="J1811" t="s">
        <v>18</v>
      </c>
      <c r="K1811">
        <v>24</v>
      </c>
      <c r="L1811" t="str">
        <f>IF(Table1[[#This Row],[Age]]&lt;30,"20-29",
IF(Table1[[#This Row],[Age]]&lt;40,"30-39",
IF(Table1[[#This Row],[Age]]&lt;50,"40-49",
IF(Table1[[#This Row],[Age]]&lt;60,"50-59","60+"))))</f>
        <v>20-29</v>
      </c>
      <c r="M1811" t="s">
        <v>16</v>
      </c>
      <c r="N1811" t="s">
        <v>35</v>
      </c>
    </row>
    <row r="1812" spans="1:14" x14ac:dyDescent="0.35">
      <c r="A1812">
        <v>1911</v>
      </c>
      <c r="B1812" t="s">
        <v>36</v>
      </c>
      <c r="C1812" s="6">
        <v>45474</v>
      </c>
      <c r="D1812">
        <f>YEAR(Table1[[#This Row],[Join Date]])</f>
        <v>2024</v>
      </c>
      <c r="E1812" s="6" t="s">
        <v>48</v>
      </c>
      <c r="F1812" t="str">
        <f>IFERROR(YEAR(Table1[[#This Row],[Exit Date]]), " ")</f>
        <v xml:space="preserve"> </v>
      </c>
      <c r="G1812" t="str">
        <f>IFERROR((Table1[[#This Row],[Exit Year]]-Table1[[#This Row],[Join Year]])+1," ")</f>
        <v xml:space="preserve"> </v>
      </c>
      <c r="H1812" t="s">
        <v>48</v>
      </c>
      <c r="I1812" t="s">
        <v>11</v>
      </c>
      <c r="J1812" t="s">
        <v>12</v>
      </c>
      <c r="K1812">
        <v>36</v>
      </c>
      <c r="L1812" t="str">
        <f>IF(Table1[[#This Row],[Age]]&lt;30,"20-29",
IF(Table1[[#This Row],[Age]]&lt;40,"30-39",
IF(Table1[[#This Row],[Age]]&lt;50,"40-49",
IF(Table1[[#This Row],[Age]]&lt;60,"50-59","60+"))))</f>
        <v>30-39</v>
      </c>
      <c r="M1812" t="s">
        <v>20</v>
      </c>
      <c r="N1812" t="s">
        <v>37</v>
      </c>
    </row>
    <row r="1813" spans="1:14" x14ac:dyDescent="0.35">
      <c r="A1813">
        <v>1912</v>
      </c>
      <c r="B1813" t="s">
        <v>29</v>
      </c>
      <c r="C1813" s="6">
        <v>44227</v>
      </c>
      <c r="D1813">
        <f>YEAR(Table1[[#This Row],[Join Date]])</f>
        <v>2021</v>
      </c>
      <c r="E1813" s="6">
        <v>45322</v>
      </c>
      <c r="F1813">
        <f>IFERROR(YEAR(Table1[[#This Row],[Exit Date]]), " ")</f>
        <v>2024</v>
      </c>
      <c r="G1813">
        <f>IFERROR((Table1[[#This Row],[Exit Year]]-Table1[[#This Row],[Join Year]])+1," ")</f>
        <v>4</v>
      </c>
      <c r="H1813" t="s">
        <v>46</v>
      </c>
      <c r="I1813" t="s">
        <v>23</v>
      </c>
      <c r="J1813" t="s">
        <v>18</v>
      </c>
      <c r="K1813">
        <v>49</v>
      </c>
      <c r="L1813" t="str">
        <f>IF(Table1[[#This Row],[Age]]&lt;30,"20-29",
IF(Table1[[#This Row],[Age]]&lt;40,"30-39",
IF(Table1[[#This Row],[Age]]&lt;50,"40-49",
IF(Table1[[#This Row],[Age]]&lt;60,"50-59","60+"))))</f>
        <v>40-49</v>
      </c>
      <c r="M1813" t="s">
        <v>24</v>
      </c>
      <c r="N1813" t="s">
        <v>19</v>
      </c>
    </row>
    <row r="1814" spans="1:14" x14ac:dyDescent="0.35">
      <c r="A1814">
        <v>1913</v>
      </c>
      <c r="B1814" t="s">
        <v>10</v>
      </c>
      <c r="C1814" s="6">
        <v>43446</v>
      </c>
      <c r="D1814">
        <f>YEAR(Table1[[#This Row],[Join Date]])</f>
        <v>2018</v>
      </c>
      <c r="E1814" s="6">
        <v>43936</v>
      </c>
      <c r="F1814">
        <f>IFERROR(YEAR(Table1[[#This Row],[Exit Date]]), " ")</f>
        <v>2020</v>
      </c>
      <c r="G1814">
        <f>IFERROR((Table1[[#This Row],[Exit Year]]-Table1[[#This Row],[Join Year]])+1," ")</f>
        <v>3</v>
      </c>
      <c r="H1814" t="s">
        <v>38</v>
      </c>
      <c r="I1814" t="s">
        <v>23</v>
      </c>
      <c r="J1814" t="s">
        <v>12</v>
      </c>
      <c r="K1814">
        <v>43</v>
      </c>
      <c r="L1814" t="str">
        <f>IF(Table1[[#This Row],[Age]]&lt;30,"20-29",
IF(Table1[[#This Row],[Age]]&lt;40,"30-39",
IF(Table1[[#This Row],[Age]]&lt;50,"40-49",
IF(Table1[[#This Row],[Age]]&lt;60,"50-59","60+"))))</f>
        <v>40-49</v>
      </c>
      <c r="M1814" t="s">
        <v>13</v>
      </c>
      <c r="N1814" t="s">
        <v>25</v>
      </c>
    </row>
    <row r="1815" spans="1:14" x14ac:dyDescent="0.35">
      <c r="A1815">
        <v>1914</v>
      </c>
      <c r="B1815" t="s">
        <v>15</v>
      </c>
      <c r="C1815" s="6">
        <v>45314</v>
      </c>
      <c r="D1815">
        <f>YEAR(Table1[[#This Row],[Join Date]])</f>
        <v>2024</v>
      </c>
      <c r="E1815" s="6" t="s">
        <v>48</v>
      </c>
      <c r="F1815" t="str">
        <f>IFERROR(YEAR(Table1[[#This Row],[Exit Date]]), " ")</f>
        <v xml:space="preserve"> </v>
      </c>
      <c r="G1815" t="str">
        <f>IFERROR((Table1[[#This Row],[Exit Year]]-Table1[[#This Row],[Join Year]])+1," ")</f>
        <v xml:space="preserve"> </v>
      </c>
      <c r="H1815" t="s">
        <v>48</v>
      </c>
      <c r="I1815" t="s">
        <v>11</v>
      </c>
      <c r="J1815" t="s">
        <v>18</v>
      </c>
      <c r="K1815">
        <v>40</v>
      </c>
      <c r="L1815" t="str">
        <f>IF(Table1[[#This Row],[Age]]&lt;30,"20-29",
IF(Table1[[#This Row],[Age]]&lt;40,"30-39",
IF(Table1[[#This Row],[Age]]&lt;50,"40-49",
IF(Table1[[#This Row],[Age]]&lt;60,"50-59","60+"))))</f>
        <v>40-49</v>
      </c>
      <c r="M1815" t="s">
        <v>30</v>
      </c>
      <c r="N1815" t="s">
        <v>35</v>
      </c>
    </row>
    <row r="1816" spans="1:14" x14ac:dyDescent="0.35">
      <c r="A1816">
        <v>1915</v>
      </c>
      <c r="B1816" t="s">
        <v>15</v>
      </c>
      <c r="C1816" s="6">
        <v>43123</v>
      </c>
      <c r="D1816">
        <f>YEAR(Table1[[#This Row],[Join Date]])</f>
        <v>2018</v>
      </c>
      <c r="E1816" s="6" t="s">
        <v>48</v>
      </c>
      <c r="F1816" t="str">
        <f>IFERROR(YEAR(Table1[[#This Row],[Exit Date]]), " ")</f>
        <v xml:space="preserve"> </v>
      </c>
      <c r="G1816" t="str">
        <f>IFERROR((Table1[[#This Row],[Exit Year]]-Table1[[#This Row],[Join Year]])+1," ")</f>
        <v xml:space="preserve"> </v>
      </c>
      <c r="H1816" t="s">
        <v>48</v>
      </c>
      <c r="I1816" t="s">
        <v>11</v>
      </c>
      <c r="J1816" t="s">
        <v>18</v>
      </c>
      <c r="K1816">
        <v>42</v>
      </c>
      <c r="L1816" t="str">
        <f>IF(Table1[[#This Row],[Age]]&lt;30,"20-29",
IF(Table1[[#This Row],[Age]]&lt;40,"30-39",
IF(Table1[[#This Row],[Age]]&lt;50,"40-49",
IF(Table1[[#This Row],[Age]]&lt;60,"50-59","60+"))))</f>
        <v>40-49</v>
      </c>
      <c r="M1816" t="s">
        <v>13</v>
      </c>
      <c r="N1816" t="s">
        <v>17</v>
      </c>
    </row>
    <row r="1817" spans="1:14" x14ac:dyDescent="0.35">
      <c r="A1817">
        <v>1916</v>
      </c>
      <c r="B1817" t="s">
        <v>10</v>
      </c>
      <c r="C1817" s="6">
        <v>43717</v>
      </c>
      <c r="D1817">
        <f>YEAR(Table1[[#This Row],[Join Date]])</f>
        <v>2019</v>
      </c>
      <c r="E1817" s="6">
        <v>44677</v>
      </c>
      <c r="F1817">
        <f>IFERROR(YEAR(Table1[[#This Row],[Exit Date]]), " ")</f>
        <v>2022</v>
      </c>
      <c r="G1817">
        <f>IFERROR((Table1[[#This Row],[Exit Year]]-Table1[[#This Row],[Join Year]])+1," ")</f>
        <v>4</v>
      </c>
      <c r="H1817" t="s">
        <v>40</v>
      </c>
      <c r="I1817" t="s">
        <v>23</v>
      </c>
      <c r="J1817" t="s">
        <v>12</v>
      </c>
      <c r="K1817">
        <v>35</v>
      </c>
      <c r="L1817" t="str">
        <f>IF(Table1[[#This Row],[Age]]&lt;30,"20-29",
IF(Table1[[#This Row],[Age]]&lt;40,"30-39",
IF(Table1[[#This Row],[Age]]&lt;50,"40-49",
IF(Table1[[#This Row],[Age]]&lt;60,"50-59","60+"))))</f>
        <v>30-39</v>
      </c>
      <c r="M1817" t="s">
        <v>13</v>
      </c>
      <c r="N1817" t="s">
        <v>19</v>
      </c>
    </row>
    <row r="1818" spans="1:14" x14ac:dyDescent="0.35">
      <c r="A1818">
        <v>1917</v>
      </c>
      <c r="B1818" t="s">
        <v>29</v>
      </c>
      <c r="C1818" s="6">
        <v>43534</v>
      </c>
      <c r="D1818">
        <f>YEAR(Table1[[#This Row],[Join Date]])</f>
        <v>2019</v>
      </c>
      <c r="E1818" s="6">
        <v>44117</v>
      </c>
      <c r="F1818">
        <f>IFERROR(YEAR(Table1[[#This Row],[Exit Date]]), " ")</f>
        <v>2020</v>
      </c>
      <c r="G1818">
        <f>IFERROR((Table1[[#This Row],[Exit Year]]-Table1[[#This Row],[Join Year]])+1," ")</f>
        <v>2</v>
      </c>
      <c r="H1818" t="s">
        <v>46</v>
      </c>
      <c r="I1818" t="s">
        <v>23</v>
      </c>
      <c r="J1818" t="s">
        <v>18</v>
      </c>
      <c r="K1818">
        <v>31</v>
      </c>
      <c r="L1818" t="str">
        <f>IF(Table1[[#This Row],[Age]]&lt;30,"20-29",
IF(Table1[[#This Row],[Age]]&lt;40,"30-39",
IF(Table1[[#This Row],[Age]]&lt;50,"40-49",
IF(Table1[[#This Row],[Age]]&lt;60,"50-59","60+"))))</f>
        <v>30-39</v>
      </c>
      <c r="M1818" t="s">
        <v>16</v>
      </c>
      <c r="N1818" t="s">
        <v>21</v>
      </c>
    </row>
    <row r="1819" spans="1:14" x14ac:dyDescent="0.35">
      <c r="A1819">
        <v>1918</v>
      </c>
      <c r="B1819" t="s">
        <v>36</v>
      </c>
      <c r="C1819" s="6">
        <v>44619</v>
      </c>
      <c r="D1819">
        <f>YEAR(Table1[[#This Row],[Join Date]])</f>
        <v>2022</v>
      </c>
      <c r="E1819" s="6" t="s">
        <v>48</v>
      </c>
      <c r="F1819" t="str">
        <f>IFERROR(YEAR(Table1[[#This Row],[Exit Date]]), " ")</f>
        <v xml:space="preserve"> </v>
      </c>
      <c r="G1819" t="str">
        <f>IFERROR((Table1[[#This Row],[Exit Year]]-Table1[[#This Row],[Join Year]])+1," ")</f>
        <v xml:space="preserve"> </v>
      </c>
      <c r="H1819" t="s">
        <v>48</v>
      </c>
      <c r="I1819" t="s">
        <v>11</v>
      </c>
      <c r="J1819" t="s">
        <v>18</v>
      </c>
      <c r="K1819">
        <v>51</v>
      </c>
      <c r="L1819" t="str">
        <f>IF(Table1[[#This Row],[Age]]&lt;30,"20-29",
IF(Table1[[#This Row],[Age]]&lt;40,"30-39",
IF(Table1[[#This Row],[Age]]&lt;50,"40-49",
IF(Table1[[#This Row],[Age]]&lt;60,"50-59","60+"))))</f>
        <v>50-59</v>
      </c>
      <c r="M1819" t="s">
        <v>13</v>
      </c>
      <c r="N1819" t="s">
        <v>25</v>
      </c>
    </row>
    <row r="1820" spans="1:14" x14ac:dyDescent="0.35">
      <c r="A1820">
        <v>1919</v>
      </c>
      <c r="B1820" t="s">
        <v>10</v>
      </c>
      <c r="C1820" s="6">
        <v>45485</v>
      </c>
      <c r="D1820">
        <f>YEAR(Table1[[#This Row],[Join Date]])</f>
        <v>2024</v>
      </c>
      <c r="E1820" s="6" t="s">
        <v>48</v>
      </c>
      <c r="F1820" t="str">
        <f>IFERROR(YEAR(Table1[[#This Row],[Exit Date]]), " ")</f>
        <v xml:space="preserve"> </v>
      </c>
      <c r="G1820" t="str">
        <f>IFERROR((Table1[[#This Row],[Exit Year]]-Table1[[#This Row],[Join Year]])+1," ")</f>
        <v xml:space="preserve"> </v>
      </c>
      <c r="H1820" t="s">
        <v>48</v>
      </c>
      <c r="I1820" t="s">
        <v>11</v>
      </c>
      <c r="J1820" t="s">
        <v>12</v>
      </c>
      <c r="K1820">
        <v>48</v>
      </c>
      <c r="L1820" t="str">
        <f>IF(Table1[[#This Row],[Age]]&lt;30,"20-29",
IF(Table1[[#This Row],[Age]]&lt;40,"30-39",
IF(Table1[[#This Row],[Age]]&lt;50,"40-49",
IF(Table1[[#This Row],[Age]]&lt;60,"50-59","60+"))))</f>
        <v>40-49</v>
      </c>
      <c r="M1820" t="s">
        <v>20</v>
      </c>
      <c r="N1820" t="s">
        <v>35</v>
      </c>
    </row>
    <row r="1821" spans="1:14" x14ac:dyDescent="0.35">
      <c r="A1821">
        <v>1920</v>
      </c>
      <c r="B1821" t="s">
        <v>29</v>
      </c>
      <c r="C1821" s="6">
        <v>43588</v>
      </c>
      <c r="D1821">
        <f>YEAR(Table1[[#This Row],[Join Date]])</f>
        <v>2019</v>
      </c>
      <c r="E1821" s="6">
        <v>44896</v>
      </c>
      <c r="F1821">
        <f>IFERROR(YEAR(Table1[[#This Row],[Exit Date]]), " ")</f>
        <v>2022</v>
      </c>
      <c r="G1821">
        <f>IFERROR((Table1[[#This Row],[Exit Year]]-Table1[[#This Row],[Join Year]])+1," ")</f>
        <v>4</v>
      </c>
      <c r="H1821" t="s">
        <v>41</v>
      </c>
      <c r="I1821" t="s">
        <v>23</v>
      </c>
      <c r="J1821" t="s">
        <v>12</v>
      </c>
      <c r="K1821">
        <v>41</v>
      </c>
      <c r="L1821" t="str">
        <f>IF(Table1[[#This Row],[Age]]&lt;30,"20-29",
IF(Table1[[#This Row],[Age]]&lt;40,"30-39",
IF(Table1[[#This Row],[Age]]&lt;50,"40-49",
IF(Table1[[#This Row],[Age]]&lt;60,"50-59","60+"))))</f>
        <v>40-49</v>
      </c>
      <c r="M1821" t="s">
        <v>39</v>
      </c>
      <c r="N1821" t="s">
        <v>14</v>
      </c>
    </row>
    <row r="1822" spans="1:14" x14ac:dyDescent="0.35">
      <c r="A1822">
        <v>1921</v>
      </c>
      <c r="B1822" t="s">
        <v>36</v>
      </c>
      <c r="C1822" s="6">
        <v>44250</v>
      </c>
      <c r="D1822">
        <f>YEAR(Table1[[#This Row],[Join Date]])</f>
        <v>2021</v>
      </c>
      <c r="E1822" s="6">
        <v>45392</v>
      </c>
      <c r="F1822">
        <f>IFERROR(YEAR(Table1[[#This Row],[Exit Date]]), " ")</f>
        <v>2024</v>
      </c>
      <c r="G1822">
        <f>IFERROR((Table1[[#This Row],[Exit Year]]-Table1[[#This Row],[Join Year]])+1," ")</f>
        <v>4</v>
      </c>
      <c r="H1822" t="s">
        <v>46</v>
      </c>
      <c r="I1822" t="s">
        <v>23</v>
      </c>
      <c r="J1822" t="s">
        <v>12</v>
      </c>
      <c r="K1822">
        <v>35</v>
      </c>
      <c r="L1822" t="str">
        <f>IF(Table1[[#This Row],[Age]]&lt;30,"20-29",
IF(Table1[[#This Row],[Age]]&lt;40,"30-39",
IF(Table1[[#This Row],[Age]]&lt;50,"40-49",
IF(Table1[[#This Row],[Age]]&lt;60,"50-59","60+"))))</f>
        <v>30-39</v>
      </c>
      <c r="M1822" t="s">
        <v>13</v>
      </c>
      <c r="N1822" t="s">
        <v>19</v>
      </c>
    </row>
    <row r="1823" spans="1:14" x14ac:dyDescent="0.35">
      <c r="A1823">
        <v>1922</v>
      </c>
      <c r="B1823" t="s">
        <v>26</v>
      </c>
      <c r="C1823" s="6">
        <v>45244</v>
      </c>
      <c r="D1823">
        <f>YEAR(Table1[[#This Row],[Join Date]])</f>
        <v>2023</v>
      </c>
      <c r="E1823" s="6">
        <v>45446</v>
      </c>
      <c r="F1823">
        <f>IFERROR(YEAR(Table1[[#This Row],[Exit Date]]), " ")</f>
        <v>2024</v>
      </c>
      <c r="G1823">
        <f>IFERROR((Table1[[#This Row],[Exit Year]]-Table1[[#This Row],[Join Year]])+1," ")</f>
        <v>2</v>
      </c>
      <c r="H1823" t="s">
        <v>40</v>
      </c>
      <c r="I1823" t="s">
        <v>23</v>
      </c>
      <c r="J1823" t="s">
        <v>18</v>
      </c>
      <c r="K1823">
        <v>24</v>
      </c>
      <c r="L1823" t="str">
        <f>IF(Table1[[#This Row],[Age]]&lt;30,"20-29",
IF(Table1[[#This Row],[Age]]&lt;40,"30-39",
IF(Table1[[#This Row],[Age]]&lt;50,"40-49",
IF(Table1[[#This Row],[Age]]&lt;60,"50-59","60+"))))</f>
        <v>20-29</v>
      </c>
      <c r="M1823" t="s">
        <v>16</v>
      </c>
      <c r="N1823" t="s">
        <v>21</v>
      </c>
    </row>
    <row r="1824" spans="1:14" x14ac:dyDescent="0.35">
      <c r="A1824">
        <v>1923</v>
      </c>
      <c r="B1824" t="s">
        <v>15</v>
      </c>
      <c r="C1824" s="6">
        <v>45256</v>
      </c>
      <c r="D1824">
        <f>YEAR(Table1[[#This Row],[Join Date]])</f>
        <v>2023</v>
      </c>
      <c r="E1824" s="6" t="s">
        <v>48</v>
      </c>
      <c r="F1824" t="str">
        <f>IFERROR(YEAR(Table1[[#This Row],[Exit Date]]), " ")</f>
        <v xml:space="preserve"> </v>
      </c>
      <c r="G1824" t="str">
        <f>IFERROR((Table1[[#This Row],[Exit Year]]-Table1[[#This Row],[Join Year]])+1," ")</f>
        <v xml:space="preserve"> </v>
      </c>
      <c r="H1824" t="s">
        <v>48</v>
      </c>
      <c r="I1824" t="s">
        <v>11</v>
      </c>
      <c r="J1824" t="s">
        <v>18</v>
      </c>
      <c r="K1824">
        <v>41</v>
      </c>
      <c r="L1824" t="str">
        <f>IF(Table1[[#This Row],[Age]]&lt;30,"20-29",
IF(Table1[[#This Row],[Age]]&lt;40,"30-39",
IF(Table1[[#This Row],[Age]]&lt;50,"40-49",
IF(Table1[[#This Row],[Age]]&lt;60,"50-59","60+"))))</f>
        <v>40-49</v>
      </c>
      <c r="M1824" t="s">
        <v>16</v>
      </c>
      <c r="N1824" t="s">
        <v>25</v>
      </c>
    </row>
    <row r="1825" spans="1:14" x14ac:dyDescent="0.35">
      <c r="A1825">
        <v>1924</v>
      </c>
      <c r="B1825" t="s">
        <v>26</v>
      </c>
      <c r="C1825" s="6">
        <v>45465</v>
      </c>
      <c r="D1825">
        <f>YEAR(Table1[[#This Row],[Join Date]])</f>
        <v>2024</v>
      </c>
      <c r="E1825" s="6" t="s">
        <v>48</v>
      </c>
      <c r="F1825" t="str">
        <f>IFERROR(YEAR(Table1[[#This Row],[Exit Date]]), " ")</f>
        <v xml:space="preserve"> </v>
      </c>
      <c r="G1825" t="str">
        <f>IFERROR((Table1[[#This Row],[Exit Year]]-Table1[[#This Row],[Join Year]])+1," ")</f>
        <v xml:space="preserve"> </v>
      </c>
      <c r="H1825" t="s">
        <v>48</v>
      </c>
      <c r="I1825" t="s">
        <v>11</v>
      </c>
      <c r="J1825" t="s">
        <v>12</v>
      </c>
      <c r="K1825">
        <v>40</v>
      </c>
      <c r="L1825" t="str">
        <f>IF(Table1[[#This Row],[Age]]&lt;30,"20-29",
IF(Table1[[#This Row],[Age]]&lt;40,"30-39",
IF(Table1[[#This Row],[Age]]&lt;50,"40-49",
IF(Table1[[#This Row],[Age]]&lt;60,"50-59","60+"))))</f>
        <v>40-49</v>
      </c>
      <c r="M1825" t="s">
        <v>20</v>
      </c>
      <c r="N1825" t="s">
        <v>35</v>
      </c>
    </row>
    <row r="1826" spans="1:14" x14ac:dyDescent="0.35">
      <c r="A1826">
        <v>1925</v>
      </c>
      <c r="B1826" t="s">
        <v>10</v>
      </c>
      <c r="C1826" s="6">
        <v>43597</v>
      </c>
      <c r="D1826">
        <f>YEAR(Table1[[#This Row],[Join Date]])</f>
        <v>2019</v>
      </c>
      <c r="E1826" s="6" t="s">
        <v>48</v>
      </c>
      <c r="F1826" t="str">
        <f>IFERROR(YEAR(Table1[[#This Row],[Exit Date]]), " ")</f>
        <v xml:space="preserve"> </v>
      </c>
      <c r="G1826" t="str">
        <f>IFERROR((Table1[[#This Row],[Exit Year]]-Table1[[#This Row],[Join Year]])+1," ")</f>
        <v xml:space="preserve"> </v>
      </c>
      <c r="H1826" t="s">
        <v>48</v>
      </c>
      <c r="I1826" t="s">
        <v>11</v>
      </c>
      <c r="J1826" t="s">
        <v>18</v>
      </c>
      <c r="K1826">
        <v>48</v>
      </c>
      <c r="L1826" t="str">
        <f>IF(Table1[[#This Row],[Age]]&lt;30,"20-29",
IF(Table1[[#This Row],[Age]]&lt;40,"30-39",
IF(Table1[[#This Row],[Age]]&lt;50,"40-49",
IF(Table1[[#This Row],[Age]]&lt;60,"50-59","60+"))))</f>
        <v>40-49</v>
      </c>
      <c r="M1826" t="s">
        <v>24</v>
      </c>
      <c r="N1826" t="s">
        <v>17</v>
      </c>
    </row>
    <row r="1827" spans="1:14" x14ac:dyDescent="0.35">
      <c r="A1827">
        <v>1926</v>
      </c>
      <c r="B1827" t="s">
        <v>15</v>
      </c>
      <c r="C1827" s="6">
        <v>44866</v>
      </c>
      <c r="D1827">
        <f>YEAR(Table1[[#This Row],[Join Date]])</f>
        <v>2022</v>
      </c>
      <c r="E1827" s="6" t="s">
        <v>48</v>
      </c>
      <c r="F1827" t="str">
        <f>IFERROR(YEAR(Table1[[#This Row],[Exit Date]]), " ")</f>
        <v xml:space="preserve"> </v>
      </c>
      <c r="G1827" t="str">
        <f>IFERROR((Table1[[#This Row],[Exit Year]]-Table1[[#This Row],[Join Year]])+1," ")</f>
        <v xml:space="preserve"> </v>
      </c>
      <c r="H1827" t="s">
        <v>48</v>
      </c>
      <c r="I1827" t="s">
        <v>11</v>
      </c>
      <c r="J1827" t="s">
        <v>12</v>
      </c>
      <c r="K1827">
        <v>52</v>
      </c>
      <c r="L1827" t="str">
        <f>IF(Table1[[#This Row],[Age]]&lt;30,"20-29",
IF(Table1[[#This Row],[Age]]&lt;40,"30-39",
IF(Table1[[#This Row],[Age]]&lt;50,"40-49",
IF(Table1[[#This Row],[Age]]&lt;60,"50-59","60+"))))</f>
        <v>50-59</v>
      </c>
      <c r="M1827" t="s">
        <v>13</v>
      </c>
      <c r="N1827" t="s">
        <v>19</v>
      </c>
    </row>
    <row r="1828" spans="1:14" x14ac:dyDescent="0.35">
      <c r="A1828">
        <v>1927</v>
      </c>
      <c r="B1828" t="s">
        <v>34</v>
      </c>
      <c r="C1828" s="6">
        <v>44006</v>
      </c>
      <c r="D1828">
        <f>YEAR(Table1[[#This Row],[Join Date]])</f>
        <v>2020</v>
      </c>
      <c r="E1828" s="6">
        <v>44463</v>
      </c>
      <c r="F1828">
        <f>IFERROR(YEAR(Table1[[#This Row],[Exit Date]]), " ")</f>
        <v>2021</v>
      </c>
      <c r="G1828">
        <f>IFERROR((Table1[[#This Row],[Exit Year]]-Table1[[#This Row],[Join Year]])+1," ")</f>
        <v>2</v>
      </c>
      <c r="H1828" t="s">
        <v>43</v>
      </c>
      <c r="I1828" t="s">
        <v>23</v>
      </c>
      <c r="J1828" t="s">
        <v>12</v>
      </c>
      <c r="K1828">
        <v>33</v>
      </c>
      <c r="L1828" t="str">
        <f>IF(Table1[[#This Row],[Age]]&lt;30,"20-29",
IF(Table1[[#This Row],[Age]]&lt;40,"30-39",
IF(Table1[[#This Row],[Age]]&lt;50,"40-49",
IF(Table1[[#This Row],[Age]]&lt;60,"50-59","60+"))))</f>
        <v>30-39</v>
      </c>
      <c r="M1828" t="s">
        <v>44</v>
      </c>
      <c r="N1828" t="s">
        <v>21</v>
      </c>
    </row>
    <row r="1829" spans="1:14" x14ac:dyDescent="0.35">
      <c r="A1829">
        <v>1928</v>
      </c>
      <c r="B1829" t="s">
        <v>26</v>
      </c>
      <c r="C1829" s="6">
        <v>45095</v>
      </c>
      <c r="D1829">
        <f>YEAR(Table1[[#This Row],[Join Date]])</f>
        <v>2023</v>
      </c>
      <c r="E1829" s="6" t="s">
        <v>48</v>
      </c>
      <c r="F1829" t="str">
        <f>IFERROR(YEAR(Table1[[#This Row],[Exit Date]]), " ")</f>
        <v xml:space="preserve"> </v>
      </c>
      <c r="G1829" t="str">
        <f>IFERROR((Table1[[#This Row],[Exit Year]]-Table1[[#This Row],[Join Year]])+1," ")</f>
        <v xml:space="preserve"> </v>
      </c>
      <c r="H1829" t="s">
        <v>48</v>
      </c>
      <c r="I1829" t="s">
        <v>11</v>
      </c>
      <c r="J1829" t="s">
        <v>12</v>
      </c>
      <c r="K1829">
        <v>51</v>
      </c>
      <c r="L1829" t="str">
        <f>IF(Table1[[#This Row],[Age]]&lt;30,"20-29",
IF(Table1[[#This Row],[Age]]&lt;40,"30-39",
IF(Table1[[#This Row],[Age]]&lt;50,"40-49",
IF(Table1[[#This Row],[Age]]&lt;60,"50-59","60+"))))</f>
        <v>50-59</v>
      </c>
      <c r="M1829" t="s">
        <v>13</v>
      </c>
      <c r="N1829" t="s">
        <v>25</v>
      </c>
    </row>
    <row r="1830" spans="1:14" x14ac:dyDescent="0.35">
      <c r="A1830">
        <v>1929</v>
      </c>
      <c r="B1830" t="s">
        <v>10</v>
      </c>
      <c r="C1830" s="6">
        <v>44360</v>
      </c>
      <c r="D1830">
        <f>YEAR(Table1[[#This Row],[Join Date]])</f>
        <v>2021</v>
      </c>
      <c r="E1830" s="6">
        <v>44755</v>
      </c>
      <c r="F1830">
        <f>IFERROR(YEAR(Table1[[#This Row],[Exit Date]]), " ")</f>
        <v>2022</v>
      </c>
      <c r="G1830">
        <f>IFERROR((Table1[[#This Row],[Exit Year]]-Table1[[#This Row],[Join Year]])+1," ")</f>
        <v>2</v>
      </c>
      <c r="H1830" t="s">
        <v>38</v>
      </c>
      <c r="I1830" t="s">
        <v>23</v>
      </c>
      <c r="J1830" t="s">
        <v>18</v>
      </c>
      <c r="K1830">
        <v>46</v>
      </c>
      <c r="L1830" t="str">
        <f>IF(Table1[[#This Row],[Age]]&lt;30,"20-29",
IF(Table1[[#This Row],[Age]]&lt;40,"30-39",
IF(Table1[[#This Row],[Age]]&lt;50,"40-49",
IF(Table1[[#This Row],[Age]]&lt;60,"50-59","60+"))))</f>
        <v>40-49</v>
      </c>
      <c r="M1830" t="s">
        <v>13</v>
      </c>
      <c r="N1830" t="s">
        <v>35</v>
      </c>
    </row>
    <row r="1831" spans="1:14" x14ac:dyDescent="0.35">
      <c r="A1831">
        <v>1930</v>
      </c>
      <c r="B1831" t="s">
        <v>26</v>
      </c>
      <c r="C1831" s="6">
        <v>43419</v>
      </c>
      <c r="D1831">
        <f>YEAR(Table1[[#This Row],[Join Date]])</f>
        <v>2018</v>
      </c>
      <c r="E1831" s="6">
        <v>44303</v>
      </c>
      <c r="F1831">
        <f>IFERROR(YEAR(Table1[[#This Row],[Exit Date]]), " ")</f>
        <v>2021</v>
      </c>
      <c r="G1831">
        <f>IFERROR((Table1[[#This Row],[Exit Year]]-Table1[[#This Row],[Join Year]])+1," ")</f>
        <v>4</v>
      </c>
      <c r="H1831" t="s">
        <v>22</v>
      </c>
      <c r="I1831" t="s">
        <v>23</v>
      </c>
      <c r="J1831" t="s">
        <v>12</v>
      </c>
      <c r="K1831">
        <v>53</v>
      </c>
      <c r="L1831" t="str">
        <f>IF(Table1[[#This Row],[Age]]&lt;30,"20-29",
IF(Table1[[#This Row],[Age]]&lt;40,"30-39",
IF(Table1[[#This Row],[Age]]&lt;50,"40-49",
IF(Table1[[#This Row],[Age]]&lt;60,"50-59","60+"))))</f>
        <v>50-59</v>
      </c>
      <c r="M1831" t="s">
        <v>16</v>
      </c>
      <c r="N1831" t="s">
        <v>14</v>
      </c>
    </row>
    <row r="1832" spans="1:14" x14ac:dyDescent="0.35">
      <c r="A1832">
        <v>1931</v>
      </c>
      <c r="B1832" t="s">
        <v>36</v>
      </c>
      <c r="C1832" s="6">
        <v>44249</v>
      </c>
      <c r="D1832">
        <f>YEAR(Table1[[#This Row],[Join Date]])</f>
        <v>2021</v>
      </c>
      <c r="E1832" s="6" t="s">
        <v>48</v>
      </c>
      <c r="F1832" t="str">
        <f>IFERROR(YEAR(Table1[[#This Row],[Exit Date]]), " ")</f>
        <v xml:space="preserve"> </v>
      </c>
      <c r="G1832" t="str">
        <f>IFERROR((Table1[[#This Row],[Exit Year]]-Table1[[#This Row],[Join Year]])+1," ")</f>
        <v xml:space="preserve"> </v>
      </c>
      <c r="H1832" t="s">
        <v>48</v>
      </c>
      <c r="I1832" t="s">
        <v>11</v>
      </c>
      <c r="J1832" t="s">
        <v>18</v>
      </c>
      <c r="K1832">
        <v>35</v>
      </c>
      <c r="L1832" t="str">
        <f>IF(Table1[[#This Row],[Age]]&lt;30,"20-29",
IF(Table1[[#This Row],[Age]]&lt;40,"30-39",
IF(Table1[[#This Row],[Age]]&lt;50,"40-49",
IF(Table1[[#This Row],[Age]]&lt;60,"50-59","60+"))))</f>
        <v>30-39</v>
      </c>
      <c r="M1832" t="s">
        <v>13</v>
      </c>
      <c r="N1832" t="s">
        <v>19</v>
      </c>
    </row>
    <row r="1833" spans="1:14" x14ac:dyDescent="0.35">
      <c r="A1833">
        <v>1932</v>
      </c>
      <c r="B1833" t="s">
        <v>10</v>
      </c>
      <c r="C1833" s="6">
        <v>45533</v>
      </c>
      <c r="D1833">
        <f>YEAR(Table1[[#This Row],[Join Date]])</f>
        <v>2024</v>
      </c>
      <c r="E1833" s="6" t="s">
        <v>48</v>
      </c>
      <c r="F1833" t="str">
        <f>IFERROR(YEAR(Table1[[#This Row],[Exit Date]]), " ")</f>
        <v xml:space="preserve"> </v>
      </c>
      <c r="G1833" t="str">
        <f>IFERROR((Table1[[#This Row],[Exit Year]]-Table1[[#This Row],[Join Year]])+1," ")</f>
        <v xml:space="preserve"> </v>
      </c>
      <c r="H1833" t="s">
        <v>48</v>
      </c>
      <c r="I1833" t="s">
        <v>11</v>
      </c>
      <c r="J1833" t="s">
        <v>12</v>
      </c>
      <c r="K1833">
        <v>32</v>
      </c>
      <c r="L1833" t="str">
        <f>IF(Table1[[#This Row],[Age]]&lt;30,"20-29",
IF(Table1[[#This Row],[Age]]&lt;40,"30-39",
IF(Table1[[#This Row],[Age]]&lt;50,"40-49",
IF(Table1[[#This Row],[Age]]&lt;60,"50-59","60+"))))</f>
        <v>30-39</v>
      </c>
      <c r="M1833" t="s">
        <v>20</v>
      </c>
      <c r="N1833" t="s">
        <v>21</v>
      </c>
    </row>
    <row r="1834" spans="1:14" x14ac:dyDescent="0.35">
      <c r="A1834">
        <v>1933</v>
      </c>
      <c r="B1834" t="s">
        <v>36</v>
      </c>
      <c r="C1834" s="6">
        <v>44377</v>
      </c>
      <c r="D1834">
        <f>YEAR(Table1[[#This Row],[Join Date]])</f>
        <v>2021</v>
      </c>
      <c r="E1834" s="6" t="s">
        <v>48</v>
      </c>
      <c r="F1834" t="str">
        <f>IFERROR(YEAR(Table1[[#This Row],[Exit Date]]), " ")</f>
        <v xml:space="preserve"> </v>
      </c>
      <c r="G1834" t="str">
        <f>IFERROR((Table1[[#This Row],[Exit Year]]-Table1[[#This Row],[Join Year]])+1," ")</f>
        <v xml:space="preserve"> </v>
      </c>
      <c r="H1834" t="s">
        <v>48</v>
      </c>
      <c r="I1834" t="s">
        <v>11</v>
      </c>
      <c r="J1834" t="s">
        <v>18</v>
      </c>
      <c r="K1834">
        <v>46</v>
      </c>
      <c r="L1834" t="str">
        <f>IF(Table1[[#This Row],[Age]]&lt;30,"20-29",
IF(Table1[[#This Row],[Age]]&lt;40,"30-39",
IF(Table1[[#This Row],[Age]]&lt;50,"40-49",
IF(Table1[[#This Row],[Age]]&lt;60,"50-59","60+"))))</f>
        <v>40-49</v>
      </c>
      <c r="M1834" t="s">
        <v>39</v>
      </c>
      <c r="N1834" t="s">
        <v>37</v>
      </c>
    </row>
    <row r="1835" spans="1:14" x14ac:dyDescent="0.35">
      <c r="A1835">
        <v>1934</v>
      </c>
      <c r="B1835" t="s">
        <v>10</v>
      </c>
      <c r="C1835" s="6">
        <v>44088</v>
      </c>
      <c r="D1835">
        <f>YEAR(Table1[[#This Row],[Join Date]])</f>
        <v>2020</v>
      </c>
      <c r="E1835" s="6" t="s">
        <v>48</v>
      </c>
      <c r="F1835" t="str">
        <f>IFERROR(YEAR(Table1[[#This Row],[Exit Date]]), " ")</f>
        <v xml:space="preserve"> </v>
      </c>
      <c r="G1835" t="str">
        <f>IFERROR((Table1[[#This Row],[Exit Year]]-Table1[[#This Row],[Join Year]])+1," ")</f>
        <v xml:space="preserve"> </v>
      </c>
      <c r="H1835" t="s">
        <v>48</v>
      </c>
      <c r="I1835" t="s">
        <v>11</v>
      </c>
      <c r="J1835" t="s">
        <v>18</v>
      </c>
      <c r="K1835">
        <v>50</v>
      </c>
      <c r="L1835" t="str">
        <f>IF(Table1[[#This Row],[Age]]&lt;30,"20-29",
IF(Table1[[#This Row],[Age]]&lt;40,"30-39",
IF(Table1[[#This Row],[Age]]&lt;50,"40-49",
IF(Table1[[#This Row],[Age]]&lt;60,"50-59","60+"))))</f>
        <v>50-59</v>
      </c>
      <c r="M1835" t="s">
        <v>13</v>
      </c>
      <c r="N1835" t="s">
        <v>25</v>
      </c>
    </row>
    <row r="1836" spans="1:14" x14ac:dyDescent="0.35">
      <c r="A1836">
        <v>1935</v>
      </c>
      <c r="B1836" t="s">
        <v>26</v>
      </c>
      <c r="C1836" s="6">
        <v>43373</v>
      </c>
      <c r="D1836">
        <f>YEAR(Table1[[#This Row],[Join Date]])</f>
        <v>2018</v>
      </c>
      <c r="E1836" s="6">
        <v>44825</v>
      </c>
      <c r="F1836">
        <f>IFERROR(YEAR(Table1[[#This Row],[Exit Date]]), " ")</f>
        <v>2022</v>
      </c>
      <c r="G1836">
        <f>IFERROR((Table1[[#This Row],[Exit Year]]-Table1[[#This Row],[Join Year]])+1," ")</f>
        <v>5</v>
      </c>
      <c r="H1836" t="s">
        <v>27</v>
      </c>
      <c r="I1836" t="s">
        <v>23</v>
      </c>
      <c r="J1836" t="s">
        <v>12</v>
      </c>
      <c r="K1836">
        <v>63</v>
      </c>
      <c r="L1836" t="str">
        <f>IF(Table1[[#This Row],[Age]]&lt;30,"20-29",
IF(Table1[[#This Row],[Age]]&lt;40,"30-39",
IF(Table1[[#This Row],[Age]]&lt;50,"40-49",
IF(Table1[[#This Row],[Age]]&lt;60,"50-59","60+"))))</f>
        <v>60+</v>
      </c>
      <c r="M1836" t="s">
        <v>16</v>
      </c>
      <c r="N1836" t="s">
        <v>35</v>
      </c>
    </row>
    <row r="1837" spans="1:14" x14ac:dyDescent="0.35">
      <c r="A1837">
        <v>1936</v>
      </c>
      <c r="B1837" t="s">
        <v>26</v>
      </c>
      <c r="C1837" s="6">
        <v>43314</v>
      </c>
      <c r="D1837">
        <f>YEAR(Table1[[#This Row],[Join Date]])</f>
        <v>2018</v>
      </c>
      <c r="E1837" s="6" t="s">
        <v>48</v>
      </c>
      <c r="F1837" t="str">
        <f>IFERROR(YEAR(Table1[[#This Row],[Exit Date]]), " ")</f>
        <v xml:space="preserve"> </v>
      </c>
      <c r="G1837" t="str">
        <f>IFERROR((Table1[[#This Row],[Exit Year]]-Table1[[#This Row],[Join Year]])+1," ")</f>
        <v xml:space="preserve"> </v>
      </c>
      <c r="H1837" t="s">
        <v>48</v>
      </c>
      <c r="I1837" t="s">
        <v>11</v>
      </c>
      <c r="J1837" t="s">
        <v>18</v>
      </c>
      <c r="K1837">
        <v>29</v>
      </c>
      <c r="L1837" t="str">
        <f>IF(Table1[[#This Row],[Age]]&lt;30,"20-29",
IF(Table1[[#This Row],[Age]]&lt;40,"30-39",
IF(Table1[[#This Row],[Age]]&lt;50,"40-49",
IF(Table1[[#This Row],[Age]]&lt;60,"50-59","60+"))))</f>
        <v>20-29</v>
      </c>
      <c r="M1837" t="s">
        <v>16</v>
      </c>
      <c r="N1837" t="s">
        <v>14</v>
      </c>
    </row>
    <row r="1838" spans="1:14" x14ac:dyDescent="0.35">
      <c r="A1838">
        <v>1937</v>
      </c>
      <c r="B1838" t="s">
        <v>26</v>
      </c>
      <c r="C1838" s="6">
        <v>44418</v>
      </c>
      <c r="D1838">
        <f>YEAR(Table1[[#This Row],[Join Date]])</f>
        <v>2021</v>
      </c>
      <c r="E1838" s="6">
        <v>45628</v>
      </c>
      <c r="F1838">
        <f>IFERROR(YEAR(Table1[[#This Row],[Exit Date]]), " ")</f>
        <v>2024</v>
      </c>
      <c r="G1838">
        <f>IFERROR((Table1[[#This Row],[Exit Year]]-Table1[[#This Row],[Join Year]])+1," ")</f>
        <v>4</v>
      </c>
      <c r="H1838" t="s">
        <v>22</v>
      </c>
      <c r="I1838" t="s">
        <v>23</v>
      </c>
      <c r="J1838" t="s">
        <v>18</v>
      </c>
      <c r="K1838">
        <v>27</v>
      </c>
      <c r="L1838" t="str">
        <f>IF(Table1[[#This Row],[Age]]&lt;30,"20-29",
IF(Table1[[#This Row],[Age]]&lt;40,"30-39",
IF(Table1[[#This Row],[Age]]&lt;50,"40-49",
IF(Table1[[#This Row],[Age]]&lt;60,"50-59","60+"))))</f>
        <v>20-29</v>
      </c>
      <c r="M1838" t="s">
        <v>20</v>
      </c>
      <c r="N1838" t="s">
        <v>17</v>
      </c>
    </row>
    <row r="1839" spans="1:14" x14ac:dyDescent="0.35">
      <c r="A1839">
        <v>1938</v>
      </c>
      <c r="B1839" t="s">
        <v>34</v>
      </c>
      <c r="C1839" s="6">
        <v>44324</v>
      </c>
      <c r="D1839">
        <f>YEAR(Table1[[#This Row],[Join Date]])</f>
        <v>2021</v>
      </c>
      <c r="E1839" s="6">
        <v>45076</v>
      </c>
      <c r="F1839">
        <f>IFERROR(YEAR(Table1[[#This Row],[Exit Date]]), " ")</f>
        <v>2023</v>
      </c>
      <c r="G1839">
        <f>IFERROR((Table1[[#This Row],[Exit Year]]-Table1[[#This Row],[Join Year]])+1," ")</f>
        <v>3</v>
      </c>
      <c r="H1839" t="s">
        <v>40</v>
      </c>
      <c r="I1839" t="s">
        <v>23</v>
      </c>
      <c r="J1839" t="s">
        <v>12</v>
      </c>
      <c r="K1839">
        <v>31</v>
      </c>
      <c r="L1839" t="str">
        <f>IF(Table1[[#This Row],[Age]]&lt;30,"20-29",
IF(Table1[[#This Row],[Age]]&lt;40,"30-39",
IF(Table1[[#This Row],[Age]]&lt;50,"40-49",
IF(Table1[[#This Row],[Age]]&lt;60,"50-59","60+"))))</f>
        <v>30-39</v>
      </c>
      <c r="M1839" t="s">
        <v>24</v>
      </c>
      <c r="N1839" t="s">
        <v>19</v>
      </c>
    </row>
    <row r="1840" spans="1:14" x14ac:dyDescent="0.35">
      <c r="A1840">
        <v>1939</v>
      </c>
      <c r="B1840" t="s">
        <v>10</v>
      </c>
      <c r="C1840" s="6">
        <v>43513</v>
      </c>
      <c r="D1840">
        <f>YEAR(Table1[[#This Row],[Join Date]])</f>
        <v>2019</v>
      </c>
      <c r="E1840" s="6">
        <v>44923</v>
      </c>
      <c r="F1840">
        <f>IFERROR(YEAR(Table1[[#This Row],[Exit Date]]), " ")</f>
        <v>2022</v>
      </c>
      <c r="G1840">
        <f>IFERROR((Table1[[#This Row],[Exit Year]]-Table1[[#This Row],[Join Year]])+1," ")</f>
        <v>4</v>
      </c>
      <c r="H1840" t="s">
        <v>46</v>
      </c>
      <c r="I1840" t="s">
        <v>23</v>
      </c>
      <c r="J1840" t="s">
        <v>18</v>
      </c>
      <c r="K1840">
        <v>24</v>
      </c>
      <c r="L1840" t="str">
        <f>IF(Table1[[#This Row],[Age]]&lt;30,"20-29",
IF(Table1[[#This Row],[Age]]&lt;40,"30-39",
IF(Table1[[#This Row],[Age]]&lt;50,"40-49",
IF(Table1[[#This Row],[Age]]&lt;60,"50-59","60+"))))</f>
        <v>20-29</v>
      </c>
      <c r="M1840" t="s">
        <v>13</v>
      </c>
      <c r="N1840" t="s">
        <v>21</v>
      </c>
    </row>
    <row r="1841" spans="1:14" x14ac:dyDescent="0.35">
      <c r="A1841">
        <v>1940</v>
      </c>
      <c r="B1841" t="s">
        <v>36</v>
      </c>
      <c r="C1841" s="6">
        <v>44180</v>
      </c>
      <c r="D1841">
        <f>YEAR(Table1[[#This Row],[Join Date]])</f>
        <v>2020</v>
      </c>
      <c r="E1841" s="6" t="s">
        <v>48</v>
      </c>
      <c r="F1841" t="str">
        <f>IFERROR(YEAR(Table1[[#This Row],[Exit Date]]), " ")</f>
        <v xml:space="preserve"> </v>
      </c>
      <c r="G1841" t="str">
        <f>IFERROR((Table1[[#This Row],[Exit Year]]-Table1[[#This Row],[Join Year]])+1," ")</f>
        <v xml:space="preserve"> </v>
      </c>
      <c r="H1841" t="s">
        <v>48</v>
      </c>
      <c r="I1841" t="s">
        <v>11</v>
      </c>
      <c r="J1841" t="s">
        <v>18</v>
      </c>
      <c r="K1841">
        <v>37</v>
      </c>
      <c r="L1841" t="str">
        <f>IF(Table1[[#This Row],[Age]]&lt;30,"20-29",
IF(Table1[[#This Row],[Age]]&lt;40,"30-39",
IF(Table1[[#This Row],[Age]]&lt;50,"40-49",
IF(Table1[[#This Row],[Age]]&lt;60,"50-59","60+"))))</f>
        <v>30-39</v>
      </c>
      <c r="M1841" t="s">
        <v>30</v>
      </c>
      <c r="N1841" t="s">
        <v>14</v>
      </c>
    </row>
    <row r="1842" spans="1:14" x14ac:dyDescent="0.35">
      <c r="A1842">
        <v>1941</v>
      </c>
      <c r="B1842" t="s">
        <v>34</v>
      </c>
      <c r="C1842" s="6">
        <v>44099</v>
      </c>
      <c r="D1842">
        <f>YEAR(Table1[[#This Row],[Join Date]])</f>
        <v>2020</v>
      </c>
      <c r="E1842" s="6" t="s">
        <v>48</v>
      </c>
      <c r="F1842" t="str">
        <f>IFERROR(YEAR(Table1[[#This Row],[Exit Date]]), " ")</f>
        <v xml:space="preserve"> </v>
      </c>
      <c r="G1842" t="str">
        <f>IFERROR((Table1[[#This Row],[Exit Year]]-Table1[[#This Row],[Join Year]])+1," ")</f>
        <v xml:space="preserve"> </v>
      </c>
      <c r="H1842" t="s">
        <v>48</v>
      </c>
      <c r="I1842" t="s">
        <v>11</v>
      </c>
      <c r="J1842" t="s">
        <v>12</v>
      </c>
      <c r="K1842">
        <v>23</v>
      </c>
      <c r="L1842" t="str">
        <f>IF(Table1[[#This Row],[Age]]&lt;30,"20-29",
IF(Table1[[#This Row],[Age]]&lt;40,"30-39",
IF(Table1[[#This Row],[Age]]&lt;50,"40-49",
IF(Table1[[#This Row],[Age]]&lt;60,"50-59","60+"))))</f>
        <v>20-29</v>
      </c>
      <c r="M1842" t="s">
        <v>13</v>
      </c>
      <c r="N1842" t="s">
        <v>17</v>
      </c>
    </row>
    <row r="1843" spans="1:14" x14ac:dyDescent="0.35">
      <c r="A1843">
        <v>1942</v>
      </c>
      <c r="B1843" t="s">
        <v>34</v>
      </c>
      <c r="C1843" s="6">
        <v>45632</v>
      </c>
      <c r="D1843">
        <f>YEAR(Table1[[#This Row],[Join Date]])</f>
        <v>2024</v>
      </c>
      <c r="E1843" s="6" t="s">
        <v>48</v>
      </c>
      <c r="F1843" t="str">
        <f>IFERROR(YEAR(Table1[[#This Row],[Exit Date]]), " ")</f>
        <v xml:space="preserve"> </v>
      </c>
      <c r="G1843" t="str">
        <f>IFERROR((Table1[[#This Row],[Exit Year]]-Table1[[#This Row],[Join Year]])+1," ")</f>
        <v xml:space="preserve"> </v>
      </c>
      <c r="H1843" t="s">
        <v>48</v>
      </c>
      <c r="I1843" t="s">
        <v>11</v>
      </c>
      <c r="J1843" t="s">
        <v>18</v>
      </c>
      <c r="K1843">
        <v>31</v>
      </c>
      <c r="L1843" t="str">
        <f>IF(Table1[[#This Row],[Age]]&lt;30,"20-29",
IF(Table1[[#This Row],[Age]]&lt;40,"30-39",
IF(Table1[[#This Row],[Age]]&lt;50,"40-49",
IF(Table1[[#This Row],[Age]]&lt;60,"50-59","60+"))))</f>
        <v>30-39</v>
      </c>
      <c r="M1843" t="s">
        <v>13</v>
      </c>
      <c r="N1843" t="s">
        <v>19</v>
      </c>
    </row>
    <row r="1844" spans="1:14" x14ac:dyDescent="0.35">
      <c r="A1844">
        <v>1943</v>
      </c>
      <c r="B1844" t="s">
        <v>36</v>
      </c>
      <c r="C1844" s="6">
        <v>45294</v>
      </c>
      <c r="D1844">
        <f>YEAR(Table1[[#This Row],[Join Date]])</f>
        <v>2024</v>
      </c>
      <c r="E1844" s="6" t="s">
        <v>48</v>
      </c>
      <c r="F1844" t="str">
        <f>IFERROR(YEAR(Table1[[#This Row],[Exit Date]]), " ")</f>
        <v xml:space="preserve"> </v>
      </c>
      <c r="G1844" t="str">
        <f>IFERROR((Table1[[#This Row],[Exit Year]]-Table1[[#This Row],[Join Year]])+1," ")</f>
        <v xml:space="preserve"> </v>
      </c>
      <c r="H1844" t="s">
        <v>48</v>
      </c>
      <c r="I1844" t="s">
        <v>11</v>
      </c>
      <c r="J1844" t="s">
        <v>12</v>
      </c>
      <c r="K1844">
        <v>52</v>
      </c>
      <c r="L1844" t="str">
        <f>IF(Table1[[#This Row],[Age]]&lt;30,"20-29",
IF(Table1[[#This Row],[Age]]&lt;40,"30-39",
IF(Table1[[#This Row],[Age]]&lt;50,"40-49",
IF(Table1[[#This Row],[Age]]&lt;60,"50-59","60+"))))</f>
        <v>50-59</v>
      </c>
      <c r="M1844" t="s">
        <v>16</v>
      </c>
      <c r="N1844" t="s">
        <v>21</v>
      </c>
    </row>
    <row r="1845" spans="1:14" x14ac:dyDescent="0.35">
      <c r="A1845">
        <v>1944</v>
      </c>
      <c r="B1845" t="s">
        <v>26</v>
      </c>
      <c r="C1845" s="6">
        <v>44590</v>
      </c>
      <c r="D1845">
        <f>YEAR(Table1[[#This Row],[Join Date]])</f>
        <v>2022</v>
      </c>
      <c r="E1845" s="6" t="s">
        <v>48</v>
      </c>
      <c r="F1845" t="str">
        <f>IFERROR(YEAR(Table1[[#This Row],[Exit Date]]), " ")</f>
        <v xml:space="preserve"> </v>
      </c>
      <c r="G1845" t="str">
        <f>IFERROR((Table1[[#This Row],[Exit Year]]-Table1[[#This Row],[Join Year]])+1," ")</f>
        <v xml:space="preserve"> </v>
      </c>
      <c r="H1845" t="s">
        <v>48</v>
      </c>
      <c r="I1845" t="s">
        <v>11</v>
      </c>
      <c r="J1845" t="s">
        <v>12</v>
      </c>
      <c r="K1845">
        <v>25</v>
      </c>
      <c r="L1845" t="str">
        <f>IF(Table1[[#This Row],[Age]]&lt;30,"20-29",
IF(Table1[[#This Row],[Age]]&lt;40,"30-39",
IF(Table1[[#This Row],[Age]]&lt;50,"40-49",
IF(Table1[[#This Row],[Age]]&lt;60,"50-59","60+"))))</f>
        <v>20-29</v>
      </c>
      <c r="M1845" t="s">
        <v>13</v>
      </c>
      <c r="N1845" t="s">
        <v>25</v>
      </c>
    </row>
    <row r="1846" spans="1:14" x14ac:dyDescent="0.35">
      <c r="A1846">
        <v>1945</v>
      </c>
      <c r="B1846" t="s">
        <v>15</v>
      </c>
      <c r="C1846" s="6">
        <v>45215</v>
      </c>
      <c r="D1846">
        <f>YEAR(Table1[[#This Row],[Join Date]])</f>
        <v>2023</v>
      </c>
      <c r="E1846" s="6" t="s">
        <v>48</v>
      </c>
      <c r="F1846" t="str">
        <f>IFERROR(YEAR(Table1[[#This Row],[Exit Date]]), " ")</f>
        <v xml:space="preserve"> </v>
      </c>
      <c r="G1846" t="str">
        <f>IFERROR((Table1[[#This Row],[Exit Year]]-Table1[[#This Row],[Join Year]])+1," ")</f>
        <v xml:space="preserve"> </v>
      </c>
      <c r="H1846" t="s">
        <v>48</v>
      </c>
      <c r="I1846" t="s">
        <v>11</v>
      </c>
      <c r="J1846" t="s">
        <v>12</v>
      </c>
      <c r="K1846">
        <v>46</v>
      </c>
      <c r="L1846" t="str">
        <f>IF(Table1[[#This Row],[Age]]&lt;30,"20-29",
IF(Table1[[#This Row],[Age]]&lt;40,"30-39",
IF(Table1[[#This Row],[Age]]&lt;50,"40-49",
IF(Table1[[#This Row],[Age]]&lt;60,"50-59","60+"))))</f>
        <v>40-49</v>
      </c>
      <c r="M1846" t="s">
        <v>20</v>
      </c>
      <c r="N1846" t="s">
        <v>28</v>
      </c>
    </row>
    <row r="1847" spans="1:14" x14ac:dyDescent="0.35">
      <c r="A1847">
        <v>1946</v>
      </c>
      <c r="B1847" t="s">
        <v>15</v>
      </c>
      <c r="C1847" s="6">
        <v>43624</v>
      </c>
      <c r="D1847">
        <f>YEAR(Table1[[#This Row],[Join Date]])</f>
        <v>2019</v>
      </c>
      <c r="E1847" s="6">
        <v>44228</v>
      </c>
      <c r="F1847">
        <f>IFERROR(YEAR(Table1[[#This Row],[Exit Date]]), " ")</f>
        <v>2021</v>
      </c>
      <c r="G1847">
        <f>IFERROR((Table1[[#This Row],[Exit Year]]-Table1[[#This Row],[Join Year]])+1," ")</f>
        <v>3</v>
      </c>
      <c r="H1847" t="s">
        <v>41</v>
      </c>
      <c r="I1847" t="s">
        <v>23</v>
      </c>
      <c r="J1847" t="s">
        <v>18</v>
      </c>
      <c r="K1847">
        <v>24</v>
      </c>
      <c r="L1847" t="str">
        <f>IF(Table1[[#This Row],[Age]]&lt;30,"20-29",
IF(Table1[[#This Row],[Age]]&lt;40,"30-39",
IF(Table1[[#This Row],[Age]]&lt;50,"40-49",
IF(Table1[[#This Row],[Age]]&lt;60,"50-59","60+"))))</f>
        <v>20-29</v>
      </c>
      <c r="M1847" t="s">
        <v>44</v>
      </c>
      <c r="N1847" t="s">
        <v>31</v>
      </c>
    </row>
    <row r="1848" spans="1:14" x14ac:dyDescent="0.35">
      <c r="A1848">
        <v>1947</v>
      </c>
      <c r="B1848" t="s">
        <v>15</v>
      </c>
      <c r="C1848" s="6">
        <v>44514</v>
      </c>
      <c r="D1848">
        <f>YEAR(Table1[[#This Row],[Join Date]])</f>
        <v>2021</v>
      </c>
      <c r="E1848" s="6">
        <v>45529</v>
      </c>
      <c r="F1848">
        <f>IFERROR(YEAR(Table1[[#This Row],[Exit Date]]), " ")</f>
        <v>2024</v>
      </c>
      <c r="G1848">
        <f>IFERROR((Table1[[#This Row],[Exit Year]]-Table1[[#This Row],[Join Year]])+1," ")</f>
        <v>4</v>
      </c>
      <c r="H1848" t="s">
        <v>41</v>
      </c>
      <c r="I1848" t="s">
        <v>23</v>
      </c>
      <c r="J1848" t="s">
        <v>12</v>
      </c>
      <c r="K1848">
        <v>38</v>
      </c>
      <c r="L1848" t="str">
        <f>IF(Table1[[#This Row],[Age]]&lt;30,"20-29",
IF(Table1[[#This Row],[Age]]&lt;40,"30-39",
IF(Table1[[#This Row],[Age]]&lt;50,"40-49",
IF(Table1[[#This Row],[Age]]&lt;60,"50-59","60+"))))</f>
        <v>30-39</v>
      </c>
      <c r="M1848" t="s">
        <v>13</v>
      </c>
      <c r="N1848" t="s">
        <v>32</v>
      </c>
    </row>
    <row r="1849" spans="1:14" x14ac:dyDescent="0.35">
      <c r="A1849">
        <v>1948</v>
      </c>
      <c r="B1849" t="s">
        <v>29</v>
      </c>
      <c r="C1849" s="6">
        <v>43700</v>
      </c>
      <c r="D1849">
        <f>YEAR(Table1[[#This Row],[Join Date]])</f>
        <v>2019</v>
      </c>
      <c r="E1849" s="6" t="s">
        <v>48</v>
      </c>
      <c r="F1849" t="str">
        <f>IFERROR(YEAR(Table1[[#This Row],[Exit Date]]), " ")</f>
        <v xml:space="preserve"> </v>
      </c>
      <c r="G1849" t="str">
        <f>IFERROR((Table1[[#This Row],[Exit Year]]-Table1[[#This Row],[Join Year]])+1," ")</f>
        <v xml:space="preserve"> </v>
      </c>
      <c r="H1849" t="s">
        <v>48</v>
      </c>
      <c r="I1849" t="s">
        <v>11</v>
      </c>
      <c r="J1849" t="s">
        <v>18</v>
      </c>
      <c r="K1849">
        <v>49</v>
      </c>
      <c r="L1849" t="str">
        <f>IF(Table1[[#This Row],[Age]]&lt;30,"20-29",
IF(Table1[[#This Row],[Age]]&lt;40,"30-39",
IF(Table1[[#This Row],[Age]]&lt;50,"40-49",
IF(Table1[[#This Row],[Age]]&lt;60,"50-59","60+"))))</f>
        <v>40-49</v>
      </c>
      <c r="M1849" t="s">
        <v>16</v>
      </c>
      <c r="N1849" t="s">
        <v>33</v>
      </c>
    </row>
    <row r="1850" spans="1:14" x14ac:dyDescent="0.35">
      <c r="A1850">
        <v>1949</v>
      </c>
      <c r="B1850" t="s">
        <v>34</v>
      </c>
      <c r="C1850" s="6">
        <v>45540</v>
      </c>
      <c r="D1850">
        <f>YEAR(Table1[[#This Row],[Join Date]])</f>
        <v>2024</v>
      </c>
      <c r="E1850" s="6" t="s">
        <v>48</v>
      </c>
      <c r="F1850" t="str">
        <f>IFERROR(YEAR(Table1[[#This Row],[Exit Date]]), " ")</f>
        <v xml:space="preserve"> </v>
      </c>
      <c r="G1850" t="str">
        <f>IFERROR((Table1[[#This Row],[Exit Year]]-Table1[[#This Row],[Join Year]])+1," ")</f>
        <v xml:space="preserve"> </v>
      </c>
      <c r="H1850" t="s">
        <v>48</v>
      </c>
      <c r="I1850" t="s">
        <v>11</v>
      </c>
      <c r="J1850" t="s">
        <v>12</v>
      </c>
      <c r="K1850">
        <v>31</v>
      </c>
      <c r="L1850" t="str">
        <f>IF(Table1[[#This Row],[Age]]&lt;30,"20-29",
IF(Table1[[#This Row],[Age]]&lt;40,"30-39",
IF(Table1[[#This Row],[Age]]&lt;50,"40-49",
IF(Table1[[#This Row],[Age]]&lt;60,"50-59","60+"))))</f>
        <v>30-39</v>
      </c>
      <c r="M1850" t="s">
        <v>16</v>
      </c>
      <c r="N1850" t="s">
        <v>35</v>
      </c>
    </row>
    <row r="1851" spans="1:14" x14ac:dyDescent="0.35">
      <c r="A1851">
        <v>1950</v>
      </c>
      <c r="B1851" t="s">
        <v>10</v>
      </c>
      <c r="C1851" s="6">
        <v>43297</v>
      </c>
      <c r="D1851">
        <f>YEAR(Table1[[#This Row],[Join Date]])</f>
        <v>2018</v>
      </c>
      <c r="E1851" s="6">
        <v>44682</v>
      </c>
      <c r="F1851">
        <f>IFERROR(YEAR(Table1[[#This Row],[Exit Date]]), " ")</f>
        <v>2022</v>
      </c>
      <c r="G1851">
        <f>IFERROR((Table1[[#This Row],[Exit Year]]-Table1[[#This Row],[Join Year]])+1," ")</f>
        <v>5</v>
      </c>
      <c r="H1851" t="s">
        <v>40</v>
      </c>
      <c r="I1851" t="s">
        <v>23</v>
      </c>
      <c r="J1851" t="s">
        <v>18</v>
      </c>
      <c r="K1851">
        <v>51</v>
      </c>
      <c r="L1851" t="str">
        <f>IF(Table1[[#This Row],[Age]]&lt;30,"20-29",
IF(Table1[[#This Row],[Age]]&lt;40,"30-39",
IF(Table1[[#This Row],[Age]]&lt;50,"40-49",
IF(Table1[[#This Row],[Age]]&lt;60,"50-59","60+"))))</f>
        <v>50-59</v>
      </c>
      <c r="M1851" t="s">
        <v>20</v>
      </c>
      <c r="N1851" t="s">
        <v>37</v>
      </c>
    </row>
    <row r="1852" spans="1:14" x14ac:dyDescent="0.35">
      <c r="A1852">
        <v>1951</v>
      </c>
      <c r="B1852" t="s">
        <v>10</v>
      </c>
      <c r="C1852" s="6">
        <v>43407</v>
      </c>
      <c r="D1852">
        <f>YEAR(Table1[[#This Row],[Join Date]])</f>
        <v>2018</v>
      </c>
      <c r="E1852" s="6" t="s">
        <v>48</v>
      </c>
      <c r="F1852" t="str">
        <f>IFERROR(YEAR(Table1[[#This Row],[Exit Date]]), " ")</f>
        <v xml:space="preserve"> </v>
      </c>
      <c r="G1852" t="str">
        <f>IFERROR((Table1[[#This Row],[Exit Year]]-Table1[[#This Row],[Join Year]])+1," ")</f>
        <v xml:space="preserve"> </v>
      </c>
      <c r="H1852" t="s">
        <v>48</v>
      </c>
      <c r="I1852" t="s">
        <v>11</v>
      </c>
      <c r="J1852" t="s">
        <v>18</v>
      </c>
      <c r="K1852">
        <v>27</v>
      </c>
      <c r="L1852" t="str">
        <f>IF(Table1[[#This Row],[Age]]&lt;30,"20-29",
IF(Table1[[#This Row],[Age]]&lt;40,"30-39",
IF(Table1[[#This Row],[Age]]&lt;50,"40-49",
IF(Table1[[#This Row],[Age]]&lt;60,"50-59","60+"))))</f>
        <v>20-29</v>
      </c>
      <c r="M1852" t="s">
        <v>24</v>
      </c>
      <c r="N1852" t="s">
        <v>19</v>
      </c>
    </row>
    <row r="1853" spans="1:14" x14ac:dyDescent="0.35">
      <c r="A1853">
        <v>1952</v>
      </c>
      <c r="B1853" t="s">
        <v>15</v>
      </c>
      <c r="C1853" s="6">
        <v>44121</v>
      </c>
      <c r="D1853">
        <f>YEAR(Table1[[#This Row],[Join Date]])</f>
        <v>2020</v>
      </c>
      <c r="E1853" s="6" t="s">
        <v>48</v>
      </c>
      <c r="F1853" t="str">
        <f>IFERROR(YEAR(Table1[[#This Row],[Exit Date]]), " ")</f>
        <v xml:space="preserve"> </v>
      </c>
      <c r="G1853" t="str">
        <f>IFERROR((Table1[[#This Row],[Exit Year]]-Table1[[#This Row],[Join Year]])+1," ")</f>
        <v xml:space="preserve"> </v>
      </c>
      <c r="H1853" t="s">
        <v>48</v>
      </c>
      <c r="I1853" t="s">
        <v>11</v>
      </c>
      <c r="J1853" t="s">
        <v>12</v>
      </c>
      <c r="K1853">
        <v>22</v>
      </c>
      <c r="L1853" t="str">
        <f>IF(Table1[[#This Row],[Age]]&lt;30,"20-29",
IF(Table1[[#This Row],[Age]]&lt;40,"30-39",
IF(Table1[[#This Row],[Age]]&lt;50,"40-49",
IF(Table1[[#This Row],[Age]]&lt;60,"50-59","60+"))))</f>
        <v>20-29</v>
      </c>
      <c r="M1853" t="s">
        <v>13</v>
      </c>
      <c r="N1853" t="s">
        <v>25</v>
      </c>
    </row>
    <row r="1854" spans="1:14" x14ac:dyDescent="0.35">
      <c r="A1854">
        <v>1953</v>
      </c>
      <c r="B1854" t="s">
        <v>15</v>
      </c>
      <c r="C1854" s="6">
        <v>44423</v>
      </c>
      <c r="D1854">
        <f>YEAR(Table1[[#This Row],[Join Date]])</f>
        <v>2021</v>
      </c>
      <c r="E1854" s="6" t="s">
        <v>48</v>
      </c>
      <c r="F1854" t="str">
        <f>IFERROR(YEAR(Table1[[#This Row],[Exit Date]]), " ")</f>
        <v xml:space="preserve"> </v>
      </c>
      <c r="G1854" t="str">
        <f>IFERROR((Table1[[#This Row],[Exit Year]]-Table1[[#This Row],[Join Year]])+1," ")</f>
        <v xml:space="preserve"> </v>
      </c>
      <c r="H1854" t="s">
        <v>48</v>
      </c>
      <c r="I1854" t="s">
        <v>11</v>
      </c>
      <c r="J1854" t="s">
        <v>18</v>
      </c>
      <c r="K1854">
        <v>50</v>
      </c>
      <c r="L1854" t="str">
        <f>IF(Table1[[#This Row],[Age]]&lt;30,"20-29",
IF(Table1[[#This Row],[Age]]&lt;40,"30-39",
IF(Table1[[#This Row],[Age]]&lt;50,"40-49",
IF(Table1[[#This Row],[Age]]&lt;60,"50-59","60+"))))</f>
        <v>50-59</v>
      </c>
      <c r="M1854" t="s">
        <v>42</v>
      </c>
      <c r="N1854" t="s">
        <v>35</v>
      </c>
    </row>
    <row r="1855" spans="1:14" x14ac:dyDescent="0.35">
      <c r="A1855">
        <v>1954</v>
      </c>
      <c r="B1855" t="s">
        <v>15</v>
      </c>
      <c r="C1855" s="6">
        <v>45087</v>
      </c>
      <c r="D1855">
        <f>YEAR(Table1[[#This Row],[Join Date]])</f>
        <v>2023</v>
      </c>
      <c r="E1855" s="6" t="s">
        <v>48</v>
      </c>
      <c r="F1855" t="str">
        <f>IFERROR(YEAR(Table1[[#This Row],[Exit Date]]), " ")</f>
        <v xml:space="preserve"> </v>
      </c>
      <c r="G1855" t="str">
        <f>IFERROR((Table1[[#This Row],[Exit Year]]-Table1[[#This Row],[Join Year]])+1," ")</f>
        <v xml:space="preserve"> </v>
      </c>
      <c r="H1855" t="s">
        <v>48</v>
      </c>
      <c r="I1855" t="s">
        <v>11</v>
      </c>
      <c r="J1855" t="s">
        <v>18</v>
      </c>
      <c r="K1855">
        <v>24</v>
      </c>
      <c r="L1855" t="str">
        <f>IF(Table1[[#This Row],[Age]]&lt;30,"20-29",
IF(Table1[[#This Row],[Age]]&lt;40,"30-39",
IF(Table1[[#This Row],[Age]]&lt;50,"40-49",
IF(Table1[[#This Row],[Age]]&lt;60,"50-59","60+"))))</f>
        <v>20-29</v>
      </c>
      <c r="M1855" t="s">
        <v>13</v>
      </c>
      <c r="N1855" t="s">
        <v>17</v>
      </c>
    </row>
    <row r="1856" spans="1:14" x14ac:dyDescent="0.35">
      <c r="A1856">
        <v>1955</v>
      </c>
      <c r="B1856" t="s">
        <v>15</v>
      </c>
      <c r="C1856" s="6">
        <v>43479</v>
      </c>
      <c r="D1856">
        <f>YEAR(Table1[[#This Row],[Join Date]])</f>
        <v>2019</v>
      </c>
      <c r="E1856" s="6">
        <v>44449</v>
      </c>
      <c r="F1856">
        <f>IFERROR(YEAR(Table1[[#This Row],[Exit Date]]), " ")</f>
        <v>2021</v>
      </c>
      <c r="G1856">
        <f>IFERROR((Table1[[#This Row],[Exit Year]]-Table1[[#This Row],[Join Year]])+1," ")</f>
        <v>3</v>
      </c>
      <c r="H1856" t="s">
        <v>46</v>
      </c>
      <c r="I1856" t="s">
        <v>23</v>
      </c>
      <c r="J1856" t="s">
        <v>12</v>
      </c>
      <c r="K1856">
        <v>50</v>
      </c>
      <c r="L1856" t="str">
        <f>IF(Table1[[#This Row],[Age]]&lt;30,"20-29",
IF(Table1[[#This Row],[Age]]&lt;40,"30-39",
IF(Table1[[#This Row],[Age]]&lt;50,"40-49",
IF(Table1[[#This Row],[Age]]&lt;60,"50-59","60+"))))</f>
        <v>50-59</v>
      </c>
      <c r="M1856" t="s">
        <v>13</v>
      </c>
      <c r="N1856" t="s">
        <v>19</v>
      </c>
    </row>
    <row r="1857" spans="1:14" x14ac:dyDescent="0.35">
      <c r="A1857">
        <v>1956</v>
      </c>
      <c r="B1857" t="s">
        <v>26</v>
      </c>
      <c r="C1857" s="6">
        <v>44749</v>
      </c>
      <c r="D1857">
        <f>YEAR(Table1[[#This Row],[Join Date]])</f>
        <v>2022</v>
      </c>
      <c r="E1857" s="6">
        <v>44972</v>
      </c>
      <c r="F1857">
        <f>IFERROR(YEAR(Table1[[#This Row],[Exit Date]]), " ")</f>
        <v>2023</v>
      </c>
      <c r="G1857">
        <f>IFERROR((Table1[[#This Row],[Exit Year]]-Table1[[#This Row],[Join Year]])+1," ")</f>
        <v>2</v>
      </c>
      <c r="H1857" t="s">
        <v>46</v>
      </c>
      <c r="I1857" t="s">
        <v>23</v>
      </c>
      <c r="J1857" t="s">
        <v>18</v>
      </c>
      <c r="K1857">
        <v>28</v>
      </c>
      <c r="L1857" t="str">
        <f>IF(Table1[[#This Row],[Age]]&lt;30,"20-29",
IF(Table1[[#This Row],[Age]]&lt;40,"30-39",
IF(Table1[[#This Row],[Age]]&lt;50,"40-49",
IF(Table1[[#This Row],[Age]]&lt;60,"50-59","60+"))))</f>
        <v>20-29</v>
      </c>
      <c r="M1857" t="s">
        <v>16</v>
      </c>
      <c r="N1857" t="s">
        <v>21</v>
      </c>
    </row>
    <row r="1858" spans="1:14" x14ac:dyDescent="0.35">
      <c r="A1858">
        <v>1957</v>
      </c>
      <c r="B1858" t="s">
        <v>29</v>
      </c>
      <c r="C1858" s="6">
        <v>45457</v>
      </c>
      <c r="D1858">
        <f>YEAR(Table1[[#This Row],[Join Date]])</f>
        <v>2024</v>
      </c>
      <c r="E1858" s="6" t="s">
        <v>48</v>
      </c>
      <c r="F1858" t="str">
        <f>IFERROR(YEAR(Table1[[#This Row],[Exit Date]]), " ")</f>
        <v xml:space="preserve"> </v>
      </c>
      <c r="G1858" t="str">
        <f>IFERROR((Table1[[#This Row],[Exit Year]]-Table1[[#This Row],[Join Year]])+1," ")</f>
        <v xml:space="preserve"> </v>
      </c>
      <c r="H1858" t="s">
        <v>48</v>
      </c>
      <c r="I1858" t="s">
        <v>11</v>
      </c>
      <c r="J1858" t="s">
        <v>18</v>
      </c>
      <c r="K1858">
        <v>40</v>
      </c>
      <c r="L1858" t="str">
        <f>IF(Table1[[#This Row],[Age]]&lt;30,"20-29",
IF(Table1[[#This Row],[Age]]&lt;40,"30-39",
IF(Table1[[#This Row],[Age]]&lt;50,"40-49",
IF(Table1[[#This Row],[Age]]&lt;60,"50-59","60+"))))</f>
        <v>40-49</v>
      </c>
      <c r="M1858" t="s">
        <v>13</v>
      </c>
      <c r="N1858" t="s">
        <v>25</v>
      </c>
    </row>
    <row r="1859" spans="1:14" x14ac:dyDescent="0.35">
      <c r="A1859">
        <v>1958</v>
      </c>
      <c r="B1859" t="s">
        <v>10</v>
      </c>
      <c r="C1859" s="6">
        <v>43304</v>
      </c>
      <c r="D1859">
        <f>YEAR(Table1[[#This Row],[Join Date]])</f>
        <v>2018</v>
      </c>
      <c r="E1859" s="6" t="s">
        <v>48</v>
      </c>
      <c r="F1859" t="str">
        <f>IFERROR(YEAR(Table1[[#This Row],[Exit Date]]), " ")</f>
        <v xml:space="preserve"> </v>
      </c>
      <c r="G1859" t="str">
        <f>IFERROR((Table1[[#This Row],[Exit Year]]-Table1[[#This Row],[Join Year]])+1," ")</f>
        <v xml:space="preserve"> </v>
      </c>
      <c r="H1859" t="s">
        <v>48</v>
      </c>
      <c r="I1859" t="s">
        <v>11</v>
      </c>
      <c r="J1859" t="s">
        <v>18</v>
      </c>
      <c r="K1859">
        <v>32</v>
      </c>
      <c r="L1859" t="str">
        <f>IF(Table1[[#This Row],[Age]]&lt;30,"20-29",
IF(Table1[[#This Row],[Age]]&lt;40,"30-39",
IF(Table1[[#This Row],[Age]]&lt;50,"40-49",
IF(Table1[[#This Row],[Age]]&lt;60,"50-59","60+"))))</f>
        <v>30-39</v>
      </c>
      <c r="M1859" t="s">
        <v>20</v>
      </c>
      <c r="N1859" t="s">
        <v>35</v>
      </c>
    </row>
    <row r="1860" spans="1:14" x14ac:dyDescent="0.35">
      <c r="A1860">
        <v>1959</v>
      </c>
      <c r="B1860" t="s">
        <v>15</v>
      </c>
      <c r="C1860" s="6">
        <v>44987</v>
      </c>
      <c r="D1860">
        <f>YEAR(Table1[[#This Row],[Join Date]])</f>
        <v>2023</v>
      </c>
      <c r="E1860" s="6" t="s">
        <v>48</v>
      </c>
      <c r="F1860" t="str">
        <f>IFERROR(YEAR(Table1[[#This Row],[Exit Date]]), " ")</f>
        <v xml:space="preserve"> </v>
      </c>
      <c r="G1860" t="str">
        <f>IFERROR((Table1[[#This Row],[Exit Year]]-Table1[[#This Row],[Join Year]])+1," ")</f>
        <v xml:space="preserve"> </v>
      </c>
      <c r="H1860" t="s">
        <v>48</v>
      </c>
      <c r="I1860" t="s">
        <v>11</v>
      </c>
      <c r="J1860" t="s">
        <v>12</v>
      </c>
      <c r="K1860">
        <v>50</v>
      </c>
      <c r="L1860" t="str">
        <f>IF(Table1[[#This Row],[Age]]&lt;30,"20-29",
IF(Table1[[#This Row],[Age]]&lt;40,"30-39",
IF(Table1[[#This Row],[Age]]&lt;50,"40-49",
IF(Table1[[#This Row],[Age]]&lt;60,"50-59","60+"))))</f>
        <v>50-59</v>
      </c>
      <c r="M1860" t="s">
        <v>39</v>
      </c>
      <c r="N1860" t="s">
        <v>14</v>
      </c>
    </row>
    <row r="1861" spans="1:14" x14ac:dyDescent="0.35">
      <c r="A1861">
        <v>1960</v>
      </c>
      <c r="B1861" t="s">
        <v>34</v>
      </c>
      <c r="C1861" s="6">
        <v>45326</v>
      </c>
      <c r="D1861">
        <f>YEAR(Table1[[#This Row],[Join Date]])</f>
        <v>2024</v>
      </c>
      <c r="E1861" s="6" t="s">
        <v>48</v>
      </c>
      <c r="F1861" t="str">
        <f>IFERROR(YEAR(Table1[[#This Row],[Exit Date]]), " ")</f>
        <v xml:space="preserve"> </v>
      </c>
      <c r="G1861" t="str">
        <f>IFERROR((Table1[[#This Row],[Exit Year]]-Table1[[#This Row],[Join Year]])+1," ")</f>
        <v xml:space="preserve"> </v>
      </c>
      <c r="H1861" t="s">
        <v>48</v>
      </c>
      <c r="I1861" t="s">
        <v>11</v>
      </c>
      <c r="J1861" t="s">
        <v>18</v>
      </c>
      <c r="K1861">
        <v>24</v>
      </c>
      <c r="L1861" t="str">
        <f>IF(Table1[[#This Row],[Age]]&lt;30,"20-29",
IF(Table1[[#This Row],[Age]]&lt;40,"30-39",
IF(Table1[[#This Row],[Age]]&lt;50,"40-49",
IF(Table1[[#This Row],[Age]]&lt;60,"50-59","60+"))))</f>
        <v>20-29</v>
      </c>
      <c r="M1861" t="s">
        <v>13</v>
      </c>
      <c r="N1861" t="s">
        <v>19</v>
      </c>
    </row>
    <row r="1862" spans="1:14" x14ac:dyDescent="0.35">
      <c r="A1862">
        <v>1961</v>
      </c>
      <c r="B1862" t="s">
        <v>36</v>
      </c>
      <c r="C1862" s="6">
        <v>45474</v>
      </c>
      <c r="D1862">
        <f>YEAR(Table1[[#This Row],[Join Date]])</f>
        <v>2024</v>
      </c>
      <c r="E1862" s="6" t="s">
        <v>48</v>
      </c>
      <c r="F1862" t="str">
        <f>IFERROR(YEAR(Table1[[#This Row],[Exit Date]]), " ")</f>
        <v xml:space="preserve"> </v>
      </c>
      <c r="G1862" t="str">
        <f>IFERROR((Table1[[#This Row],[Exit Year]]-Table1[[#This Row],[Join Year]])+1," ")</f>
        <v xml:space="preserve"> </v>
      </c>
      <c r="H1862" t="s">
        <v>48</v>
      </c>
      <c r="I1862" t="s">
        <v>11</v>
      </c>
      <c r="J1862" t="s">
        <v>12</v>
      </c>
      <c r="K1862">
        <v>36</v>
      </c>
      <c r="L1862" t="str">
        <f>IF(Table1[[#This Row],[Age]]&lt;30,"20-29",
IF(Table1[[#This Row],[Age]]&lt;40,"30-39",
IF(Table1[[#This Row],[Age]]&lt;50,"40-49",
IF(Table1[[#This Row],[Age]]&lt;60,"50-59","60+"))))</f>
        <v>30-39</v>
      </c>
      <c r="M1862" t="s">
        <v>16</v>
      </c>
      <c r="N1862" t="s">
        <v>21</v>
      </c>
    </row>
    <row r="1863" spans="1:14" x14ac:dyDescent="0.35">
      <c r="A1863">
        <v>1962</v>
      </c>
      <c r="B1863" t="s">
        <v>29</v>
      </c>
      <c r="C1863" s="6">
        <v>44227</v>
      </c>
      <c r="D1863">
        <f>YEAR(Table1[[#This Row],[Join Date]])</f>
        <v>2021</v>
      </c>
      <c r="E1863" s="6">
        <v>45322</v>
      </c>
      <c r="F1863">
        <f>IFERROR(YEAR(Table1[[#This Row],[Exit Date]]), " ")</f>
        <v>2024</v>
      </c>
      <c r="G1863">
        <f>IFERROR((Table1[[#This Row],[Exit Year]]-Table1[[#This Row],[Join Year]])+1," ")</f>
        <v>4</v>
      </c>
      <c r="H1863" t="s">
        <v>46</v>
      </c>
      <c r="I1863" t="s">
        <v>23</v>
      </c>
      <c r="J1863" t="s">
        <v>12</v>
      </c>
      <c r="K1863">
        <v>49</v>
      </c>
      <c r="L1863" t="str">
        <f>IF(Table1[[#This Row],[Age]]&lt;30,"20-29",
IF(Table1[[#This Row],[Age]]&lt;40,"30-39",
IF(Table1[[#This Row],[Age]]&lt;50,"40-49",
IF(Table1[[#This Row],[Age]]&lt;60,"50-59","60+"))))</f>
        <v>40-49</v>
      </c>
      <c r="M1863" t="s">
        <v>16</v>
      </c>
      <c r="N1863" t="s">
        <v>37</v>
      </c>
    </row>
    <row r="1864" spans="1:14" x14ac:dyDescent="0.35">
      <c r="A1864">
        <v>1963</v>
      </c>
      <c r="B1864" t="s">
        <v>10</v>
      </c>
      <c r="C1864" s="6">
        <v>43446</v>
      </c>
      <c r="D1864">
        <f>YEAR(Table1[[#This Row],[Join Date]])</f>
        <v>2018</v>
      </c>
      <c r="E1864" s="6">
        <v>43936</v>
      </c>
      <c r="F1864">
        <f>IFERROR(YEAR(Table1[[#This Row],[Exit Date]]), " ")</f>
        <v>2020</v>
      </c>
      <c r="G1864">
        <f>IFERROR((Table1[[#This Row],[Exit Year]]-Table1[[#This Row],[Join Year]])+1," ")</f>
        <v>3</v>
      </c>
      <c r="H1864" t="s">
        <v>38</v>
      </c>
      <c r="I1864" t="s">
        <v>23</v>
      </c>
      <c r="J1864" t="s">
        <v>12</v>
      </c>
      <c r="K1864">
        <v>43</v>
      </c>
      <c r="L1864" t="str">
        <f>IF(Table1[[#This Row],[Age]]&lt;30,"20-29",
IF(Table1[[#This Row],[Age]]&lt;40,"30-39",
IF(Table1[[#This Row],[Age]]&lt;50,"40-49",
IF(Table1[[#This Row],[Age]]&lt;60,"50-59","60+"))))</f>
        <v>40-49</v>
      </c>
      <c r="M1864" t="s">
        <v>20</v>
      </c>
      <c r="N1864" t="s">
        <v>25</v>
      </c>
    </row>
    <row r="1865" spans="1:14" x14ac:dyDescent="0.35">
      <c r="A1865">
        <v>1964</v>
      </c>
      <c r="B1865" t="s">
        <v>15</v>
      </c>
      <c r="C1865" s="6">
        <v>45314</v>
      </c>
      <c r="D1865">
        <f>YEAR(Table1[[#This Row],[Join Date]])</f>
        <v>2024</v>
      </c>
      <c r="E1865" s="6" t="s">
        <v>48</v>
      </c>
      <c r="F1865" t="str">
        <f>IFERROR(YEAR(Table1[[#This Row],[Exit Date]]), " ")</f>
        <v xml:space="preserve"> </v>
      </c>
      <c r="G1865" t="str">
        <f>IFERROR((Table1[[#This Row],[Exit Year]]-Table1[[#This Row],[Join Year]])+1," ")</f>
        <v xml:space="preserve"> </v>
      </c>
      <c r="H1865" t="s">
        <v>48</v>
      </c>
      <c r="I1865" t="s">
        <v>11</v>
      </c>
      <c r="J1865" t="s">
        <v>18</v>
      </c>
      <c r="K1865">
        <v>40</v>
      </c>
      <c r="L1865" t="str">
        <f>IF(Table1[[#This Row],[Age]]&lt;30,"20-29",
IF(Table1[[#This Row],[Age]]&lt;40,"30-39",
IF(Table1[[#This Row],[Age]]&lt;50,"40-49",
IF(Table1[[#This Row],[Age]]&lt;60,"50-59","60+"))))</f>
        <v>40-49</v>
      </c>
      <c r="M1865" t="s">
        <v>24</v>
      </c>
      <c r="N1865" t="s">
        <v>35</v>
      </c>
    </row>
    <row r="1866" spans="1:14" x14ac:dyDescent="0.35">
      <c r="A1866">
        <v>1965</v>
      </c>
      <c r="B1866" t="s">
        <v>15</v>
      </c>
      <c r="C1866" s="6">
        <v>43123</v>
      </c>
      <c r="D1866">
        <f>YEAR(Table1[[#This Row],[Join Date]])</f>
        <v>2018</v>
      </c>
      <c r="E1866" s="6" t="s">
        <v>48</v>
      </c>
      <c r="F1866" t="str">
        <f>IFERROR(YEAR(Table1[[#This Row],[Exit Date]]), " ")</f>
        <v xml:space="preserve"> </v>
      </c>
      <c r="G1866" t="str">
        <f>IFERROR((Table1[[#This Row],[Exit Year]]-Table1[[#This Row],[Join Year]])+1," ")</f>
        <v xml:space="preserve"> </v>
      </c>
      <c r="H1866" t="s">
        <v>48</v>
      </c>
      <c r="I1866" t="s">
        <v>11</v>
      </c>
      <c r="J1866" t="s">
        <v>12</v>
      </c>
      <c r="K1866">
        <v>42</v>
      </c>
      <c r="L1866" t="str">
        <f>IF(Table1[[#This Row],[Age]]&lt;30,"20-29",
IF(Table1[[#This Row],[Age]]&lt;40,"30-39",
IF(Table1[[#This Row],[Age]]&lt;50,"40-49",
IF(Table1[[#This Row],[Age]]&lt;60,"50-59","60+"))))</f>
        <v>40-49</v>
      </c>
      <c r="M1866" t="s">
        <v>13</v>
      </c>
      <c r="N1866" t="s">
        <v>14</v>
      </c>
    </row>
    <row r="1867" spans="1:14" x14ac:dyDescent="0.35">
      <c r="A1867">
        <v>1966</v>
      </c>
      <c r="B1867" t="s">
        <v>10</v>
      </c>
      <c r="C1867" s="6">
        <v>43717</v>
      </c>
      <c r="D1867">
        <f>YEAR(Table1[[#This Row],[Join Date]])</f>
        <v>2019</v>
      </c>
      <c r="E1867" s="6">
        <v>44677</v>
      </c>
      <c r="F1867">
        <f>IFERROR(YEAR(Table1[[#This Row],[Exit Date]]), " ")</f>
        <v>2022</v>
      </c>
      <c r="G1867">
        <f>IFERROR((Table1[[#This Row],[Exit Year]]-Table1[[#This Row],[Join Year]])+1," ")</f>
        <v>4</v>
      </c>
      <c r="H1867" t="s">
        <v>40</v>
      </c>
      <c r="I1867" t="s">
        <v>23</v>
      </c>
      <c r="J1867" t="s">
        <v>18</v>
      </c>
      <c r="K1867">
        <v>35</v>
      </c>
      <c r="L1867" t="str">
        <f>IF(Table1[[#This Row],[Age]]&lt;30,"20-29",
IF(Table1[[#This Row],[Age]]&lt;40,"30-39",
IF(Table1[[#This Row],[Age]]&lt;50,"40-49",
IF(Table1[[#This Row],[Age]]&lt;60,"50-59","60+"))))</f>
        <v>30-39</v>
      </c>
      <c r="M1867" t="s">
        <v>42</v>
      </c>
      <c r="N1867" t="s">
        <v>17</v>
      </c>
    </row>
    <row r="1868" spans="1:14" x14ac:dyDescent="0.35">
      <c r="A1868">
        <v>1967</v>
      </c>
      <c r="B1868" t="s">
        <v>29</v>
      </c>
      <c r="C1868" s="6">
        <v>43534</v>
      </c>
      <c r="D1868">
        <f>YEAR(Table1[[#This Row],[Join Date]])</f>
        <v>2019</v>
      </c>
      <c r="E1868" s="6">
        <v>44117</v>
      </c>
      <c r="F1868">
        <f>IFERROR(YEAR(Table1[[#This Row],[Exit Date]]), " ")</f>
        <v>2020</v>
      </c>
      <c r="G1868">
        <f>IFERROR((Table1[[#This Row],[Exit Year]]-Table1[[#This Row],[Join Year]])+1," ")</f>
        <v>2</v>
      </c>
      <c r="H1868" t="s">
        <v>38</v>
      </c>
      <c r="I1868" t="s">
        <v>23</v>
      </c>
      <c r="J1868" t="s">
        <v>12</v>
      </c>
      <c r="K1868">
        <v>31</v>
      </c>
      <c r="L1868" t="str">
        <f>IF(Table1[[#This Row],[Age]]&lt;30,"20-29",
IF(Table1[[#This Row],[Age]]&lt;40,"30-39",
IF(Table1[[#This Row],[Age]]&lt;50,"40-49",
IF(Table1[[#This Row],[Age]]&lt;60,"50-59","60+"))))</f>
        <v>30-39</v>
      </c>
      <c r="M1868" t="s">
        <v>13</v>
      </c>
      <c r="N1868" t="s">
        <v>19</v>
      </c>
    </row>
    <row r="1869" spans="1:14" x14ac:dyDescent="0.35">
      <c r="A1869">
        <v>1968</v>
      </c>
      <c r="B1869" t="s">
        <v>36</v>
      </c>
      <c r="C1869" s="6">
        <v>44619</v>
      </c>
      <c r="D1869">
        <f>YEAR(Table1[[#This Row],[Join Date]])</f>
        <v>2022</v>
      </c>
      <c r="E1869" s="6" t="s">
        <v>48</v>
      </c>
      <c r="F1869" t="str">
        <f>IFERROR(YEAR(Table1[[#This Row],[Exit Date]]), " ")</f>
        <v xml:space="preserve"> </v>
      </c>
      <c r="G1869" t="str">
        <f>IFERROR((Table1[[#This Row],[Exit Year]]-Table1[[#This Row],[Join Year]])+1," ")</f>
        <v xml:space="preserve"> </v>
      </c>
      <c r="H1869" t="s">
        <v>48</v>
      </c>
      <c r="I1869" t="s">
        <v>11</v>
      </c>
      <c r="J1869" t="s">
        <v>18</v>
      </c>
      <c r="K1869">
        <v>51</v>
      </c>
      <c r="L1869" t="str">
        <f>IF(Table1[[#This Row],[Age]]&lt;30,"20-29",
IF(Table1[[#This Row],[Age]]&lt;40,"30-39",
IF(Table1[[#This Row],[Age]]&lt;50,"40-49",
IF(Table1[[#This Row],[Age]]&lt;60,"50-59","60+"))))</f>
        <v>50-59</v>
      </c>
      <c r="M1869" t="s">
        <v>13</v>
      </c>
      <c r="N1869" t="s">
        <v>21</v>
      </c>
    </row>
    <row r="1870" spans="1:14" x14ac:dyDescent="0.35">
      <c r="A1870">
        <v>1969</v>
      </c>
      <c r="B1870" t="s">
        <v>10</v>
      </c>
      <c r="C1870" s="6">
        <v>45485</v>
      </c>
      <c r="D1870">
        <f>YEAR(Table1[[#This Row],[Join Date]])</f>
        <v>2024</v>
      </c>
      <c r="E1870" s="6" t="s">
        <v>48</v>
      </c>
      <c r="F1870" t="str">
        <f>IFERROR(YEAR(Table1[[#This Row],[Exit Date]]), " ")</f>
        <v xml:space="preserve"> </v>
      </c>
      <c r="G1870" t="str">
        <f>IFERROR((Table1[[#This Row],[Exit Year]]-Table1[[#This Row],[Join Year]])+1," ")</f>
        <v xml:space="preserve"> </v>
      </c>
      <c r="H1870" t="s">
        <v>48</v>
      </c>
      <c r="I1870" t="s">
        <v>11</v>
      </c>
      <c r="J1870" t="s">
        <v>18</v>
      </c>
      <c r="K1870">
        <v>48</v>
      </c>
      <c r="L1870" t="str">
        <f>IF(Table1[[#This Row],[Age]]&lt;30,"20-29",
IF(Table1[[#This Row],[Age]]&lt;40,"30-39",
IF(Table1[[#This Row],[Age]]&lt;50,"40-49",
IF(Table1[[#This Row],[Age]]&lt;60,"50-59","60+"))))</f>
        <v>40-49</v>
      </c>
      <c r="M1870" t="s">
        <v>16</v>
      </c>
      <c r="N1870" t="s">
        <v>25</v>
      </c>
    </row>
    <row r="1871" spans="1:14" x14ac:dyDescent="0.35">
      <c r="A1871">
        <v>1970</v>
      </c>
      <c r="B1871" t="s">
        <v>29</v>
      </c>
      <c r="C1871" s="6">
        <v>43588</v>
      </c>
      <c r="D1871">
        <f>YEAR(Table1[[#This Row],[Join Date]])</f>
        <v>2019</v>
      </c>
      <c r="E1871" s="6">
        <v>44896</v>
      </c>
      <c r="F1871">
        <f>IFERROR(YEAR(Table1[[#This Row],[Exit Date]]), " ")</f>
        <v>2022</v>
      </c>
      <c r="G1871">
        <f>IFERROR((Table1[[#This Row],[Exit Year]]-Table1[[#This Row],[Join Year]])+1," ")</f>
        <v>4</v>
      </c>
      <c r="H1871" t="s">
        <v>41</v>
      </c>
      <c r="I1871" t="s">
        <v>23</v>
      </c>
      <c r="J1871" t="s">
        <v>12</v>
      </c>
      <c r="K1871">
        <v>41</v>
      </c>
      <c r="L1871" t="str">
        <f>IF(Table1[[#This Row],[Age]]&lt;30,"20-29",
IF(Table1[[#This Row],[Age]]&lt;40,"30-39",
IF(Table1[[#This Row],[Age]]&lt;50,"40-49",
IF(Table1[[#This Row],[Age]]&lt;60,"50-59","60+"))))</f>
        <v>40-49</v>
      </c>
      <c r="M1871" t="s">
        <v>13</v>
      </c>
      <c r="N1871" t="s">
        <v>28</v>
      </c>
    </row>
    <row r="1872" spans="1:14" x14ac:dyDescent="0.35">
      <c r="A1872">
        <v>1971</v>
      </c>
      <c r="B1872" t="s">
        <v>36</v>
      </c>
      <c r="C1872" s="6">
        <v>44250</v>
      </c>
      <c r="D1872">
        <f>YEAR(Table1[[#This Row],[Join Date]])</f>
        <v>2021</v>
      </c>
      <c r="E1872" s="6">
        <v>45392</v>
      </c>
      <c r="F1872">
        <f>IFERROR(YEAR(Table1[[#This Row],[Exit Date]]), " ")</f>
        <v>2024</v>
      </c>
      <c r="G1872">
        <f>IFERROR((Table1[[#This Row],[Exit Year]]-Table1[[#This Row],[Join Year]])+1," ")</f>
        <v>4</v>
      </c>
      <c r="H1872" t="s">
        <v>46</v>
      </c>
      <c r="I1872" t="s">
        <v>23</v>
      </c>
      <c r="J1872" t="s">
        <v>18</v>
      </c>
      <c r="K1872">
        <v>35</v>
      </c>
      <c r="L1872" t="str">
        <f>IF(Table1[[#This Row],[Age]]&lt;30,"20-29",
IF(Table1[[#This Row],[Age]]&lt;40,"30-39",
IF(Table1[[#This Row],[Age]]&lt;50,"40-49",
IF(Table1[[#This Row],[Age]]&lt;60,"50-59","60+"))))</f>
        <v>30-39</v>
      </c>
      <c r="M1872" t="s">
        <v>20</v>
      </c>
      <c r="N1872" t="s">
        <v>31</v>
      </c>
    </row>
    <row r="1873" spans="1:14" x14ac:dyDescent="0.35">
      <c r="A1873">
        <v>1972</v>
      </c>
      <c r="B1873" t="s">
        <v>26</v>
      </c>
      <c r="C1873" s="6">
        <v>45244</v>
      </c>
      <c r="D1873">
        <f>YEAR(Table1[[#This Row],[Join Date]])</f>
        <v>2023</v>
      </c>
      <c r="E1873" s="6">
        <v>45446</v>
      </c>
      <c r="F1873">
        <f>IFERROR(YEAR(Table1[[#This Row],[Exit Date]]), " ")</f>
        <v>2024</v>
      </c>
      <c r="G1873">
        <f>IFERROR((Table1[[#This Row],[Exit Year]]-Table1[[#This Row],[Join Year]])+1," ")</f>
        <v>2</v>
      </c>
      <c r="H1873" t="s">
        <v>40</v>
      </c>
      <c r="I1873" t="s">
        <v>23</v>
      </c>
      <c r="J1873" t="s">
        <v>18</v>
      </c>
      <c r="K1873">
        <v>24</v>
      </c>
      <c r="L1873" t="str">
        <f>IF(Table1[[#This Row],[Age]]&lt;30,"20-29",
IF(Table1[[#This Row],[Age]]&lt;40,"30-39",
IF(Table1[[#This Row],[Age]]&lt;50,"40-49",
IF(Table1[[#This Row],[Age]]&lt;60,"50-59","60+"))))</f>
        <v>20-29</v>
      </c>
      <c r="M1873" t="s">
        <v>44</v>
      </c>
      <c r="N1873" t="s">
        <v>32</v>
      </c>
    </row>
    <row r="1874" spans="1:14" x14ac:dyDescent="0.35">
      <c r="A1874">
        <v>1973</v>
      </c>
      <c r="B1874" t="s">
        <v>15</v>
      </c>
      <c r="C1874" s="6">
        <v>45256</v>
      </c>
      <c r="D1874">
        <f>YEAR(Table1[[#This Row],[Join Date]])</f>
        <v>2023</v>
      </c>
      <c r="E1874" s="6" t="s">
        <v>48</v>
      </c>
      <c r="F1874" t="str">
        <f>IFERROR(YEAR(Table1[[#This Row],[Exit Date]]), " ")</f>
        <v xml:space="preserve"> </v>
      </c>
      <c r="G1874" t="str">
        <f>IFERROR((Table1[[#This Row],[Exit Year]]-Table1[[#This Row],[Join Year]])+1," ")</f>
        <v xml:space="preserve"> </v>
      </c>
      <c r="H1874" t="s">
        <v>48</v>
      </c>
      <c r="I1874" t="s">
        <v>11</v>
      </c>
      <c r="J1874" t="s">
        <v>12</v>
      </c>
      <c r="K1874">
        <v>41</v>
      </c>
      <c r="L1874" t="str">
        <f>IF(Table1[[#This Row],[Age]]&lt;30,"20-29",
IF(Table1[[#This Row],[Age]]&lt;40,"30-39",
IF(Table1[[#This Row],[Age]]&lt;50,"40-49",
IF(Table1[[#This Row],[Age]]&lt;60,"50-59","60+"))))</f>
        <v>40-49</v>
      </c>
      <c r="M1874" t="s">
        <v>13</v>
      </c>
      <c r="N1874" t="s">
        <v>33</v>
      </c>
    </row>
    <row r="1875" spans="1:14" x14ac:dyDescent="0.35">
      <c r="A1875">
        <v>1974</v>
      </c>
      <c r="B1875" t="s">
        <v>26</v>
      </c>
      <c r="C1875" s="6">
        <v>45465</v>
      </c>
      <c r="D1875">
        <f>YEAR(Table1[[#This Row],[Join Date]])</f>
        <v>2024</v>
      </c>
      <c r="E1875" s="6" t="s">
        <v>48</v>
      </c>
      <c r="F1875" t="str">
        <f>IFERROR(YEAR(Table1[[#This Row],[Exit Date]]), " ")</f>
        <v xml:space="preserve"> </v>
      </c>
      <c r="G1875" t="str">
        <f>IFERROR((Table1[[#This Row],[Exit Year]]-Table1[[#This Row],[Join Year]])+1," ")</f>
        <v xml:space="preserve"> </v>
      </c>
      <c r="H1875" t="s">
        <v>48</v>
      </c>
      <c r="I1875" t="s">
        <v>11</v>
      </c>
      <c r="J1875" t="s">
        <v>18</v>
      </c>
      <c r="K1875">
        <v>40</v>
      </c>
      <c r="L1875" t="str">
        <f>IF(Table1[[#This Row],[Age]]&lt;30,"20-29",
IF(Table1[[#This Row],[Age]]&lt;40,"30-39",
IF(Table1[[#This Row],[Age]]&lt;50,"40-49",
IF(Table1[[#This Row],[Age]]&lt;60,"50-59","60+"))))</f>
        <v>40-49</v>
      </c>
      <c r="M1875" t="s">
        <v>16</v>
      </c>
      <c r="N1875" t="s">
        <v>35</v>
      </c>
    </row>
    <row r="1876" spans="1:14" x14ac:dyDescent="0.35">
      <c r="A1876">
        <v>1975</v>
      </c>
      <c r="B1876" t="s">
        <v>10</v>
      </c>
      <c r="C1876" s="6">
        <v>43597</v>
      </c>
      <c r="D1876">
        <f>YEAR(Table1[[#This Row],[Join Date]])</f>
        <v>2019</v>
      </c>
      <c r="E1876" s="6" t="s">
        <v>48</v>
      </c>
      <c r="F1876" t="str">
        <f>IFERROR(YEAR(Table1[[#This Row],[Exit Date]]), " ")</f>
        <v xml:space="preserve"> </v>
      </c>
      <c r="G1876" t="str">
        <f>IFERROR((Table1[[#This Row],[Exit Year]]-Table1[[#This Row],[Join Year]])+1," ")</f>
        <v xml:space="preserve"> </v>
      </c>
      <c r="H1876" t="s">
        <v>48</v>
      </c>
      <c r="I1876" t="s">
        <v>11</v>
      </c>
      <c r="J1876" t="s">
        <v>18</v>
      </c>
      <c r="K1876">
        <v>48</v>
      </c>
      <c r="L1876" t="str">
        <f>IF(Table1[[#This Row],[Age]]&lt;30,"20-29",
IF(Table1[[#This Row],[Age]]&lt;40,"30-39",
IF(Table1[[#This Row],[Age]]&lt;50,"40-49",
IF(Table1[[#This Row],[Age]]&lt;60,"50-59","60+"))))</f>
        <v>40-49</v>
      </c>
      <c r="M1876" t="s">
        <v>16</v>
      </c>
      <c r="N1876" t="s">
        <v>37</v>
      </c>
    </row>
    <row r="1877" spans="1:14" x14ac:dyDescent="0.35">
      <c r="A1877">
        <v>1976</v>
      </c>
      <c r="B1877" t="s">
        <v>15</v>
      </c>
      <c r="C1877" s="6">
        <v>44866</v>
      </c>
      <c r="D1877">
        <f>YEAR(Table1[[#This Row],[Join Date]])</f>
        <v>2022</v>
      </c>
      <c r="E1877" s="6" t="s">
        <v>48</v>
      </c>
      <c r="F1877" t="str">
        <f>IFERROR(YEAR(Table1[[#This Row],[Exit Date]]), " ")</f>
        <v xml:space="preserve"> </v>
      </c>
      <c r="G1877" t="str">
        <f>IFERROR((Table1[[#This Row],[Exit Year]]-Table1[[#This Row],[Join Year]])+1," ")</f>
        <v xml:space="preserve"> </v>
      </c>
      <c r="H1877" t="s">
        <v>48</v>
      </c>
      <c r="I1877" t="s">
        <v>11</v>
      </c>
      <c r="J1877" t="s">
        <v>18</v>
      </c>
      <c r="K1877">
        <v>52</v>
      </c>
      <c r="L1877" t="str">
        <f>IF(Table1[[#This Row],[Age]]&lt;30,"20-29",
IF(Table1[[#This Row],[Age]]&lt;40,"30-39",
IF(Table1[[#This Row],[Age]]&lt;50,"40-49",
IF(Table1[[#This Row],[Age]]&lt;60,"50-59","60+"))))</f>
        <v>50-59</v>
      </c>
      <c r="M1877" t="s">
        <v>20</v>
      </c>
      <c r="N1877" t="s">
        <v>19</v>
      </c>
    </row>
    <row r="1878" spans="1:14" x14ac:dyDescent="0.35">
      <c r="A1878">
        <v>1977</v>
      </c>
      <c r="B1878" t="s">
        <v>34</v>
      </c>
      <c r="C1878" s="6">
        <v>44006</v>
      </c>
      <c r="D1878">
        <f>YEAR(Table1[[#This Row],[Join Date]])</f>
        <v>2020</v>
      </c>
      <c r="E1878" s="6">
        <v>44463</v>
      </c>
      <c r="F1878">
        <f>IFERROR(YEAR(Table1[[#This Row],[Exit Date]]), " ")</f>
        <v>2021</v>
      </c>
      <c r="G1878">
        <f>IFERROR((Table1[[#This Row],[Exit Year]]-Table1[[#This Row],[Join Year]])+1," ")</f>
        <v>2</v>
      </c>
      <c r="H1878" t="s">
        <v>43</v>
      </c>
      <c r="I1878" t="s">
        <v>23</v>
      </c>
      <c r="J1878" t="s">
        <v>12</v>
      </c>
      <c r="K1878">
        <v>33</v>
      </c>
      <c r="L1878" t="str">
        <f>IF(Table1[[#This Row],[Age]]&lt;30,"20-29",
IF(Table1[[#This Row],[Age]]&lt;40,"30-39",
IF(Table1[[#This Row],[Age]]&lt;50,"40-49",
IF(Table1[[#This Row],[Age]]&lt;60,"50-59","60+"))))</f>
        <v>30-39</v>
      </c>
      <c r="M1878" t="s">
        <v>24</v>
      </c>
      <c r="N1878" t="s">
        <v>25</v>
      </c>
    </row>
    <row r="1879" spans="1:14" x14ac:dyDescent="0.35">
      <c r="A1879">
        <v>1978</v>
      </c>
      <c r="B1879" t="s">
        <v>26</v>
      </c>
      <c r="C1879" s="6">
        <v>45095</v>
      </c>
      <c r="D1879">
        <f>YEAR(Table1[[#This Row],[Join Date]])</f>
        <v>2023</v>
      </c>
      <c r="E1879" s="6" t="s">
        <v>48</v>
      </c>
      <c r="F1879" t="str">
        <f>IFERROR(YEAR(Table1[[#This Row],[Exit Date]]), " ")</f>
        <v xml:space="preserve"> </v>
      </c>
      <c r="G1879" t="str">
        <f>IFERROR((Table1[[#This Row],[Exit Year]]-Table1[[#This Row],[Join Year]])+1," ")</f>
        <v xml:space="preserve"> </v>
      </c>
      <c r="H1879" t="s">
        <v>48</v>
      </c>
      <c r="I1879" t="s">
        <v>11</v>
      </c>
      <c r="J1879" t="s">
        <v>18</v>
      </c>
      <c r="K1879">
        <v>51</v>
      </c>
      <c r="L1879" t="str">
        <f>IF(Table1[[#This Row],[Age]]&lt;30,"20-29",
IF(Table1[[#This Row],[Age]]&lt;40,"30-39",
IF(Table1[[#This Row],[Age]]&lt;50,"40-49",
IF(Table1[[#This Row],[Age]]&lt;60,"50-59","60+"))))</f>
        <v>50-59</v>
      </c>
      <c r="M1879" t="s">
        <v>13</v>
      </c>
      <c r="N1879" t="s">
        <v>35</v>
      </c>
    </row>
    <row r="1880" spans="1:14" x14ac:dyDescent="0.35">
      <c r="A1880">
        <v>1979</v>
      </c>
      <c r="B1880" t="s">
        <v>10</v>
      </c>
      <c r="C1880" s="6">
        <v>44360</v>
      </c>
      <c r="D1880">
        <f>YEAR(Table1[[#This Row],[Join Date]])</f>
        <v>2021</v>
      </c>
      <c r="E1880" s="6">
        <v>44755</v>
      </c>
      <c r="F1880">
        <f>IFERROR(YEAR(Table1[[#This Row],[Exit Date]]), " ")</f>
        <v>2022</v>
      </c>
      <c r="G1880">
        <f>IFERROR((Table1[[#This Row],[Exit Year]]-Table1[[#This Row],[Join Year]])+1," ")</f>
        <v>2</v>
      </c>
      <c r="H1880" t="s">
        <v>38</v>
      </c>
      <c r="I1880" t="s">
        <v>23</v>
      </c>
      <c r="J1880" t="s">
        <v>12</v>
      </c>
      <c r="K1880">
        <v>46</v>
      </c>
      <c r="L1880" t="str">
        <f>IF(Table1[[#This Row],[Age]]&lt;30,"20-29",
IF(Table1[[#This Row],[Age]]&lt;40,"30-39",
IF(Table1[[#This Row],[Age]]&lt;50,"40-49",
IF(Table1[[#This Row],[Age]]&lt;60,"50-59","60+"))))</f>
        <v>40-49</v>
      </c>
      <c r="M1880" t="s">
        <v>42</v>
      </c>
      <c r="N1880" t="s">
        <v>17</v>
      </c>
    </row>
    <row r="1881" spans="1:14" x14ac:dyDescent="0.35">
      <c r="A1881">
        <v>1980</v>
      </c>
      <c r="B1881" t="s">
        <v>26</v>
      </c>
      <c r="C1881" s="6">
        <v>43419</v>
      </c>
      <c r="D1881">
        <f>YEAR(Table1[[#This Row],[Join Date]])</f>
        <v>2018</v>
      </c>
      <c r="E1881" s="6">
        <v>44303</v>
      </c>
      <c r="F1881">
        <f>IFERROR(YEAR(Table1[[#This Row],[Exit Date]]), " ")</f>
        <v>2021</v>
      </c>
      <c r="G1881">
        <f>IFERROR((Table1[[#This Row],[Exit Year]]-Table1[[#This Row],[Join Year]])+1," ")</f>
        <v>4</v>
      </c>
      <c r="H1881" t="s">
        <v>22</v>
      </c>
      <c r="I1881" t="s">
        <v>23</v>
      </c>
      <c r="J1881" t="s">
        <v>12</v>
      </c>
      <c r="K1881">
        <v>53</v>
      </c>
      <c r="L1881" t="str">
        <f>IF(Table1[[#This Row],[Age]]&lt;30,"20-29",
IF(Table1[[#This Row],[Age]]&lt;40,"30-39",
IF(Table1[[#This Row],[Age]]&lt;50,"40-49",
IF(Table1[[#This Row],[Age]]&lt;60,"50-59","60+"))))</f>
        <v>50-59</v>
      </c>
      <c r="M1881" t="s">
        <v>13</v>
      </c>
      <c r="N1881" t="s">
        <v>19</v>
      </c>
    </row>
    <row r="1882" spans="1:14" x14ac:dyDescent="0.35">
      <c r="A1882">
        <v>1981</v>
      </c>
      <c r="B1882" t="s">
        <v>36</v>
      </c>
      <c r="C1882" s="6">
        <v>44249</v>
      </c>
      <c r="D1882">
        <f>YEAR(Table1[[#This Row],[Join Date]])</f>
        <v>2021</v>
      </c>
      <c r="E1882" s="6" t="s">
        <v>48</v>
      </c>
      <c r="F1882" t="str">
        <f>IFERROR(YEAR(Table1[[#This Row],[Exit Date]]), " ")</f>
        <v xml:space="preserve"> </v>
      </c>
      <c r="G1882" t="str">
        <f>IFERROR((Table1[[#This Row],[Exit Year]]-Table1[[#This Row],[Join Year]])+1," ")</f>
        <v xml:space="preserve"> </v>
      </c>
      <c r="H1882" t="s">
        <v>48</v>
      </c>
      <c r="I1882" t="s">
        <v>11</v>
      </c>
      <c r="J1882" t="s">
        <v>12</v>
      </c>
      <c r="K1882">
        <v>35</v>
      </c>
      <c r="L1882" t="str">
        <f>IF(Table1[[#This Row],[Age]]&lt;30,"20-29",
IF(Table1[[#This Row],[Age]]&lt;40,"30-39",
IF(Table1[[#This Row],[Age]]&lt;50,"40-49",
IF(Table1[[#This Row],[Age]]&lt;60,"50-59","60+"))))</f>
        <v>30-39</v>
      </c>
      <c r="M1882" t="s">
        <v>13</v>
      </c>
      <c r="N1882" t="s">
        <v>21</v>
      </c>
    </row>
    <row r="1883" spans="1:14" x14ac:dyDescent="0.35">
      <c r="A1883">
        <v>1982</v>
      </c>
      <c r="B1883" t="s">
        <v>10</v>
      </c>
      <c r="C1883" s="6">
        <v>45533</v>
      </c>
      <c r="D1883">
        <f>YEAR(Table1[[#This Row],[Join Date]])</f>
        <v>2024</v>
      </c>
      <c r="E1883" s="6" t="s">
        <v>48</v>
      </c>
      <c r="F1883" t="str">
        <f>IFERROR(YEAR(Table1[[#This Row],[Exit Date]]), " ")</f>
        <v xml:space="preserve"> </v>
      </c>
      <c r="G1883" t="str">
        <f>IFERROR((Table1[[#This Row],[Exit Year]]-Table1[[#This Row],[Join Year]])+1," ")</f>
        <v xml:space="preserve"> </v>
      </c>
      <c r="H1883" t="s">
        <v>48</v>
      </c>
      <c r="I1883" t="s">
        <v>11</v>
      </c>
      <c r="J1883" t="s">
        <v>12</v>
      </c>
      <c r="K1883">
        <v>32</v>
      </c>
      <c r="L1883" t="str">
        <f>IF(Table1[[#This Row],[Age]]&lt;30,"20-29",
IF(Table1[[#This Row],[Age]]&lt;40,"30-39",
IF(Table1[[#This Row],[Age]]&lt;50,"40-49",
IF(Table1[[#This Row],[Age]]&lt;60,"50-59","60+"))))</f>
        <v>30-39</v>
      </c>
      <c r="M1883" t="s">
        <v>16</v>
      </c>
      <c r="N1883" t="s">
        <v>25</v>
      </c>
    </row>
    <row r="1884" spans="1:14" x14ac:dyDescent="0.35">
      <c r="A1884">
        <v>1983</v>
      </c>
      <c r="B1884" t="s">
        <v>36</v>
      </c>
      <c r="C1884" s="6">
        <v>44377</v>
      </c>
      <c r="D1884">
        <f>YEAR(Table1[[#This Row],[Join Date]])</f>
        <v>2021</v>
      </c>
      <c r="E1884" s="6" t="s">
        <v>48</v>
      </c>
      <c r="F1884" t="str">
        <f>IFERROR(YEAR(Table1[[#This Row],[Exit Date]]), " ")</f>
        <v xml:space="preserve"> </v>
      </c>
      <c r="G1884" t="str">
        <f>IFERROR((Table1[[#This Row],[Exit Year]]-Table1[[#This Row],[Join Year]])+1," ")</f>
        <v xml:space="preserve"> </v>
      </c>
      <c r="H1884" t="s">
        <v>48</v>
      </c>
      <c r="I1884" t="s">
        <v>11</v>
      </c>
      <c r="J1884" t="s">
        <v>18</v>
      </c>
      <c r="K1884">
        <v>46</v>
      </c>
      <c r="L1884" t="str">
        <f>IF(Table1[[#This Row],[Age]]&lt;30,"20-29",
IF(Table1[[#This Row],[Age]]&lt;40,"30-39",
IF(Table1[[#This Row],[Age]]&lt;50,"40-49",
IF(Table1[[#This Row],[Age]]&lt;60,"50-59","60+"))))</f>
        <v>40-49</v>
      </c>
      <c r="M1884" t="s">
        <v>13</v>
      </c>
      <c r="N1884" t="s">
        <v>35</v>
      </c>
    </row>
    <row r="1885" spans="1:14" x14ac:dyDescent="0.35">
      <c r="A1885">
        <v>1984</v>
      </c>
      <c r="B1885" t="s">
        <v>10</v>
      </c>
      <c r="C1885" s="6">
        <v>44088</v>
      </c>
      <c r="D1885">
        <f>YEAR(Table1[[#This Row],[Join Date]])</f>
        <v>2020</v>
      </c>
      <c r="E1885" s="6" t="s">
        <v>48</v>
      </c>
      <c r="F1885" t="str">
        <f>IFERROR(YEAR(Table1[[#This Row],[Exit Date]]), " ")</f>
        <v xml:space="preserve"> </v>
      </c>
      <c r="G1885" t="str">
        <f>IFERROR((Table1[[#This Row],[Exit Year]]-Table1[[#This Row],[Join Year]])+1," ")</f>
        <v xml:space="preserve"> </v>
      </c>
      <c r="H1885" t="s">
        <v>48</v>
      </c>
      <c r="I1885" t="s">
        <v>11</v>
      </c>
      <c r="J1885" t="s">
        <v>18</v>
      </c>
      <c r="K1885">
        <v>50</v>
      </c>
      <c r="L1885" t="str">
        <f>IF(Table1[[#This Row],[Age]]&lt;30,"20-29",
IF(Table1[[#This Row],[Age]]&lt;40,"30-39",
IF(Table1[[#This Row],[Age]]&lt;50,"40-49",
IF(Table1[[#This Row],[Age]]&lt;60,"50-59","60+"))))</f>
        <v>50-59</v>
      </c>
      <c r="M1885" t="s">
        <v>20</v>
      </c>
      <c r="N1885" t="s">
        <v>14</v>
      </c>
    </row>
    <row r="1886" spans="1:14" x14ac:dyDescent="0.35">
      <c r="A1886">
        <v>1985</v>
      </c>
      <c r="B1886" t="s">
        <v>26</v>
      </c>
      <c r="C1886" s="6">
        <v>43373</v>
      </c>
      <c r="D1886">
        <f>YEAR(Table1[[#This Row],[Join Date]])</f>
        <v>2018</v>
      </c>
      <c r="E1886" s="6">
        <v>44825</v>
      </c>
      <c r="F1886">
        <f>IFERROR(YEAR(Table1[[#This Row],[Exit Date]]), " ")</f>
        <v>2022</v>
      </c>
      <c r="G1886">
        <f>IFERROR((Table1[[#This Row],[Exit Year]]-Table1[[#This Row],[Join Year]])+1," ")</f>
        <v>5</v>
      </c>
      <c r="H1886" t="s">
        <v>27</v>
      </c>
      <c r="I1886" t="s">
        <v>23</v>
      </c>
      <c r="J1886" t="s">
        <v>12</v>
      </c>
      <c r="K1886">
        <v>62</v>
      </c>
      <c r="L1886" t="str">
        <f>IF(Table1[[#This Row],[Age]]&lt;30,"20-29",
IF(Table1[[#This Row],[Age]]&lt;40,"30-39",
IF(Table1[[#This Row],[Age]]&lt;50,"40-49",
IF(Table1[[#This Row],[Age]]&lt;60,"50-59","60+"))))</f>
        <v>60+</v>
      </c>
      <c r="M1886" t="s">
        <v>39</v>
      </c>
      <c r="N1886" t="s">
        <v>19</v>
      </c>
    </row>
    <row r="1887" spans="1:14" x14ac:dyDescent="0.35">
      <c r="A1887">
        <v>1986</v>
      </c>
      <c r="B1887" t="s">
        <v>26</v>
      </c>
      <c r="C1887" s="6">
        <v>43314</v>
      </c>
      <c r="D1887">
        <f>YEAR(Table1[[#This Row],[Join Date]])</f>
        <v>2018</v>
      </c>
      <c r="E1887" s="6" t="s">
        <v>48</v>
      </c>
      <c r="F1887" t="str">
        <f>IFERROR(YEAR(Table1[[#This Row],[Exit Date]]), " ")</f>
        <v xml:space="preserve"> </v>
      </c>
      <c r="G1887" t="str">
        <f>IFERROR((Table1[[#This Row],[Exit Year]]-Table1[[#This Row],[Join Year]])+1," ")</f>
        <v xml:space="preserve"> </v>
      </c>
      <c r="H1887" t="s">
        <v>48</v>
      </c>
      <c r="I1887" t="s">
        <v>11</v>
      </c>
      <c r="J1887" t="s">
        <v>12</v>
      </c>
      <c r="K1887">
        <v>29</v>
      </c>
      <c r="L1887" t="str">
        <f>IF(Table1[[#This Row],[Age]]&lt;30,"20-29",
IF(Table1[[#This Row],[Age]]&lt;40,"30-39",
IF(Table1[[#This Row],[Age]]&lt;50,"40-49",
IF(Table1[[#This Row],[Age]]&lt;60,"50-59","60+"))))</f>
        <v>20-29</v>
      </c>
      <c r="M1887" t="s">
        <v>13</v>
      </c>
      <c r="N1887" t="s">
        <v>21</v>
      </c>
    </row>
    <row r="1888" spans="1:14" x14ac:dyDescent="0.35">
      <c r="A1888">
        <v>1987</v>
      </c>
      <c r="B1888" t="s">
        <v>26</v>
      </c>
      <c r="C1888" s="6">
        <v>44418</v>
      </c>
      <c r="D1888">
        <f>YEAR(Table1[[#This Row],[Join Date]])</f>
        <v>2021</v>
      </c>
      <c r="E1888" s="6">
        <v>45628</v>
      </c>
      <c r="F1888">
        <f>IFERROR(YEAR(Table1[[#This Row],[Exit Date]]), " ")</f>
        <v>2024</v>
      </c>
      <c r="G1888">
        <f>IFERROR((Table1[[#This Row],[Exit Year]]-Table1[[#This Row],[Join Year]])+1," ")</f>
        <v>4</v>
      </c>
      <c r="H1888" t="s">
        <v>46</v>
      </c>
      <c r="I1888" t="s">
        <v>23</v>
      </c>
      <c r="J1888" t="s">
        <v>12</v>
      </c>
      <c r="K1888">
        <v>27</v>
      </c>
      <c r="L1888" t="str">
        <f>IF(Table1[[#This Row],[Age]]&lt;30,"20-29",
IF(Table1[[#This Row],[Age]]&lt;40,"30-39",
IF(Table1[[#This Row],[Age]]&lt;50,"40-49",
IF(Table1[[#This Row],[Age]]&lt;60,"50-59","60+"))))</f>
        <v>20-29</v>
      </c>
      <c r="M1888" t="s">
        <v>16</v>
      </c>
      <c r="N1888" t="s">
        <v>37</v>
      </c>
    </row>
    <row r="1889" spans="1:14" x14ac:dyDescent="0.35">
      <c r="A1889">
        <v>1988</v>
      </c>
      <c r="B1889" t="s">
        <v>34</v>
      </c>
      <c r="C1889" s="6">
        <v>44324</v>
      </c>
      <c r="D1889">
        <f>YEAR(Table1[[#This Row],[Join Date]])</f>
        <v>2021</v>
      </c>
      <c r="E1889" s="6">
        <v>45076</v>
      </c>
      <c r="F1889">
        <f>IFERROR(YEAR(Table1[[#This Row],[Exit Date]]), " ")</f>
        <v>2023</v>
      </c>
      <c r="G1889">
        <f>IFERROR((Table1[[#This Row],[Exit Year]]-Table1[[#This Row],[Join Year]])+1," ")</f>
        <v>3</v>
      </c>
      <c r="H1889" t="s">
        <v>40</v>
      </c>
      <c r="I1889" t="s">
        <v>23</v>
      </c>
      <c r="J1889" t="s">
        <v>18</v>
      </c>
      <c r="K1889">
        <v>31</v>
      </c>
      <c r="L1889" t="str">
        <f>IF(Table1[[#This Row],[Age]]&lt;30,"20-29",
IF(Table1[[#This Row],[Age]]&lt;40,"30-39",
IF(Table1[[#This Row],[Age]]&lt;50,"40-49",
IF(Table1[[#This Row],[Age]]&lt;60,"50-59","60+"))))</f>
        <v>30-39</v>
      </c>
      <c r="M1889" t="s">
        <v>16</v>
      </c>
      <c r="N1889" t="s">
        <v>25</v>
      </c>
    </row>
    <row r="1890" spans="1:14" x14ac:dyDescent="0.35">
      <c r="A1890">
        <v>1989</v>
      </c>
      <c r="B1890" t="s">
        <v>10</v>
      </c>
      <c r="C1890" s="6">
        <v>43513</v>
      </c>
      <c r="D1890">
        <f>YEAR(Table1[[#This Row],[Join Date]])</f>
        <v>2019</v>
      </c>
      <c r="E1890" s="6">
        <v>44923</v>
      </c>
      <c r="F1890">
        <f>IFERROR(YEAR(Table1[[#This Row],[Exit Date]]), " ")</f>
        <v>2022</v>
      </c>
      <c r="G1890">
        <f>IFERROR((Table1[[#This Row],[Exit Year]]-Table1[[#This Row],[Join Year]])+1," ")</f>
        <v>4</v>
      </c>
      <c r="H1890" t="s">
        <v>38</v>
      </c>
      <c r="I1890" t="s">
        <v>23</v>
      </c>
      <c r="J1890" t="s">
        <v>12</v>
      </c>
      <c r="K1890">
        <v>24</v>
      </c>
      <c r="L1890" t="str">
        <f>IF(Table1[[#This Row],[Age]]&lt;30,"20-29",
IF(Table1[[#This Row],[Age]]&lt;40,"30-39",
IF(Table1[[#This Row],[Age]]&lt;50,"40-49",
IF(Table1[[#This Row],[Age]]&lt;60,"50-59","60+"))))</f>
        <v>20-29</v>
      </c>
      <c r="M1890" t="s">
        <v>20</v>
      </c>
      <c r="N1890" t="s">
        <v>35</v>
      </c>
    </row>
    <row r="1891" spans="1:14" x14ac:dyDescent="0.35">
      <c r="A1891">
        <v>1990</v>
      </c>
      <c r="B1891" t="s">
        <v>36</v>
      </c>
      <c r="C1891" s="6">
        <v>44180</v>
      </c>
      <c r="D1891">
        <f>YEAR(Table1[[#This Row],[Join Date]])</f>
        <v>2020</v>
      </c>
      <c r="E1891" s="6" t="s">
        <v>48</v>
      </c>
      <c r="F1891" t="str">
        <f>IFERROR(YEAR(Table1[[#This Row],[Exit Date]]), " ")</f>
        <v xml:space="preserve"> </v>
      </c>
      <c r="G1891" t="str">
        <f>IFERROR((Table1[[#This Row],[Exit Year]]-Table1[[#This Row],[Join Year]])+1," ")</f>
        <v xml:space="preserve"> </v>
      </c>
      <c r="H1891" t="s">
        <v>48</v>
      </c>
      <c r="I1891" t="s">
        <v>11</v>
      </c>
      <c r="J1891" t="s">
        <v>12</v>
      </c>
      <c r="K1891">
        <v>37</v>
      </c>
      <c r="L1891" t="str">
        <f>IF(Table1[[#This Row],[Age]]&lt;30,"20-29",
IF(Table1[[#This Row],[Age]]&lt;40,"30-39",
IF(Table1[[#This Row],[Age]]&lt;50,"40-49",
IF(Table1[[#This Row],[Age]]&lt;60,"50-59","60+"))))</f>
        <v>30-39</v>
      </c>
      <c r="M1891" t="s">
        <v>24</v>
      </c>
      <c r="N1891" t="s">
        <v>14</v>
      </c>
    </row>
    <row r="1892" spans="1:14" x14ac:dyDescent="0.35">
      <c r="A1892">
        <v>1991</v>
      </c>
      <c r="B1892" t="s">
        <v>34</v>
      </c>
      <c r="C1892" s="6">
        <v>44099</v>
      </c>
      <c r="D1892">
        <f>YEAR(Table1[[#This Row],[Join Date]])</f>
        <v>2020</v>
      </c>
      <c r="E1892" s="6" t="s">
        <v>48</v>
      </c>
      <c r="F1892" t="str">
        <f>IFERROR(YEAR(Table1[[#This Row],[Exit Date]]), " ")</f>
        <v xml:space="preserve"> </v>
      </c>
      <c r="G1892" t="str">
        <f>IFERROR((Table1[[#This Row],[Exit Year]]-Table1[[#This Row],[Join Year]])+1," ")</f>
        <v xml:space="preserve"> </v>
      </c>
      <c r="H1892" t="s">
        <v>48</v>
      </c>
      <c r="I1892" t="s">
        <v>11</v>
      </c>
      <c r="J1892" t="s">
        <v>18</v>
      </c>
      <c r="K1892">
        <v>23</v>
      </c>
      <c r="L1892" t="str">
        <f>IF(Table1[[#This Row],[Age]]&lt;30,"20-29",
IF(Table1[[#This Row],[Age]]&lt;40,"30-39",
IF(Table1[[#This Row],[Age]]&lt;50,"40-49",
IF(Table1[[#This Row],[Age]]&lt;60,"50-59","60+"))))</f>
        <v>20-29</v>
      </c>
      <c r="M1892" t="s">
        <v>13</v>
      </c>
      <c r="N1892" t="s">
        <v>17</v>
      </c>
    </row>
    <row r="1893" spans="1:14" x14ac:dyDescent="0.35">
      <c r="A1893">
        <v>1992</v>
      </c>
      <c r="B1893" t="s">
        <v>34</v>
      </c>
      <c r="C1893" s="6">
        <v>45632</v>
      </c>
      <c r="D1893">
        <f>YEAR(Table1[[#This Row],[Join Date]])</f>
        <v>2024</v>
      </c>
      <c r="E1893" s="6" t="s">
        <v>48</v>
      </c>
      <c r="F1893" t="str">
        <f>IFERROR(YEAR(Table1[[#This Row],[Exit Date]]), " ")</f>
        <v xml:space="preserve"> </v>
      </c>
      <c r="G1893" t="str">
        <f>IFERROR((Table1[[#This Row],[Exit Year]]-Table1[[#This Row],[Join Year]])+1," ")</f>
        <v xml:space="preserve"> </v>
      </c>
      <c r="H1893" t="s">
        <v>48</v>
      </c>
      <c r="I1893" t="s">
        <v>11</v>
      </c>
      <c r="J1893" t="s">
        <v>12</v>
      </c>
      <c r="K1893">
        <v>31</v>
      </c>
      <c r="L1893" t="str">
        <f>IF(Table1[[#This Row],[Age]]&lt;30,"20-29",
IF(Table1[[#This Row],[Age]]&lt;40,"30-39",
IF(Table1[[#This Row],[Age]]&lt;50,"40-49",
IF(Table1[[#This Row],[Age]]&lt;60,"50-59","60+"))))</f>
        <v>30-39</v>
      </c>
      <c r="M1893" t="s">
        <v>30</v>
      </c>
      <c r="N1893" t="s">
        <v>19</v>
      </c>
    </row>
    <row r="1894" spans="1:14" x14ac:dyDescent="0.35">
      <c r="A1894">
        <v>1993</v>
      </c>
      <c r="B1894" t="s">
        <v>36</v>
      </c>
      <c r="C1894" s="6">
        <v>45294</v>
      </c>
      <c r="D1894">
        <f>YEAR(Table1[[#This Row],[Join Date]])</f>
        <v>2024</v>
      </c>
      <c r="E1894" s="6" t="s">
        <v>48</v>
      </c>
      <c r="F1894" t="str">
        <f>IFERROR(YEAR(Table1[[#This Row],[Exit Date]]), " ")</f>
        <v xml:space="preserve"> </v>
      </c>
      <c r="G1894" t="str">
        <f>IFERROR((Table1[[#This Row],[Exit Year]]-Table1[[#This Row],[Join Year]])+1," ")</f>
        <v xml:space="preserve"> </v>
      </c>
      <c r="H1894" t="s">
        <v>48</v>
      </c>
      <c r="I1894" t="s">
        <v>11</v>
      </c>
      <c r="J1894" t="s">
        <v>18</v>
      </c>
      <c r="K1894">
        <v>52</v>
      </c>
      <c r="L1894" t="str">
        <f>IF(Table1[[#This Row],[Age]]&lt;30,"20-29",
IF(Table1[[#This Row],[Age]]&lt;40,"30-39",
IF(Table1[[#This Row],[Age]]&lt;50,"40-49",
IF(Table1[[#This Row],[Age]]&lt;60,"50-59","60+"))))</f>
        <v>50-59</v>
      </c>
      <c r="M1894" t="s">
        <v>13</v>
      </c>
      <c r="N1894" t="s">
        <v>21</v>
      </c>
    </row>
    <row r="1895" spans="1:14" x14ac:dyDescent="0.35">
      <c r="A1895">
        <v>1994</v>
      </c>
      <c r="B1895" t="s">
        <v>26</v>
      </c>
      <c r="C1895" s="6">
        <v>44590</v>
      </c>
      <c r="D1895">
        <f>YEAR(Table1[[#This Row],[Join Date]])</f>
        <v>2022</v>
      </c>
      <c r="E1895" s="6" t="s">
        <v>48</v>
      </c>
      <c r="F1895" t="str">
        <f>IFERROR(YEAR(Table1[[#This Row],[Exit Date]]), " ")</f>
        <v xml:space="preserve"> </v>
      </c>
      <c r="G1895" t="str">
        <f>IFERROR((Table1[[#This Row],[Exit Year]]-Table1[[#This Row],[Join Year]])+1," ")</f>
        <v xml:space="preserve"> </v>
      </c>
      <c r="H1895" t="s">
        <v>48</v>
      </c>
      <c r="I1895" t="s">
        <v>11</v>
      </c>
      <c r="J1895" t="s">
        <v>18</v>
      </c>
      <c r="K1895">
        <v>25</v>
      </c>
      <c r="L1895" t="str">
        <f>IF(Table1[[#This Row],[Age]]&lt;30,"20-29",
IF(Table1[[#This Row],[Age]]&lt;40,"30-39",
IF(Table1[[#This Row],[Age]]&lt;50,"40-49",
IF(Table1[[#This Row],[Age]]&lt;60,"50-59","60+"))))</f>
        <v>20-29</v>
      </c>
      <c r="M1895" t="s">
        <v>13</v>
      </c>
      <c r="N1895" t="s">
        <v>25</v>
      </c>
    </row>
    <row r="1896" spans="1:14" x14ac:dyDescent="0.35">
      <c r="A1896">
        <v>1995</v>
      </c>
      <c r="B1896" t="s">
        <v>15</v>
      </c>
      <c r="C1896" s="6">
        <v>45215</v>
      </c>
      <c r="D1896">
        <f>YEAR(Table1[[#This Row],[Join Date]])</f>
        <v>2023</v>
      </c>
      <c r="E1896" s="6" t="s">
        <v>48</v>
      </c>
      <c r="F1896" t="str">
        <f>IFERROR(YEAR(Table1[[#This Row],[Exit Date]]), " ")</f>
        <v xml:space="preserve"> </v>
      </c>
      <c r="G1896" t="str">
        <f>IFERROR((Table1[[#This Row],[Exit Year]]-Table1[[#This Row],[Join Year]])+1," ")</f>
        <v xml:space="preserve"> </v>
      </c>
      <c r="H1896" t="s">
        <v>48</v>
      </c>
      <c r="I1896" t="s">
        <v>11</v>
      </c>
      <c r="J1896" t="s">
        <v>12</v>
      </c>
      <c r="K1896">
        <v>46</v>
      </c>
      <c r="L1896" t="str">
        <f>IF(Table1[[#This Row],[Age]]&lt;30,"20-29",
IF(Table1[[#This Row],[Age]]&lt;40,"30-39",
IF(Table1[[#This Row],[Age]]&lt;50,"40-49",
IF(Table1[[#This Row],[Age]]&lt;60,"50-59","60+"))))</f>
        <v>40-49</v>
      </c>
      <c r="M1896" t="s">
        <v>16</v>
      </c>
      <c r="N1896" t="s">
        <v>28</v>
      </c>
    </row>
    <row r="1897" spans="1:14" x14ac:dyDescent="0.35">
      <c r="A1897">
        <v>1996</v>
      </c>
      <c r="B1897" t="s">
        <v>15</v>
      </c>
      <c r="C1897" s="6">
        <v>43624</v>
      </c>
      <c r="D1897">
        <f>YEAR(Table1[[#This Row],[Join Date]])</f>
        <v>2019</v>
      </c>
      <c r="E1897" s="6">
        <v>44228</v>
      </c>
      <c r="F1897">
        <f>IFERROR(YEAR(Table1[[#This Row],[Exit Date]]), " ")</f>
        <v>2021</v>
      </c>
      <c r="G1897">
        <f>IFERROR((Table1[[#This Row],[Exit Year]]-Table1[[#This Row],[Join Year]])+1," ")</f>
        <v>3</v>
      </c>
      <c r="H1897" t="s">
        <v>41</v>
      </c>
      <c r="I1897" t="s">
        <v>23</v>
      </c>
      <c r="J1897" t="s">
        <v>12</v>
      </c>
      <c r="K1897">
        <v>24</v>
      </c>
      <c r="L1897" t="str">
        <f>IF(Table1[[#This Row],[Age]]&lt;30,"20-29",
IF(Table1[[#This Row],[Age]]&lt;40,"30-39",
IF(Table1[[#This Row],[Age]]&lt;50,"40-49",
IF(Table1[[#This Row],[Age]]&lt;60,"50-59","60+"))))</f>
        <v>20-29</v>
      </c>
      <c r="M1897" t="s">
        <v>13</v>
      </c>
      <c r="N1897" t="s">
        <v>31</v>
      </c>
    </row>
    <row r="1898" spans="1:14" x14ac:dyDescent="0.35">
      <c r="A1898">
        <v>1997</v>
      </c>
      <c r="B1898" t="s">
        <v>15</v>
      </c>
      <c r="C1898" s="6">
        <v>44514</v>
      </c>
      <c r="D1898">
        <f>YEAR(Table1[[#This Row],[Join Date]])</f>
        <v>2021</v>
      </c>
      <c r="E1898" s="6">
        <v>45529</v>
      </c>
      <c r="F1898">
        <f>IFERROR(YEAR(Table1[[#This Row],[Exit Date]]), " ")</f>
        <v>2024</v>
      </c>
      <c r="G1898">
        <f>IFERROR((Table1[[#This Row],[Exit Year]]-Table1[[#This Row],[Join Year]])+1," ")</f>
        <v>4</v>
      </c>
      <c r="H1898" t="s">
        <v>46</v>
      </c>
      <c r="I1898" t="s">
        <v>23</v>
      </c>
      <c r="J1898" t="s">
        <v>12</v>
      </c>
      <c r="K1898">
        <v>38</v>
      </c>
      <c r="L1898" t="str">
        <f>IF(Table1[[#This Row],[Age]]&lt;30,"20-29",
IF(Table1[[#This Row],[Age]]&lt;40,"30-39",
IF(Table1[[#This Row],[Age]]&lt;50,"40-49",
IF(Table1[[#This Row],[Age]]&lt;60,"50-59","60+"))))</f>
        <v>30-39</v>
      </c>
      <c r="M1898" t="s">
        <v>20</v>
      </c>
      <c r="N1898" t="s">
        <v>32</v>
      </c>
    </row>
    <row r="1899" spans="1:14" x14ac:dyDescent="0.35">
      <c r="A1899">
        <v>1998</v>
      </c>
      <c r="B1899" t="s">
        <v>29</v>
      </c>
      <c r="C1899" s="6">
        <v>43700</v>
      </c>
      <c r="D1899">
        <f>YEAR(Table1[[#This Row],[Join Date]])</f>
        <v>2019</v>
      </c>
      <c r="E1899" s="6" t="s">
        <v>48</v>
      </c>
      <c r="F1899" t="str">
        <f>IFERROR(YEAR(Table1[[#This Row],[Exit Date]]), " ")</f>
        <v xml:space="preserve"> </v>
      </c>
      <c r="G1899" t="str">
        <f>IFERROR((Table1[[#This Row],[Exit Year]]-Table1[[#This Row],[Join Year]])+1," ")</f>
        <v xml:space="preserve"> </v>
      </c>
      <c r="H1899" t="s">
        <v>48</v>
      </c>
      <c r="I1899" t="s">
        <v>11</v>
      </c>
      <c r="J1899" t="s">
        <v>18</v>
      </c>
      <c r="K1899">
        <v>49</v>
      </c>
      <c r="L1899" t="str">
        <f>IF(Table1[[#This Row],[Age]]&lt;30,"20-29",
IF(Table1[[#This Row],[Age]]&lt;40,"30-39",
IF(Table1[[#This Row],[Age]]&lt;50,"40-49",
IF(Table1[[#This Row],[Age]]&lt;60,"50-59","60+"))))</f>
        <v>40-49</v>
      </c>
      <c r="M1899" t="s">
        <v>39</v>
      </c>
      <c r="N1899" t="s">
        <v>33</v>
      </c>
    </row>
    <row r="1900" spans="1:14" x14ac:dyDescent="0.35">
      <c r="A1900">
        <v>1999</v>
      </c>
      <c r="B1900" t="s">
        <v>34</v>
      </c>
      <c r="C1900" s="6">
        <v>45540</v>
      </c>
      <c r="D1900">
        <f>YEAR(Table1[[#This Row],[Join Date]])</f>
        <v>2024</v>
      </c>
      <c r="E1900" s="6" t="s">
        <v>48</v>
      </c>
      <c r="F1900" t="str">
        <f>IFERROR(YEAR(Table1[[#This Row],[Exit Date]]), " ")</f>
        <v xml:space="preserve"> </v>
      </c>
      <c r="G1900" t="str">
        <f>IFERROR((Table1[[#This Row],[Exit Year]]-Table1[[#This Row],[Join Year]])+1," ")</f>
        <v xml:space="preserve"> </v>
      </c>
      <c r="H1900" t="s">
        <v>48</v>
      </c>
      <c r="I1900" t="s">
        <v>11</v>
      </c>
      <c r="J1900" t="s">
        <v>18</v>
      </c>
      <c r="K1900">
        <v>31</v>
      </c>
      <c r="L1900" t="str">
        <f>IF(Table1[[#This Row],[Age]]&lt;30,"20-29",
IF(Table1[[#This Row],[Age]]&lt;40,"30-39",
IF(Table1[[#This Row],[Age]]&lt;50,"40-49",
IF(Table1[[#This Row],[Age]]&lt;60,"50-59","60+"))))</f>
        <v>30-39</v>
      </c>
      <c r="M1900" t="s">
        <v>13</v>
      </c>
      <c r="N1900" t="s">
        <v>35</v>
      </c>
    </row>
    <row r="1901" spans="1:14" x14ac:dyDescent="0.35">
      <c r="A1901">
        <v>2000</v>
      </c>
      <c r="B1901" t="s">
        <v>10</v>
      </c>
      <c r="C1901" s="6">
        <v>43297</v>
      </c>
      <c r="D1901">
        <f>YEAR(Table1[[#This Row],[Join Date]])</f>
        <v>2018</v>
      </c>
      <c r="E1901" s="6">
        <v>44682</v>
      </c>
      <c r="F1901">
        <f>IFERROR(YEAR(Table1[[#This Row],[Exit Date]]), " ")</f>
        <v>2022</v>
      </c>
      <c r="G1901">
        <f>IFERROR((Table1[[#This Row],[Exit Year]]-Table1[[#This Row],[Join Year]])+1," ")</f>
        <v>5</v>
      </c>
      <c r="H1901" t="s">
        <v>40</v>
      </c>
      <c r="I1901" t="s">
        <v>23</v>
      </c>
      <c r="J1901" t="s">
        <v>12</v>
      </c>
      <c r="K1901">
        <v>51</v>
      </c>
      <c r="L1901" t="str">
        <f>IF(Table1[[#This Row],[Age]]&lt;30,"20-29",
IF(Table1[[#This Row],[Age]]&lt;40,"30-39",
IF(Table1[[#This Row],[Age]]&lt;50,"40-49",
IF(Table1[[#This Row],[Age]]&lt;60,"50-59","60+"))))</f>
        <v>50-59</v>
      </c>
      <c r="M1901" t="s">
        <v>16</v>
      </c>
      <c r="N1901" t="s">
        <v>37</v>
      </c>
    </row>
    <row r="1902" spans="1:14" x14ac:dyDescent="0.35">
      <c r="A1902">
        <v>2001</v>
      </c>
      <c r="B1902" t="s">
        <v>10</v>
      </c>
      <c r="C1902" s="6">
        <v>43407</v>
      </c>
      <c r="D1902">
        <f>YEAR(Table1[[#This Row],[Join Date]])</f>
        <v>2018</v>
      </c>
      <c r="E1902" s="6" t="s">
        <v>48</v>
      </c>
      <c r="F1902" t="str">
        <f>IFERROR(YEAR(Table1[[#This Row],[Exit Date]]), " ")</f>
        <v xml:space="preserve"> </v>
      </c>
      <c r="G1902" t="str">
        <f>IFERROR((Table1[[#This Row],[Exit Year]]-Table1[[#This Row],[Join Year]])+1," ")</f>
        <v xml:space="preserve"> </v>
      </c>
      <c r="H1902" t="s">
        <v>48</v>
      </c>
      <c r="I1902" t="s">
        <v>11</v>
      </c>
      <c r="J1902" t="s">
        <v>18</v>
      </c>
      <c r="K1902">
        <v>27</v>
      </c>
      <c r="L1902" t="str">
        <f>IF(Table1[[#This Row],[Age]]&lt;30,"20-29",
IF(Table1[[#This Row],[Age]]&lt;40,"30-39",
IF(Table1[[#This Row],[Age]]&lt;50,"40-49",
IF(Table1[[#This Row],[Age]]&lt;60,"50-59","60+"))))</f>
        <v>20-29</v>
      </c>
      <c r="M1902" t="s">
        <v>16</v>
      </c>
      <c r="N1902" t="s">
        <v>19</v>
      </c>
    </row>
    <row r="1903" spans="1:14" x14ac:dyDescent="0.35">
      <c r="A1903">
        <v>2002</v>
      </c>
      <c r="B1903" t="s">
        <v>15</v>
      </c>
      <c r="C1903" s="6">
        <v>44121</v>
      </c>
      <c r="D1903">
        <f>YEAR(Table1[[#This Row],[Join Date]])</f>
        <v>2020</v>
      </c>
      <c r="E1903" s="6" t="s">
        <v>48</v>
      </c>
      <c r="F1903" t="str">
        <f>IFERROR(YEAR(Table1[[#This Row],[Exit Date]]), " ")</f>
        <v xml:space="preserve"> </v>
      </c>
      <c r="G1903" t="str">
        <f>IFERROR((Table1[[#This Row],[Exit Year]]-Table1[[#This Row],[Join Year]])+1," ")</f>
        <v xml:space="preserve"> </v>
      </c>
      <c r="H1903" t="s">
        <v>48</v>
      </c>
      <c r="I1903" t="s">
        <v>11</v>
      </c>
      <c r="J1903" t="s">
        <v>18</v>
      </c>
      <c r="K1903">
        <v>22</v>
      </c>
      <c r="L1903" t="str">
        <f>IF(Table1[[#This Row],[Age]]&lt;30,"20-29",
IF(Table1[[#This Row],[Age]]&lt;40,"30-39",
IF(Table1[[#This Row],[Age]]&lt;50,"40-49",
IF(Table1[[#This Row],[Age]]&lt;60,"50-59","60+"))))</f>
        <v>20-29</v>
      </c>
      <c r="M1903" t="s">
        <v>20</v>
      </c>
      <c r="N1903" t="s">
        <v>25</v>
      </c>
    </row>
    <row r="1904" spans="1:14" x14ac:dyDescent="0.35">
      <c r="A1904">
        <v>2003</v>
      </c>
      <c r="B1904" t="s">
        <v>15</v>
      </c>
      <c r="C1904" s="6">
        <v>44423</v>
      </c>
      <c r="D1904">
        <f>YEAR(Table1[[#This Row],[Join Date]])</f>
        <v>2021</v>
      </c>
      <c r="E1904" s="6" t="s">
        <v>48</v>
      </c>
      <c r="F1904" t="str">
        <f>IFERROR(YEAR(Table1[[#This Row],[Exit Date]]), " ")</f>
        <v xml:space="preserve"> </v>
      </c>
      <c r="G1904" t="str">
        <f>IFERROR((Table1[[#This Row],[Exit Year]]-Table1[[#This Row],[Join Year]])+1," ")</f>
        <v xml:space="preserve"> </v>
      </c>
      <c r="H1904" t="s">
        <v>48</v>
      </c>
      <c r="I1904" t="s">
        <v>11</v>
      </c>
      <c r="J1904" t="s">
        <v>12</v>
      </c>
      <c r="K1904">
        <v>50</v>
      </c>
      <c r="L1904" t="str">
        <f>IF(Table1[[#This Row],[Age]]&lt;30,"20-29",
IF(Table1[[#This Row],[Age]]&lt;40,"30-39",
IF(Table1[[#This Row],[Age]]&lt;50,"40-49",
IF(Table1[[#This Row],[Age]]&lt;60,"50-59","60+"))))</f>
        <v>50-59</v>
      </c>
      <c r="M1904" t="s">
        <v>24</v>
      </c>
      <c r="N1904" t="s">
        <v>35</v>
      </c>
    </row>
    <row r="1905" spans="1:14" x14ac:dyDescent="0.35">
      <c r="A1905">
        <v>2004</v>
      </c>
      <c r="B1905" t="s">
        <v>15</v>
      </c>
      <c r="C1905" s="6">
        <v>45087</v>
      </c>
      <c r="D1905">
        <f>YEAR(Table1[[#This Row],[Join Date]])</f>
        <v>2023</v>
      </c>
      <c r="E1905" s="6" t="s">
        <v>48</v>
      </c>
      <c r="F1905" t="str">
        <f>IFERROR(YEAR(Table1[[#This Row],[Exit Date]]), " ")</f>
        <v xml:space="preserve"> </v>
      </c>
      <c r="G1905" t="str">
        <f>IFERROR((Table1[[#This Row],[Exit Year]]-Table1[[#This Row],[Join Year]])+1," ")</f>
        <v xml:space="preserve"> </v>
      </c>
      <c r="H1905" t="s">
        <v>48</v>
      </c>
      <c r="I1905" t="s">
        <v>11</v>
      </c>
      <c r="J1905" t="s">
        <v>12</v>
      </c>
      <c r="K1905">
        <v>24</v>
      </c>
      <c r="L1905" t="str">
        <f>IF(Table1[[#This Row],[Age]]&lt;30,"20-29",
IF(Table1[[#This Row],[Age]]&lt;40,"30-39",
IF(Table1[[#This Row],[Age]]&lt;50,"40-49",
IF(Table1[[#This Row],[Age]]&lt;60,"50-59","60+"))))</f>
        <v>20-29</v>
      </c>
      <c r="M1905" t="s">
        <v>13</v>
      </c>
      <c r="N1905" t="s">
        <v>17</v>
      </c>
    </row>
    <row r="1906" spans="1:14" x14ac:dyDescent="0.35">
      <c r="A1906">
        <v>2005</v>
      </c>
      <c r="B1906" t="s">
        <v>15</v>
      </c>
      <c r="C1906" s="6">
        <v>43479</v>
      </c>
      <c r="D1906">
        <f>YEAR(Table1[[#This Row],[Join Date]])</f>
        <v>2019</v>
      </c>
      <c r="E1906" s="6">
        <v>44449</v>
      </c>
      <c r="F1906">
        <f>IFERROR(YEAR(Table1[[#This Row],[Exit Date]]), " ")</f>
        <v>2021</v>
      </c>
      <c r="G1906">
        <f>IFERROR((Table1[[#This Row],[Exit Year]]-Table1[[#This Row],[Join Year]])+1," ")</f>
        <v>3</v>
      </c>
      <c r="H1906" t="s">
        <v>22</v>
      </c>
      <c r="I1906" t="s">
        <v>23</v>
      </c>
      <c r="J1906" t="s">
        <v>12</v>
      </c>
      <c r="K1906">
        <v>50</v>
      </c>
      <c r="L1906" t="str">
        <f>IF(Table1[[#This Row],[Age]]&lt;30,"20-29",
IF(Table1[[#This Row],[Age]]&lt;40,"30-39",
IF(Table1[[#This Row],[Age]]&lt;50,"40-49",
IF(Table1[[#This Row],[Age]]&lt;60,"50-59","60+"))))</f>
        <v>50-59</v>
      </c>
      <c r="M1906" t="s">
        <v>42</v>
      </c>
      <c r="N1906" t="s">
        <v>19</v>
      </c>
    </row>
    <row r="1907" spans="1:14" x14ac:dyDescent="0.35">
      <c r="A1907">
        <v>2006</v>
      </c>
      <c r="B1907" t="s">
        <v>26</v>
      </c>
      <c r="C1907" s="6">
        <v>44749</v>
      </c>
      <c r="D1907">
        <f>YEAR(Table1[[#This Row],[Join Date]])</f>
        <v>2022</v>
      </c>
      <c r="E1907" s="6">
        <v>44972</v>
      </c>
      <c r="F1907">
        <f>IFERROR(YEAR(Table1[[#This Row],[Exit Date]]), " ")</f>
        <v>2023</v>
      </c>
      <c r="G1907">
        <f>IFERROR((Table1[[#This Row],[Exit Year]]-Table1[[#This Row],[Join Year]])+1," ")</f>
        <v>2</v>
      </c>
      <c r="H1907" t="s">
        <v>46</v>
      </c>
      <c r="I1907" t="s">
        <v>23</v>
      </c>
      <c r="J1907" t="s">
        <v>12</v>
      </c>
      <c r="K1907">
        <v>28</v>
      </c>
      <c r="L1907" t="str">
        <f>IF(Table1[[#This Row],[Age]]&lt;30,"20-29",
IF(Table1[[#This Row],[Age]]&lt;40,"30-39",
IF(Table1[[#This Row],[Age]]&lt;50,"40-49",
IF(Table1[[#This Row],[Age]]&lt;60,"50-59","60+"))))</f>
        <v>20-29</v>
      </c>
      <c r="M1907" t="s">
        <v>13</v>
      </c>
      <c r="N1907" t="s">
        <v>21</v>
      </c>
    </row>
    <row r="1908" spans="1:14" x14ac:dyDescent="0.35">
      <c r="A1908">
        <v>2007</v>
      </c>
      <c r="B1908" t="s">
        <v>29</v>
      </c>
      <c r="C1908" s="6">
        <v>45457</v>
      </c>
      <c r="D1908">
        <f>YEAR(Table1[[#This Row],[Join Date]])</f>
        <v>2024</v>
      </c>
      <c r="E1908" s="6" t="s">
        <v>48</v>
      </c>
      <c r="F1908" t="str">
        <f>IFERROR(YEAR(Table1[[#This Row],[Exit Date]]), " ")</f>
        <v xml:space="preserve"> </v>
      </c>
      <c r="G1908" t="str">
        <f>IFERROR((Table1[[#This Row],[Exit Year]]-Table1[[#This Row],[Join Year]])+1," ")</f>
        <v xml:space="preserve"> </v>
      </c>
      <c r="H1908" t="s">
        <v>48</v>
      </c>
      <c r="I1908" t="s">
        <v>11</v>
      </c>
      <c r="J1908" t="s">
        <v>18</v>
      </c>
      <c r="K1908">
        <v>40</v>
      </c>
      <c r="L1908" t="str">
        <f>IF(Table1[[#This Row],[Age]]&lt;30,"20-29",
IF(Table1[[#This Row],[Age]]&lt;40,"30-39",
IF(Table1[[#This Row],[Age]]&lt;50,"40-49",
IF(Table1[[#This Row],[Age]]&lt;60,"50-59","60+"))))</f>
        <v>40-49</v>
      </c>
      <c r="M1908" t="s">
        <v>13</v>
      </c>
      <c r="N1908" t="s">
        <v>25</v>
      </c>
    </row>
    <row r="1909" spans="1:14" x14ac:dyDescent="0.35">
      <c r="A1909">
        <v>2008</v>
      </c>
      <c r="B1909" t="s">
        <v>10</v>
      </c>
      <c r="C1909" s="6">
        <v>43304</v>
      </c>
      <c r="D1909">
        <f>YEAR(Table1[[#This Row],[Join Date]])</f>
        <v>2018</v>
      </c>
      <c r="E1909" s="6" t="s">
        <v>48</v>
      </c>
      <c r="F1909" t="str">
        <f>IFERROR(YEAR(Table1[[#This Row],[Exit Date]]), " ")</f>
        <v xml:space="preserve"> </v>
      </c>
      <c r="G1909" t="str">
        <f>IFERROR((Table1[[#This Row],[Exit Year]]-Table1[[#This Row],[Join Year]])+1," ")</f>
        <v xml:space="preserve"> </v>
      </c>
      <c r="H1909" t="s">
        <v>48</v>
      </c>
      <c r="I1909" t="s">
        <v>11</v>
      </c>
      <c r="J1909" t="s">
        <v>18</v>
      </c>
      <c r="K1909">
        <v>32</v>
      </c>
      <c r="L1909" t="str">
        <f>IF(Table1[[#This Row],[Age]]&lt;30,"20-29",
IF(Table1[[#This Row],[Age]]&lt;40,"30-39",
IF(Table1[[#This Row],[Age]]&lt;50,"40-49",
IF(Table1[[#This Row],[Age]]&lt;60,"50-59","60+"))))</f>
        <v>30-39</v>
      </c>
      <c r="M1909" t="s">
        <v>16</v>
      </c>
      <c r="N1909" t="s">
        <v>35</v>
      </c>
    </row>
    <row r="1910" spans="1:14" x14ac:dyDescent="0.35">
      <c r="A1910">
        <v>2009</v>
      </c>
      <c r="B1910" t="s">
        <v>15</v>
      </c>
      <c r="C1910" s="6">
        <v>44987</v>
      </c>
      <c r="D1910">
        <f>YEAR(Table1[[#This Row],[Join Date]])</f>
        <v>2023</v>
      </c>
      <c r="E1910" s="6" t="s">
        <v>48</v>
      </c>
      <c r="F1910" t="str">
        <f>IFERROR(YEAR(Table1[[#This Row],[Exit Date]]), " ")</f>
        <v xml:space="preserve"> </v>
      </c>
      <c r="G1910" t="str">
        <f>IFERROR((Table1[[#This Row],[Exit Year]]-Table1[[#This Row],[Join Year]])+1," ")</f>
        <v xml:space="preserve"> </v>
      </c>
      <c r="H1910" t="s">
        <v>48</v>
      </c>
      <c r="I1910" t="s">
        <v>11</v>
      </c>
      <c r="J1910" t="s">
        <v>18</v>
      </c>
      <c r="K1910">
        <v>50</v>
      </c>
      <c r="L1910" t="str">
        <f>IF(Table1[[#This Row],[Age]]&lt;30,"20-29",
IF(Table1[[#This Row],[Age]]&lt;40,"30-39",
IF(Table1[[#This Row],[Age]]&lt;50,"40-49",
IF(Table1[[#This Row],[Age]]&lt;60,"50-59","60+"))))</f>
        <v>50-59</v>
      </c>
      <c r="M1910" t="s">
        <v>13</v>
      </c>
      <c r="N1910" t="s">
        <v>14</v>
      </c>
    </row>
    <row r="1911" spans="1:14" x14ac:dyDescent="0.35">
      <c r="A1911">
        <v>2010</v>
      </c>
      <c r="B1911" t="s">
        <v>34</v>
      </c>
      <c r="C1911" s="6">
        <v>45326</v>
      </c>
      <c r="D1911">
        <f>YEAR(Table1[[#This Row],[Join Date]])</f>
        <v>2024</v>
      </c>
      <c r="E1911" s="6" t="s">
        <v>48</v>
      </c>
      <c r="F1911" t="str">
        <f>IFERROR(YEAR(Table1[[#This Row],[Exit Date]]), " ")</f>
        <v xml:space="preserve"> </v>
      </c>
      <c r="G1911" t="str">
        <f>IFERROR((Table1[[#This Row],[Exit Year]]-Table1[[#This Row],[Join Year]])+1," ")</f>
        <v xml:space="preserve"> </v>
      </c>
      <c r="H1911" t="s">
        <v>48</v>
      </c>
      <c r="I1911" t="s">
        <v>11</v>
      </c>
      <c r="J1911" t="s">
        <v>12</v>
      </c>
      <c r="K1911">
        <v>24</v>
      </c>
      <c r="L1911" t="str">
        <f>IF(Table1[[#This Row],[Age]]&lt;30,"20-29",
IF(Table1[[#This Row],[Age]]&lt;40,"30-39",
IF(Table1[[#This Row],[Age]]&lt;50,"40-49",
IF(Table1[[#This Row],[Age]]&lt;60,"50-59","60+"))))</f>
        <v>20-29</v>
      </c>
      <c r="M1911" t="s">
        <v>20</v>
      </c>
      <c r="N1911" t="s">
        <v>19</v>
      </c>
    </row>
    <row r="1912" spans="1:14" x14ac:dyDescent="0.35">
      <c r="A1912">
        <v>2011</v>
      </c>
      <c r="B1912" t="s">
        <v>36</v>
      </c>
      <c r="C1912" s="6">
        <v>45474</v>
      </c>
      <c r="D1912">
        <f>YEAR(Table1[[#This Row],[Join Date]])</f>
        <v>2024</v>
      </c>
      <c r="E1912" s="6" t="s">
        <v>48</v>
      </c>
      <c r="F1912" t="str">
        <f>IFERROR(YEAR(Table1[[#This Row],[Exit Date]]), " ")</f>
        <v xml:space="preserve"> </v>
      </c>
      <c r="G1912" t="str">
        <f>IFERROR((Table1[[#This Row],[Exit Year]]-Table1[[#This Row],[Join Year]])+1," ")</f>
        <v xml:space="preserve"> </v>
      </c>
      <c r="H1912" t="s">
        <v>48</v>
      </c>
      <c r="I1912" t="s">
        <v>11</v>
      </c>
      <c r="J1912" t="s">
        <v>18</v>
      </c>
      <c r="K1912">
        <v>36</v>
      </c>
      <c r="L1912" t="str">
        <f>IF(Table1[[#This Row],[Age]]&lt;30,"20-29",
IF(Table1[[#This Row],[Age]]&lt;40,"30-39",
IF(Table1[[#This Row],[Age]]&lt;50,"40-49",
IF(Table1[[#This Row],[Age]]&lt;60,"50-59","60+"))))</f>
        <v>30-39</v>
      </c>
      <c r="M1912" t="s">
        <v>39</v>
      </c>
      <c r="N1912" t="s">
        <v>21</v>
      </c>
    </row>
    <row r="1913" spans="1:14" x14ac:dyDescent="0.35">
      <c r="A1913">
        <v>2012</v>
      </c>
      <c r="B1913" t="s">
        <v>29</v>
      </c>
      <c r="C1913" s="6">
        <v>44227</v>
      </c>
      <c r="D1913">
        <f>YEAR(Table1[[#This Row],[Join Date]])</f>
        <v>2021</v>
      </c>
      <c r="E1913" s="6">
        <v>45322</v>
      </c>
      <c r="F1913">
        <f>IFERROR(YEAR(Table1[[#This Row],[Exit Date]]), " ")</f>
        <v>2024</v>
      </c>
      <c r="G1913">
        <f>IFERROR((Table1[[#This Row],[Exit Year]]-Table1[[#This Row],[Join Year]])+1," ")</f>
        <v>4</v>
      </c>
      <c r="H1913" t="s">
        <v>46</v>
      </c>
      <c r="I1913" t="s">
        <v>23</v>
      </c>
      <c r="J1913" t="s">
        <v>18</v>
      </c>
      <c r="K1913">
        <v>49</v>
      </c>
      <c r="L1913" t="str">
        <f>IF(Table1[[#This Row],[Age]]&lt;30,"20-29",
IF(Table1[[#This Row],[Age]]&lt;40,"30-39",
IF(Table1[[#This Row],[Age]]&lt;50,"40-49",
IF(Table1[[#This Row],[Age]]&lt;60,"50-59","60+"))))</f>
        <v>40-49</v>
      </c>
      <c r="M1913" t="s">
        <v>13</v>
      </c>
      <c r="N1913" t="s">
        <v>37</v>
      </c>
    </row>
    <row r="1914" spans="1:14" x14ac:dyDescent="0.35">
      <c r="A1914">
        <v>2013</v>
      </c>
      <c r="B1914" t="s">
        <v>10</v>
      </c>
      <c r="C1914" s="6">
        <v>43446</v>
      </c>
      <c r="D1914">
        <f>YEAR(Table1[[#This Row],[Join Date]])</f>
        <v>2018</v>
      </c>
      <c r="E1914" s="6">
        <v>43936</v>
      </c>
      <c r="F1914">
        <f>IFERROR(YEAR(Table1[[#This Row],[Exit Date]]), " ")</f>
        <v>2020</v>
      </c>
      <c r="G1914">
        <f>IFERROR((Table1[[#This Row],[Exit Year]]-Table1[[#This Row],[Join Year]])+1," ")</f>
        <v>3</v>
      </c>
      <c r="H1914" t="s">
        <v>46</v>
      </c>
      <c r="I1914" t="s">
        <v>23</v>
      </c>
      <c r="J1914" t="s">
        <v>12</v>
      </c>
      <c r="K1914">
        <v>43</v>
      </c>
      <c r="L1914" t="str">
        <f>IF(Table1[[#This Row],[Age]]&lt;30,"20-29",
IF(Table1[[#This Row],[Age]]&lt;40,"30-39",
IF(Table1[[#This Row],[Age]]&lt;50,"40-49",
IF(Table1[[#This Row],[Age]]&lt;60,"50-59","60+"))))</f>
        <v>40-49</v>
      </c>
      <c r="M1914" t="s">
        <v>16</v>
      </c>
      <c r="N1914" t="s">
        <v>25</v>
      </c>
    </row>
    <row r="1915" spans="1:14" x14ac:dyDescent="0.35">
      <c r="A1915">
        <v>2014</v>
      </c>
      <c r="B1915" t="s">
        <v>15</v>
      </c>
      <c r="C1915" s="6">
        <v>45314</v>
      </c>
      <c r="D1915">
        <f>YEAR(Table1[[#This Row],[Join Date]])</f>
        <v>2024</v>
      </c>
      <c r="E1915" s="6" t="s">
        <v>48</v>
      </c>
      <c r="F1915" t="str">
        <f>IFERROR(YEAR(Table1[[#This Row],[Exit Date]]), " ")</f>
        <v xml:space="preserve"> </v>
      </c>
      <c r="G1915" t="str">
        <f>IFERROR((Table1[[#This Row],[Exit Year]]-Table1[[#This Row],[Join Year]])+1," ")</f>
        <v xml:space="preserve"> </v>
      </c>
      <c r="H1915" t="s">
        <v>48</v>
      </c>
      <c r="I1915" t="s">
        <v>11</v>
      </c>
      <c r="J1915" t="s">
        <v>18</v>
      </c>
      <c r="K1915">
        <v>40</v>
      </c>
      <c r="L1915" t="str">
        <f>IF(Table1[[#This Row],[Age]]&lt;30,"20-29",
IF(Table1[[#This Row],[Age]]&lt;40,"30-39",
IF(Table1[[#This Row],[Age]]&lt;50,"40-49",
IF(Table1[[#This Row],[Age]]&lt;60,"50-59","60+"))))</f>
        <v>40-49</v>
      </c>
      <c r="M1915" t="s">
        <v>16</v>
      </c>
      <c r="N1915" t="s">
        <v>35</v>
      </c>
    </row>
    <row r="1916" spans="1:14" x14ac:dyDescent="0.35">
      <c r="A1916">
        <v>2015</v>
      </c>
      <c r="B1916" t="s">
        <v>15</v>
      </c>
      <c r="C1916" s="6">
        <v>43123</v>
      </c>
      <c r="D1916">
        <f>YEAR(Table1[[#This Row],[Join Date]])</f>
        <v>2018</v>
      </c>
      <c r="E1916" s="6" t="s">
        <v>48</v>
      </c>
      <c r="F1916" t="str">
        <f>IFERROR(YEAR(Table1[[#This Row],[Exit Date]]), " ")</f>
        <v xml:space="preserve"> </v>
      </c>
      <c r="G1916" t="str">
        <f>IFERROR((Table1[[#This Row],[Exit Year]]-Table1[[#This Row],[Join Year]])+1," ")</f>
        <v xml:space="preserve"> </v>
      </c>
      <c r="H1916" t="s">
        <v>48</v>
      </c>
      <c r="I1916" t="s">
        <v>11</v>
      </c>
      <c r="J1916" t="s">
        <v>18</v>
      </c>
      <c r="K1916">
        <v>42</v>
      </c>
      <c r="L1916" t="str">
        <f>IF(Table1[[#This Row],[Age]]&lt;30,"20-29",
IF(Table1[[#This Row],[Age]]&lt;40,"30-39",
IF(Table1[[#This Row],[Age]]&lt;50,"40-49",
IF(Table1[[#This Row],[Age]]&lt;60,"50-59","60+"))))</f>
        <v>40-49</v>
      </c>
      <c r="M1916" t="s">
        <v>20</v>
      </c>
      <c r="N1916" t="s">
        <v>19</v>
      </c>
    </row>
    <row r="1917" spans="1:14" x14ac:dyDescent="0.35">
      <c r="A1917">
        <v>2016</v>
      </c>
      <c r="B1917" t="s">
        <v>10</v>
      </c>
      <c r="C1917" s="6">
        <v>43717</v>
      </c>
      <c r="D1917">
        <f>YEAR(Table1[[#This Row],[Join Date]])</f>
        <v>2019</v>
      </c>
      <c r="E1917" s="6">
        <v>44677</v>
      </c>
      <c r="F1917">
        <f>IFERROR(YEAR(Table1[[#This Row],[Exit Date]]), " ")</f>
        <v>2022</v>
      </c>
      <c r="G1917">
        <f>IFERROR((Table1[[#This Row],[Exit Year]]-Table1[[#This Row],[Join Year]])+1," ")</f>
        <v>4</v>
      </c>
      <c r="H1917" t="s">
        <v>40</v>
      </c>
      <c r="I1917" t="s">
        <v>23</v>
      </c>
      <c r="J1917" t="s">
        <v>18</v>
      </c>
      <c r="K1917">
        <v>35</v>
      </c>
      <c r="L1917" t="str">
        <f>IF(Table1[[#This Row],[Age]]&lt;30,"20-29",
IF(Table1[[#This Row],[Age]]&lt;40,"30-39",
IF(Table1[[#This Row],[Age]]&lt;50,"40-49",
IF(Table1[[#This Row],[Age]]&lt;60,"50-59","60+"))))</f>
        <v>30-39</v>
      </c>
      <c r="M1917" t="s">
        <v>24</v>
      </c>
      <c r="N1917" t="s">
        <v>21</v>
      </c>
    </row>
    <row r="1918" spans="1:14" x14ac:dyDescent="0.35">
      <c r="A1918">
        <v>2017</v>
      </c>
      <c r="B1918" t="s">
        <v>29</v>
      </c>
      <c r="C1918" s="6">
        <v>43534</v>
      </c>
      <c r="D1918">
        <f>YEAR(Table1[[#This Row],[Join Date]])</f>
        <v>2019</v>
      </c>
      <c r="E1918" s="6">
        <v>44117</v>
      </c>
      <c r="F1918">
        <f>IFERROR(YEAR(Table1[[#This Row],[Exit Date]]), " ")</f>
        <v>2020</v>
      </c>
      <c r="G1918">
        <f>IFERROR((Table1[[#This Row],[Exit Year]]-Table1[[#This Row],[Join Year]])+1," ")</f>
        <v>2</v>
      </c>
      <c r="H1918" t="s">
        <v>38</v>
      </c>
      <c r="I1918" t="s">
        <v>23</v>
      </c>
      <c r="J1918" t="s">
        <v>12</v>
      </c>
      <c r="K1918">
        <v>31</v>
      </c>
      <c r="L1918" t="str">
        <f>IF(Table1[[#This Row],[Age]]&lt;30,"20-29",
IF(Table1[[#This Row],[Age]]&lt;40,"30-39",
IF(Table1[[#This Row],[Age]]&lt;50,"40-49",
IF(Table1[[#This Row],[Age]]&lt;60,"50-59","60+"))))</f>
        <v>30-39</v>
      </c>
      <c r="M1918" t="s">
        <v>13</v>
      </c>
      <c r="N1918" t="s">
        <v>25</v>
      </c>
    </row>
    <row r="1919" spans="1:14" x14ac:dyDescent="0.35">
      <c r="A1919">
        <v>2018</v>
      </c>
      <c r="B1919" t="s">
        <v>36</v>
      </c>
      <c r="C1919" s="6">
        <v>44619</v>
      </c>
      <c r="D1919">
        <f>YEAR(Table1[[#This Row],[Join Date]])</f>
        <v>2022</v>
      </c>
      <c r="E1919" s="6" t="s">
        <v>48</v>
      </c>
      <c r="F1919" t="str">
        <f>IFERROR(YEAR(Table1[[#This Row],[Exit Date]]), " ")</f>
        <v xml:space="preserve"> </v>
      </c>
      <c r="G1919" t="str">
        <f>IFERROR((Table1[[#This Row],[Exit Year]]-Table1[[#This Row],[Join Year]])+1," ")</f>
        <v xml:space="preserve"> </v>
      </c>
      <c r="H1919" t="s">
        <v>48</v>
      </c>
      <c r="I1919" t="s">
        <v>11</v>
      </c>
      <c r="J1919" t="s">
        <v>12</v>
      </c>
      <c r="K1919">
        <v>51</v>
      </c>
      <c r="L1919" t="str">
        <f>IF(Table1[[#This Row],[Age]]&lt;30,"20-29",
IF(Table1[[#This Row],[Age]]&lt;40,"30-39",
IF(Table1[[#This Row],[Age]]&lt;50,"40-49",
IF(Table1[[#This Row],[Age]]&lt;60,"50-59","60+"))))</f>
        <v>50-59</v>
      </c>
      <c r="M1919" t="s">
        <v>42</v>
      </c>
      <c r="N1919" t="s">
        <v>28</v>
      </c>
    </row>
    <row r="1920" spans="1:14" x14ac:dyDescent="0.35">
      <c r="A1920">
        <v>2019</v>
      </c>
      <c r="B1920" t="s">
        <v>10</v>
      </c>
      <c r="C1920" s="6">
        <v>45485</v>
      </c>
      <c r="D1920">
        <f>YEAR(Table1[[#This Row],[Join Date]])</f>
        <v>2024</v>
      </c>
      <c r="E1920" s="6" t="s">
        <v>48</v>
      </c>
      <c r="F1920" t="str">
        <f>IFERROR(YEAR(Table1[[#This Row],[Exit Date]]), " ")</f>
        <v xml:space="preserve"> </v>
      </c>
      <c r="G1920" t="str">
        <f>IFERROR((Table1[[#This Row],[Exit Year]]-Table1[[#This Row],[Join Year]])+1," ")</f>
        <v xml:space="preserve"> </v>
      </c>
      <c r="H1920" t="s">
        <v>48</v>
      </c>
      <c r="I1920" t="s">
        <v>11</v>
      </c>
      <c r="J1920" t="s">
        <v>18</v>
      </c>
      <c r="K1920">
        <v>48</v>
      </c>
      <c r="L1920" t="str">
        <f>IF(Table1[[#This Row],[Age]]&lt;30,"20-29",
IF(Table1[[#This Row],[Age]]&lt;40,"30-39",
IF(Table1[[#This Row],[Age]]&lt;50,"40-49",
IF(Table1[[#This Row],[Age]]&lt;60,"50-59","60+"))))</f>
        <v>40-49</v>
      </c>
      <c r="M1920" t="s">
        <v>13</v>
      </c>
      <c r="N1920" t="s">
        <v>31</v>
      </c>
    </row>
    <row r="1921" spans="1:14" x14ac:dyDescent="0.35">
      <c r="A1921">
        <v>2020</v>
      </c>
      <c r="B1921" t="s">
        <v>29</v>
      </c>
      <c r="C1921" s="6">
        <v>43588</v>
      </c>
      <c r="D1921">
        <f>YEAR(Table1[[#This Row],[Join Date]])</f>
        <v>2019</v>
      </c>
      <c r="E1921" s="6">
        <v>44896</v>
      </c>
      <c r="F1921">
        <f>IFERROR(YEAR(Table1[[#This Row],[Exit Date]]), " ")</f>
        <v>2022</v>
      </c>
      <c r="G1921">
        <f>IFERROR((Table1[[#This Row],[Exit Year]]-Table1[[#This Row],[Join Year]])+1," ")</f>
        <v>4</v>
      </c>
      <c r="H1921" t="s">
        <v>41</v>
      </c>
      <c r="I1921" t="s">
        <v>23</v>
      </c>
      <c r="J1921" t="s">
        <v>18</v>
      </c>
      <c r="K1921">
        <v>41</v>
      </c>
      <c r="L1921" t="str">
        <f>IF(Table1[[#This Row],[Age]]&lt;30,"20-29",
IF(Table1[[#This Row],[Age]]&lt;40,"30-39",
IF(Table1[[#This Row],[Age]]&lt;50,"40-49",
IF(Table1[[#This Row],[Age]]&lt;60,"50-59","60+"))))</f>
        <v>40-49</v>
      </c>
      <c r="M1921" t="s">
        <v>13</v>
      </c>
      <c r="N1921" t="s">
        <v>32</v>
      </c>
    </row>
    <row r="1922" spans="1:14" x14ac:dyDescent="0.35">
      <c r="A1922">
        <v>2021</v>
      </c>
      <c r="B1922" t="s">
        <v>36</v>
      </c>
      <c r="C1922" s="6">
        <v>44250</v>
      </c>
      <c r="D1922">
        <f>YEAR(Table1[[#This Row],[Join Date]])</f>
        <v>2021</v>
      </c>
      <c r="E1922" s="6">
        <v>45392</v>
      </c>
      <c r="F1922">
        <f>IFERROR(YEAR(Table1[[#This Row],[Exit Date]]), " ")</f>
        <v>2024</v>
      </c>
      <c r="G1922">
        <f>IFERROR((Table1[[#This Row],[Exit Year]]-Table1[[#This Row],[Join Year]])+1," ")</f>
        <v>4</v>
      </c>
      <c r="H1922" t="s">
        <v>46</v>
      </c>
      <c r="I1922" t="s">
        <v>23</v>
      </c>
      <c r="J1922" t="s">
        <v>12</v>
      </c>
      <c r="K1922">
        <v>35</v>
      </c>
      <c r="L1922" t="str">
        <f>IF(Table1[[#This Row],[Age]]&lt;30,"20-29",
IF(Table1[[#This Row],[Age]]&lt;40,"30-39",
IF(Table1[[#This Row],[Age]]&lt;50,"40-49",
IF(Table1[[#This Row],[Age]]&lt;60,"50-59","60+"))))</f>
        <v>30-39</v>
      </c>
      <c r="M1922" t="s">
        <v>16</v>
      </c>
      <c r="N1922" t="s">
        <v>33</v>
      </c>
    </row>
    <row r="1923" spans="1:14" x14ac:dyDescent="0.35">
      <c r="A1923">
        <v>2022</v>
      </c>
      <c r="B1923" t="s">
        <v>26</v>
      </c>
      <c r="C1923" s="6">
        <v>45244</v>
      </c>
      <c r="D1923">
        <f>YEAR(Table1[[#This Row],[Join Date]])</f>
        <v>2023</v>
      </c>
      <c r="E1923" s="6">
        <v>45446</v>
      </c>
      <c r="F1923">
        <f>IFERROR(YEAR(Table1[[#This Row],[Exit Date]]), " ")</f>
        <v>2024</v>
      </c>
      <c r="G1923">
        <f>IFERROR((Table1[[#This Row],[Exit Year]]-Table1[[#This Row],[Join Year]])+1," ")</f>
        <v>2</v>
      </c>
      <c r="H1923" t="s">
        <v>40</v>
      </c>
      <c r="I1923" t="s">
        <v>23</v>
      </c>
      <c r="J1923" t="s">
        <v>18</v>
      </c>
      <c r="K1923">
        <v>24</v>
      </c>
      <c r="L1923" t="str">
        <f>IF(Table1[[#This Row],[Age]]&lt;30,"20-29",
IF(Table1[[#This Row],[Age]]&lt;40,"30-39",
IF(Table1[[#This Row],[Age]]&lt;50,"40-49",
IF(Table1[[#This Row],[Age]]&lt;60,"50-59","60+"))))</f>
        <v>20-29</v>
      </c>
      <c r="M1923" t="s">
        <v>13</v>
      </c>
      <c r="N1923" t="s">
        <v>35</v>
      </c>
    </row>
    <row r="1924" spans="1:14" x14ac:dyDescent="0.35">
      <c r="A1924">
        <v>2023</v>
      </c>
      <c r="B1924" t="s">
        <v>15</v>
      </c>
      <c r="C1924" s="6">
        <v>45256</v>
      </c>
      <c r="D1924">
        <f>YEAR(Table1[[#This Row],[Join Date]])</f>
        <v>2023</v>
      </c>
      <c r="E1924" s="6" t="s">
        <v>48</v>
      </c>
      <c r="F1924" t="str">
        <f>IFERROR(YEAR(Table1[[#This Row],[Exit Date]]), " ")</f>
        <v xml:space="preserve"> </v>
      </c>
      <c r="G1924" t="str">
        <f>IFERROR((Table1[[#This Row],[Exit Year]]-Table1[[#This Row],[Join Year]])+1," ")</f>
        <v xml:space="preserve"> </v>
      </c>
      <c r="H1924" t="s">
        <v>48</v>
      </c>
      <c r="I1924" t="s">
        <v>11</v>
      </c>
      <c r="J1924" t="s">
        <v>18</v>
      </c>
      <c r="K1924">
        <v>41</v>
      </c>
      <c r="L1924" t="str">
        <f>IF(Table1[[#This Row],[Age]]&lt;30,"20-29",
IF(Table1[[#This Row],[Age]]&lt;40,"30-39",
IF(Table1[[#This Row],[Age]]&lt;50,"40-49",
IF(Table1[[#This Row],[Age]]&lt;60,"50-59","60+"))))</f>
        <v>40-49</v>
      </c>
      <c r="M1924" t="s">
        <v>20</v>
      </c>
      <c r="N1924" t="s">
        <v>37</v>
      </c>
    </row>
    <row r="1925" spans="1:14" x14ac:dyDescent="0.35">
      <c r="A1925">
        <v>2024</v>
      </c>
      <c r="B1925" t="s">
        <v>26</v>
      </c>
      <c r="C1925" s="6">
        <v>45465</v>
      </c>
      <c r="D1925">
        <f>YEAR(Table1[[#This Row],[Join Date]])</f>
        <v>2024</v>
      </c>
      <c r="E1925" s="6" t="s">
        <v>48</v>
      </c>
      <c r="F1925" t="str">
        <f>IFERROR(YEAR(Table1[[#This Row],[Exit Date]]), " ")</f>
        <v xml:space="preserve"> </v>
      </c>
      <c r="G1925" t="str">
        <f>IFERROR((Table1[[#This Row],[Exit Year]]-Table1[[#This Row],[Join Year]])+1," ")</f>
        <v xml:space="preserve"> </v>
      </c>
      <c r="H1925" t="s">
        <v>48</v>
      </c>
      <c r="I1925" t="s">
        <v>11</v>
      </c>
      <c r="J1925" t="s">
        <v>18</v>
      </c>
      <c r="K1925">
        <v>40</v>
      </c>
      <c r="L1925" t="str">
        <f>IF(Table1[[#This Row],[Age]]&lt;30,"20-29",
IF(Table1[[#This Row],[Age]]&lt;40,"30-39",
IF(Table1[[#This Row],[Age]]&lt;50,"40-49",
IF(Table1[[#This Row],[Age]]&lt;60,"50-59","60+"))))</f>
        <v>40-49</v>
      </c>
      <c r="M1925" t="s">
        <v>39</v>
      </c>
      <c r="N1925" t="s">
        <v>19</v>
      </c>
    </row>
    <row r="1926" spans="1:14" x14ac:dyDescent="0.35">
      <c r="A1926">
        <v>2025</v>
      </c>
      <c r="B1926" t="s">
        <v>10</v>
      </c>
      <c r="C1926" s="6">
        <v>43597</v>
      </c>
      <c r="D1926">
        <f>YEAR(Table1[[#This Row],[Join Date]])</f>
        <v>2019</v>
      </c>
      <c r="E1926" s="6" t="s">
        <v>48</v>
      </c>
      <c r="F1926" t="str">
        <f>IFERROR(YEAR(Table1[[#This Row],[Exit Date]]), " ")</f>
        <v xml:space="preserve"> </v>
      </c>
      <c r="G1926" t="str">
        <f>IFERROR((Table1[[#This Row],[Exit Year]]-Table1[[#This Row],[Join Year]])+1," ")</f>
        <v xml:space="preserve"> </v>
      </c>
      <c r="H1926" t="s">
        <v>48</v>
      </c>
      <c r="I1926" t="s">
        <v>11</v>
      </c>
      <c r="J1926" t="s">
        <v>12</v>
      </c>
      <c r="K1926">
        <v>48</v>
      </c>
      <c r="L1926" t="str">
        <f>IF(Table1[[#This Row],[Age]]&lt;30,"20-29",
IF(Table1[[#This Row],[Age]]&lt;40,"30-39",
IF(Table1[[#This Row],[Age]]&lt;50,"40-49",
IF(Table1[[#This Row],[Age]]&lt;60,"50-59","60+"))))</f>
        <v>40-49</v>
      </c>
      <c r="M1926" t="s">
        <v>13</v>
      </c>
      <c r="N1926" t="s">
        <v>25</v>
      </c>
    </row>
    <row r="1927" spans="1:14" x14ac:dyDescent="0.35">
      <c r="A1927">
        <v>2026</v>
      </c>
      <c r="B1927" t="s">
        <v>15</v>
      </c>
      <c r="C1927" s="6">
        <v>44866</v>
      </c>
      <c r="D1927">
        <f>YEAR(Table1[[#This Row],[Join Date]])</f>
        <v>2022</v>
      </c>
      <c r="E1927" s="6" t="s">
        <v>48</v>
      </c>
      <c r="F1927" t="str">
        <f>IFERROR(YEAR(Table1[[#This Row],[Exit Date]]), " ")</f>
        <v xml:space="preserve"> </v>
      </c>
      <c r="G1927" t="str">
        <f>IFERROR((Table1[[#This Row],[Exit Year]]-Table1[[#This Row],[Join Year]])+1," ")</f>
        <v xml:space="preserve"> </v>
      </c>
      <c r="H1927" t="s">
        <v>48</v>
      </c>
      <c r="I1927" t="s">
        <v>11</v>
      </c>
      <c r="J1927" t="s">
        <v>12</v>
      </c>
      <c r="K1927">
        <v>52</v>
      </c>
      <c r="L1927" t="str">
        <f>IF(Table1[[#This Row],[Age]]&lt;30,"20-29",
IF(Table1[[#This Row],[Age]]&lt;40,"30-39",
IF(Table1[[#This Row],[Age]]&lt;50,"40-49",
IF(Table1[[#This Row],[Age]]&lt;60,"50-59","60+"))))</f>
        <v>50-59</v>
      </c>
      <c r="M1927" t="s">
        <v>16</v>
      </c>
      <c r="N1927" t="s">
        <v>35</v>
      </c>
    </row>
    <row r="1928" spans="1:14" x14ac:dyDescent="0.35">
      <c r="A1928">
        <v>2027</v>
      </c>
      <c r="B1928" t="s">
        <v>34</v>
      </c>
      <c r="C1928" s="6">
        <v>44006</v>
      </c>
      <c r="D1928">
        <f>YEAR(Table1[[#This Row],[Join Date]])</f>
        <v>2020</v>
      </c>
      <c r="E1928" s="6">
        <v>44463</v>
      </c>
      <c r="F1928">
        <f>IFERROR(YEAR(Table1[[#This Row],[Exit Date]]), " ")</f>
        <v>2021</v>
      </c>
      <c r="G1928">
        <f>IFERROR((Table1[[#This Row],[Exit Year]]-Table1[[#This Row],[Join Year]])+1," ")</f>
        <v>2</v>
      </c>
      <c r="H1928" t="s">
        <v>43</v>
      </c>
      <c r="I1928" t="s">
        <v>23</v>
      </c>
      <c r="J1928" t="s">
        <v>18</v>
      </c>
      <c r="K1928">
        <v>33</v>
      </c>
      <c r="L1928" t="str">
        <f>IF(Table1[[#This Row],[Age]]&lt;30,"20-29",
IF(Table1[[#This Row],[Age]]&lt;40,"30-39",
IF(Table1[[#This Row],[Age]]&lt;50,"40-49",
IF(Table1[[#This Row],[Age]]&lt;60,"50-59","60+"))))</f>
        <v>30-39</v>
      </c>
      <c r="M1928" t="s">
        <v>16</v>
      </c>
      <c r="N1928" t="s">
        <v>17</v>
      </c>
    </row>
    <row r="1929" spans="1:14" x14ac:dyDescent="0.35">
      <c r="A1929">
        <v>2028</v>
      </c>
      <c r="B1929" t="s">
        <v>26</v>
      </c>
      <c r="C1929" s="6">
        <v>45095</v>
      </c>
      <c r="D1929">
        <f>YEAR(Table1[[#This Row],[Join Date]])</f>
        <v>2023</v>
      </c>
      <c r="E1929" s="6" t="s">
        <v>48</v>
      </c>
      <c r="F1929" t="str">
        <f>IFERROR(YEAR(Table1[[#This Row],[Exit Date]]), " ")</f>
        <v xml:space="preserve"> </v>
      </c>
      <c r="G1929" t="str">
        <f>IFERROR((Table1[[#This Row],[Exit Year]]-Table1[[#This Row],[Join Year]])+1," ")</f>
        <v xml:space="preserve"> </v>
      </c>
      <c r="H1929" t="s">
        <v>48</v>
      </c>
      <c r="I1929" t="s">
        <v>11</v>
      </c>
      <c r="J1929" t="s">
        <v>18</v>
      </c>
      <c r="K1929">
        <v>51</v>
      </c>
      <c r="L1929" t="str">
        <f>IF(Table1[[#This Row],[Age]]&lt;30,"20-29",
IF(Table1[[#This Row],[Age]]&lt;40,"30-39",
IF(Table1[[#This Row],[Age]]&lt;50,"40-49",
IF(Table1[[#This Row],[Age]]&lt;60,"50-59","60+"))))</f>
        <v>50-59</v>
      </c>
      <c r="M1929" t="s">
        <v>20</v>
      </c>
      <c r="N1929" t="s">
        <v>19</v>
      </c>
    </row>
    <row r="1930" spans="1:14" x14ac:dyDescent="0.35">
      <c r="A1930">
        <v>2029</v>
      </c>
      <c r="B1930" t="s">
        <v>10</v>
      </c>
      <c r="C1930" s="6">
        <v>44360</v>
      </c>
      <c r="D1930">
        <f>YEAR(Table1[[#This Row],[Join Date]])</f>
        <v>2021</v>
      </c>
      <c r="E1930" s="6">
        <v>44755</v>
      </c>
      <c r="F1930">
        <f>IFERROR(YEAR(Table1[[#This Row],[Exit Date]]), " ")</f>
        <v>2022</v>
      </c>
      <c r="G1930">
        <f>IFERROR((Table1[[#This Row],[Exit Year]]-Table1[[#This Row],[Join Year]])+1," ")</f>
        <v>2</v>
      </c>
      <c r="H1930" t="s">
        <v>46</v>
      </c>
      <c r="I1930" t="s">
        <v>23</v>
      </c>
      <c r="J1930" t="s">
        <v>18</v>
      </c>
      <c r="K1930">
        <v>46</v>
      </c>
      <c r="L1930" t="str">
        <f>IF(Table1[[#This Row],[Age]]&lt;30,"20-29",
IF(Table1[[#This Row],[Age]]&lt;40,"30-39",
IF(Table1[[#This Row],[Age]]&lt;50,"40-49",
IF(Table1[[#This Row],[Age]]&lt;60,"50-59","60+"))))</f>
        <v>40-49</v>
      </c>
      <c r="M1930" t="s">
        <v>24</v>
      </c>
      <c r="N1930" t="s">
        <v>21</v>
      </c>
    </row>
    <row r="1931" spans="1:14" x14ac:dyDescent="0.35">
      <c r="A1931">
        <v>2030</v>
      </c>
      <c r="B1931" t="s">
        <v>26</v>
      </c>
      <c r="C1931" s="6">
        <v>43419</v>
      </c>
      <c r="D1931">
        <f>YEAR(Table1[[#This Row],[Join Date]])</f>
        <v>2018</v>
      </c>
      <c r="E1931" s="6">
        <v>44303</v>
      </c>
      <c r="F1931">
        <f>IFERROR(YEAR(Table1[[#This Row],[Exit Date]]), " ")</f>
        <v>2021</v>
      </c>
      <c r="G1931">
        <f>IFERROR((Table1[[#This Row],[Exit Year]]-Table1[[#This Row],[Join Year]])+1," ")</f>
        <v>4</v>
      </c>
      <c r="H1931" t="s">
        <v>22</v>
      </c>
      <c r="I1931" t="s">
        <v>23</v>
      </c>
      <c r="J1931" t="s">
        <v>12</v>
      </c>
      <c r="K1931">
        <v>53</v>
      </c>
      <c r="L1931" t="str">
        <f>IF(Table1[[#This Row],[Age]]&lt;30,"20-29",
IF(Table1[[#This Row],[Age]]&lt;40,"30-39",
IF(Table1[[#This Row],[Age]]&lt;50,"40-49",
IF(Table1[[#This Row],[Age]]&lt;60,"50-59","60+"))))</f>
        <v>50-59</v>
      </c>
      <c r="M1931" t="s">
        <v>13</v>
      </c>
      <c r="N1931" t="s">
        <v>25</v>
      </c>
    </row>
    <row r="1932" spans="1:14" x14ac:dyDescent="0.35">
      <c r="A1932">
        <v>2031</v>
      </c>
      <c r="B1932" t="s">
        <v>36</v>
      </c>
      <c r="C1932" s="6">
        <v>44249</v>
      </c>
      <c r="D1932">
        <f>YEAR(Table1[[#This Row],[Join Date]])</f>
        <v>2021</v>
      </c>
      <c r="E1932" s="6" t="s">
        <v>48</v>
      </c>
      <c r="F1932" t="str">
        <f>IFERROR(YEAR(Table1[[#This Row],[Exit Date]]), " ")</f>
        <v xml:space="preserve"> </v>
      </c>
      <c r="G1932" t="str">
        <f>IFERROR((Table1[[#This Row],[Exit Year]]-Table1[[#This Row],[Join Year]])+1," ")</f>
        <v xml:space="preserve"> </v>
      </c>
      <c r="H1932" t="s">
        <v>48</v>
      </c>
      <c r="I1932" t="s">
        <v>11</v>
      </c>
      <c r="J1932" t="s">
        <v>12</v>
      </c>
      <c r="K1932">
        <v>35</v>
      </c>
      <c r="L1932" t="str">
        <f>IF(Table1[[#This Row],[Age]]&lt;30,"20-29",
IF(Table1[[#This Row],[Age]]&lt;40,"30-39",
IF(Table1[[#This Row],[Age]]&lt;50,"40-49",
IF(Table1[[#This Row],[Age]]&lt;60,"50-59","60+"))))</f>
        <v>30-39</v>
      </c>
      <c r="M1932" t="s">
        <v>30</v>
      </c>
      <c r="N1932" t="s">
        <v>35</v>
      </c>
    </row>
    <row r="1933" spans="1:14" x14ac:dyDescent="0.35">
      <c r="A1933">
        <v>2032</v>
      </c>
      <c r="B1933" t="s">
        <v>10</v>
      </c>
      <c r="C1933" s="6">
        <v>45533</v>
      </c>
      <c r="D1933">
        <f>YEAR(Table1[[#This Row],[Join Date]])</f>
        <v>2024</v>
      </c>
      <c r="E1933" s="6" t="s">
        <v>48</v>
      </c>
      <c r="F1933" t="str">
        <f>IFERROR(YEAR(Table1[[#This Row],[Exit Date]]), " ")</f>
        <v xml:space="preserve"> </v>
      </c>
      <c r="G1933" t="str">
        <f>IFERROR((Table1[[#This Row],[Exit Year]]-Table1[[#This Row],[Join Year]])+1," ")</f>
        <v xml:space="preserve"> </v>
      </c>
      <c r="H1933" t="s">
        <v>48</v>
      </c>
      <c r="I1933" t="s">
        <v>11</v>
      </c>
      <c r="J1933" t="s">
        <v>12</v>
      </c>
      <c r="K1933">
        <v>32</v>
      </c>
      <c r="L1933" t="str">
        <f>IF(Table1[[#This Row],[Age]]&lt;30,"20-29",
IF(Table1[[#This Row],[Age]]&lt;40,"30-39",
IF(Table1[[#This Row],[Age]]&lt;50,"40-49",
IF(Table1[[#This Row],[Age]]&lt;60,"50-59","60+"))))</f>
        <v>30-39</v>
      </c>
      <c r="M1933" t="s">
        <v>13</v>
      </c>
      <c r="N1933" t="s">
        <v>14</v>
      </c>
    </row>
    <row r="1934" spans="1:14" x14ac:dyDescent="0.35">
      <c r="A1934">
        <v>2033</v>
      </c>
      <c r="B1934" t="s">
        <v>36</v>
      </c>
      <c r="C1934" s="6">
        <v>44377</v>
      </c>
      <c r="D1934">
        <f>YEAR(Table1[[#This Row],[Join Date]])</f>
        <v>2021</v>
      </c>
      <c r="E1934" s="6" t="s">
        <v>48</v>
      </c>
      <c r="F1934" t="str">
        <f>IFERROR(YEAR(Table1[[#This Row],[Exit Date]]), " ")</f>
        <v xml:space="preserve"> </v>
      </c>
      <c r="G1934" t="str">
        <f>IFERROR((Table1[[#This Row],[Exit Year]]-Table1[[#This Row],[Join Year]])+1," ")</f>
        <v xml:space="preserve"> </v>
      </c>
      <c r="H1934" t="s">
        <v>48</v>
      </c>
      <c r="I1934" t="s">
        <v>11</v>
      </c>
      <c r="J1934" t="s">
        <v>18</v>
      </c>
      <c r="K1934">
        <v>46</v>
      </c>
      <c r="L1934" t="str">
        <f>IF(Table1[[#This Row],[Age]]&lt;30,"20-29",
IF(Table1[[#This Row],[Age]]&lt;40,"30-39",
IF(Table1[[#This Row],[Age]]&lt;50,"40-49",
IF(Table1[[#This Row],[Age]]&lt;60,"50-59","60+"))))</f>
        <v>40-49</v>
      </c>
      <c r="M1934" t="s">
        <v>13</v>
      </c>
      <c r="N1934" t="s">
        <v>19</v>
      </c>
    </row>
    <row r="1935" spans="1:14" x14ac:dyDescent="0.35">
      <c r="A1935">
        <v>2034</v>
      </c>
      <c r="B1935" t="s">
        <v>10</v>
      </c>
      <c r="C1935" s="6">
        <v>44088</v>
      </c>
      <c r="D1935">
        <f>YEAR(Table1[[#This Row],[Join Date]])</f>
        <v>2020</v>
      </c>
      <c r="E1935" s="6" t="s">
        <v>48</v>
      </c>
      <c r="F1935" t="str">
        <f>IFERROR(YEAR(Table1[[#This Row],[Exit Date]]), " ")</f>
        <v xml:space="preserve"> </v>
      </c>
      <c r="G1935" t="str">
        <f>IFERROR((Table1[[#This Row],[Exit Year]]-Table1[[#This Row],[Join Year]])+1," ")</f>
        <v xml:space="preserve"> </v>
      </c>
      <c r="H1935" t="s">
        <v>48</v>
      </c>
      <c r="I1935" t="s">
        <v>11</v>
      </c>
      <c r="J1935" t="s">
        <v>18</v>
      </c>
      <c r="K1935">
        <v>50</v>
      </c>
      <c r="L1935" t="str">
        <f>IF(Table1[[#This Row],[Age]]&lt;30,"20-29",
IF(Table1[[#This Row],[Age]]&lt;40,"30-39",
IF(Table1[[#This Row],[Age]]&lt;50,"40-49",
IF(Table1[[#This Row],[Age]]&lt;60,"50-59","60+"))))</f>
        <v>50-59</v>
      </c>
      <c r="M1935" t="s">
        <v>16</v>
      </c>
      <c r="N1935" t="s">
        <v>21</v>
      </c>
    </row>
    <row r="1936" spans="1:14" x14ac:dyDescent="0.35">
      <c r="A1936">
        <v>2035</v>
      </c>
      <c r="B1936" t="s">
        <v>26</v>
      </c>
      <c r="C1936" s="6">
        <v>43373</v>
      </c>
      <c r="D1936">
        <f>YEAR(Table1[[#This Row],[Join Date]])</f>
        <v>2018</v>
      </c>
      <c r="E1936" s="6">
        <v>44825</v>
      </c>
      <c r="F1936">
        <f>IFERROR(YEAR(Table1[[#This Row],[Exit Date]]), " ")</f>
        <v>2022</v>
      </c>
      <c r="G1936">
        <f>IFERROR((Table1[[#This Row],[Exit Year]]-Table1[[#This Row],[Join Year]])+1," ")</f>
        <v>5</v>
      </c>
      <c r="H1936" t="s">
        <v>27</v>
      </c>
      <c r="I1936" t="s">
        <v>23</v>
      </c>
      <c r="J1936" t="s">
        <v>12</v>
      </c>
      <c r="K1936">
        <v>64</v>
      </c>
      <c r="L1936" t="str">
        <f>IF(Table1[[#This Row],[Age]]&lt;30,"20-29",
IF(Table1[[#This Row],[Age]]&lt;40,"30-39",
IF(Table1[[#This Row],[Age]]&lt;50,"40-49",
IF(Table1[[#This Row],[Age]]&lt;60,"50-59","60+"))))</f>
        <v>60+</v>
      </c>
      <c r="M1936" t="s">
        <v>13</v>
      </c>
      <c r="N1936" t="s">
        <v>37</v>
      </c>
    </row>
    <row r="1937" spans="1:14" x14ac:dyDescent="0.35">
      <c r="A1937">
        <v>2036</v>
      </c>
      <c r="B1937" t="s">
        <v>26</v>
      </c>
      <c r="C1937" s="6">
        <v>43314</v>
      </c>
      <c r="D1937">
        <f>YEAR(Table1[[#This Row],[Join Date]])</f>
        <v>2018</v>
      </c>
      <c r="E1937" s="6" t="s">
        <v>48</v>
      </c>
      <c r="F1937" t="str">
        <f>IFERROR(YEAR(Table1[[#This Row],[Exit Date]]), " ")</f>
        <v xml:space="preserve"> </v>
      </c>
      <c r="G1937" t="str">
        <f>IFERROR((Table1[[#This Row],[Exit Year]]-Table1[[#This Row],[Join Year]])+1," ")</f>
        <v xml:space="preserve"> </v>
      </c>
      <c r="H1937" t="s">
        <v>48</v>
      </c>
      <c r="I1937" t="s">
        <v>11</v>
      </c>
      <c r="J1937" t="s">
        <v>12</v>
      </c>
      <c r="K1937">
        <v>29</v>
      </c>
      <c r="L1937" t="str">
        <f>IF(Table1[[#This Row],[Age]]&lt;30,"20-29",
IF(Table1[[#This Row],[Age]]&lt;40,"30-39",
IF(Table1[[#This Row],[Age]]&lt;50,"40-49",
IF(Table1[[#This Row],[Age]]&lt;60,"50-59","60+"))))</f>
        <v>20-29</v>
      </c>
      <c r="M1937" t="s">
        <v>20</v>
      </c>
      <c r="N1937" t="s">
        <v>25</v>
      </c>
    </row>
    <row r="1938" spans="1:14" x14ac:dyDescent="0.35">
      <c r="A1938">
        <v>2037</v>
      </c>
      <c r="B1938" t="s">
        <v>26</v>
      </c>
      <c r="C1938" s="6">
        <v>44418</v>
      </c>
      <c r="D1938">
        <f>YEAR(Table1[[#This Row],[Join Date]])</f>
        <v>2021</v>
      </c>
      <c r="E1938" s="6">
        <v>45628</v>
      </c>
      <c r="F1938">
        <f>IFERROR(YEAR(Table1[[#This Row],[Exit Date]]), " ")</f>
        <v>2024</v>
      </c>
      <c r="G1938">
        <f>IFERROR((Table1[[#This Row],[Exit Year]]-Table1[[#This Row],[Join Year]])+1," ")</f>
        <v>4</v>
      </c>
      <c r="H1938" t="s">
        <v>22</v>
      </c>
      <c r="I1938" t="s">
        <v>23</v>
      </c>
      <c r="J1938" t="s">
        <v>12</v>
      </c>
      <c r="K1938">
        <v>27</v>
      </c>
      <c r="L1938" t="str">
        <f>IF(Table1[[#This Row],[Age]]&lt;30,"20-29",
IF(Table1[[#This Row],[Age]]&lt;40,"30-39",
IF(Table1[[#This Row],[Age]]&lt;50,"40-49",
IF(Table1[[#This Row],[Age]]&lt;60,"50-59","60+"))))</f>
        <v>20-29</v>
      </c>
      <c r="M1938" t="s">
        <v>44</v>
      </c>
      <c r="N1938" t="s">
        <v>35</v>
      </c>
    </row>
    <row r="1939" spans="1:14" x14ac:dyDescent="0.35">
      <c r="A1939">
        <v>2038</v>
      </c>
      <c r="B1939" t="s">
        <v>34</v>
      </c>
      <c r="C1939" s="6">
        <v>44324</v>
      </c>
      <c r="D1939">
        <f>YEAR(Table1[[#This Row],[Join Date]])</f>
        <v>2021</v>
      </c>
      <c r="E1939" s="6">
        <v>45076</v>
      </c>
      <c r="F1939">
        <f>IFERROR(YEAR(Table1[[#This Row],[Exit Date]]), " ")</f>
        <v>2023</v>
      </c>
      <c r="G1939">
        <f>IFERROR((Table1[[#This Row],[Exit Year]]-Table1[[#This Row],[Join Year]])+1," ")</f>
        <v>3</v>
      </c>
      <c r="H1939" t="s">
        <v>40</v>
      </c>
      <c r="I1939" t="s">
        <v>23</v>
      </c>
      <c r="J1939" t="s">
        <v>12</v>
      </c>
      <c r="K1939">
        <v>31</v>
      </c>
      <c r="L1939" t="str">
        <f>IF(Table1[[#This Row],[Age]]&lt;30,"20-29",
IF(Table1[[#This Row],[Age]]&lt;40,"30-39",
IF(Table1[[#This Row],[Age]]&lt;50,"40-49",
IF(Table1[[#This Row],[Age]]&lt;60,"50-59","60+"))))</f>
        <v>30-39</v>
      </c>
      <c r="M1939" t="s">
        <v>13</v>
      </c>
      <c r="N1939" t="s">
        <v>14</v>
      </c>
    </row>
    <row r="1940" spans="1:14" x14ac:dyDescent="0.35">
      <c r="A1940">
        <v>2039</v>
      </c>
      <c r="B1940" t="s">
        <v>10</v>
      </c>
      <c r="C1940" s="6">
        <v>43513</v>
      </c>
      <c r="D1940">
        <f>YEAR(Table1[[#This Row],[Join Date]])</f>
        <v>2019</v>
      </c>
      <c r="E1940" s="6">
        <v>44923</v>
      </c>
      <c r="F1940">
        <f>IFERROR(YEAR(Table1[[#This Row],[Exit Date]]), " ")</f>
        <v>2022</v>
      </c>
      <c r="G1940">
        <f>IFERROR((Table1[[#This Row],[Exit Year]]-Table1[[#This Row],[Join Year]])+1," ")</f>
        <v>4</v>
      </c>
      <c r="H1940" t="s">
        <v>38</v>
      </c>
      <c r="I1940" t="s">
        <v>23</v>
      </c>
      <c r="J1940" t="s">
        <v>12</v>
      </c>
      <c r="K1940">
        <v>24</v>
      </c>
      <c r="L1940" t="str">
        <f>IF(Table1[[#This Row],[Age]]&lt;30,"20-29",
IF(Table1[[#This Row],[Age]]&lt;40,"30-39",
IF(Table1[[#This Row],[Age]]&lt;50,"40-49",
IF(Table1[[#This Row],[Age]]&lt;60,"50-59","60+"))))</f>
        <v>20-29</v>
      </c>
      <c r="M1940" t="s">
        <v>16</v>
      </c>
      <c r="N1940" t="s">
        <v>17</v>
      </c>
    </row>
    <row r="1941" spans="1:14" x14ac:dyDescent="0.35">
      <c r="A1941">
        <v>2040</v>
      </c>
      <c r="B1941" t="s">
        <v>36</v>
      </c>
      <c r="C1941" s="6">
        <v>44180</v>
      </c>
      <c r="D1941">
        <f>YEAR(Table1[[#This Row],[Join Date]])</f>
        <v>2020</v>
      </c>
      <c r="E1941" s="6" t="s">
        <v>48</v>
      </c>
      <c r="F1941" t="str">
        <f>IFERROR(YEAR(Table1[[#This Row],[Exit Date]]), " ")</f>
        <v xml:space="preserve"> </v>
      </c>
      <c r="G1941" t="str">
        <f>IFERROR((Table1[[#This Row],[Exit Year]]-Table1[[#This Row],[Join Year]])+1," ")</f>
        <v xml:space="preserve"> </v>
      </c>
      <c r="H1941" t="s">
        <v>48</v>
      </c>
      <c r="I1941" t="s">
        <v>11</v>
      </c>
      <c r="J1941" t="s">
        <v>12</v>
      </c>
      <c r="K1941">
        <v>37</v>
      </c>
      <c r="L1941" t="str">
        <f>IF(Table1[[#This Row],[Age]]&lt;30,"20-29",
IF(Table1[[#This Row],[Age]]&lt;40,"30-39",
IF(Table1[[#This Row],[Age]]&lt;50,"40-49",
IF(Table1[[#This Row],[Age]]&lt;60,"50-59","60+"))))</f>
        <v>30-39</v>
      </c>
      <c r="M1941" t="s">
        <v>16</v>
      </c>
      <c r="N1941" t="s">
        <v>19</v>
      </c>
    </row>
    <row r="1942" spans="1:14" x14ac:dyDescent="0.35">
      <c r="A1942">
        <v>2041</v>
      </c>
      <c r="B1942" t="s">
        <v>34</v>
      </c>
      <c r="C1942" s="6">
        <v>44099</v>
      </c>
      <c r="D1942">
        <f>YEAR(Table1[[#This Row],[Join Date]])</f>
        <v>2020</v>
      </c>
      <c r="E1942" s="6" t="s">
        <v>48</v>
      </c>
      <c r="F1942" t="str">
        <f>IFERROR(YEAR(Table1[[#This Row],[Exit Date]]), " ")</f>
        <v xml:space="preserve"> </v>
      </c>
      <c r="G1942" t="str">
        <f>IFERROR((Table1[[#This Row],[Exit Year]]-Table1[[#This Row],[Join Year]])+1," ")</f>
        <v xml:space="preserve"> </v>
      </c>
      <c r="H1942" t="s">
        <v>48</v>
      </c>
      <c r="I1942" t="s">
        <v>11</v>
      </c>
      <c r="J1942" t="s">
        <v>18</v>
      </c>
      <c r="K1942">
        <v>23</v>
      </c>
      <c r="L1942" t="str">
        <f>IF(Table1[[#This Row],[Age]]&lt;30,"20-29",
IF(Table1[[#This Row],[Age]]&lt;40,"30-39",
IF(Table1[[#This Row],[Age]]&lt;50,"40-49",
IF(Table1[[#This Row],[Age]]&lt;60,"50-59","60+"))))</f>
        <v>20-29</v>
      </c>
      <c r="M1942" t="s">
        <v>20</v>
      </c>
      <c r="N1942" t="s">
        <v>21</v>
      </c>
    </row>
    <row r="1943" spans="1:14" x14ac:dyDescent="0.35">
      <c r="A1943">
        <v>2042</v>
      </c>
      <c r="B1943" t="s">
        <v>34</v>
      </c>
      <c r="C1943" s="6">
        <v>45632</v>
      </c>
      <c r="D1943">
        <f>YEAR(Table1[[#This Row],[Join Date]])</f>
        <v>2024</v>
      </c>
      <c r="E1943" s="6" t="s">
        <v>48</v>
      </c>
      <c r="F1943" t="str">
        <f>IFERROR(YEAR(Table1[[#This Row],[Exit Date]]), " ")</f>
        <v xml:space="preserve"> </v>
      </c>
      <c r="G1943" t="str">
        <f>IFERROR((Table1[[#This Row],[Exit Year]]-Table1[[#This Row],[Join Year]])+1," ")</f>
        <v xml:space="preserve"> </v>
      </c>
      <c r="H1943" t="s">
        <v>48</v>
      </c>
      <c r="I1943" t="s">
        <v>11</v>
      </c>
      <c r="J1943" t="s">
        <v>12</v>
      </c>
      <c r="K1943">
        <v>31</v>
      </c>
      <c r="L1943" t="str">
        <f>IF(Table1[[#This Row],[Age]]&lt;30,"20-29",
IF(Table1[[#This Row],[Age]]&lt;40,"30-39",
IF(Table1[[#This Row],[Age]]&lt;50,"40-49",
IF(Table1[[#This Row],[Age]]&lt;60,"50-59","60+"))))</f>
        <v>30-39</v>
      </c>
      <c r="M1943" t="s">
        <v>24</v>
      </c>
      <c r="N1943" t="s">
        <v>25</v>
      </c>
    </row>
    <row r="1944" spans="1:14" x14ac:dyDescent="0.35">
      <c r="A1944">
        <v>2043</v>
      </c>
      <c r="B1944" t="s">
        <v>36</v>
      </c>
      <c r="C1944" s="6">
        <v>45294</v>
      </c>
      <c r="D1944">
        <f>YEAR(Table1[[#This Row],[Join Date]])</f>
        <v>2024</v>
      </c>
      <c r="E1944" s="6" t="s">
        <v>48</v>
      </c>
      <c r="F1944" t="str">
        <f>IFERROR(YEAR(Table1[[#This Row],[Exit Date]]), " ")</f>
        <v xml:space="preserve"> </v>
      </c>
      <c r="G1944" t="str">
        <f>IFERROR((Table1[[#This Row],[Exit Year]]-Table1[[#This Row],[Join Year]])+1," ")</f>
        <v xml:space="preserve"> </v>
      </c>
      <c r="H1944" t="s">
        <v>48</v>
      </c>
      <c r="I1944" t="s">
        <v>11</v>
      </c>
      <c r="J1944" t="s">
        <v>18</v>
      </c>
      <c r="K1944">
        <v>52</v>
      </c>
      <c r="L1944" t="str">
        <f>IF(Table1[[#This Row],[Age]]&lt;30,"20-29",
IF(Table1[[#This Row],[Age]]&lt;40,"30-39",
IF(Table1[[#This Row],[Age]]&lt;50,"40-49",
IF(Table1[[#This Row],[Age]]&lt;60,"50-59","60+"))))</f>
        <v>50-59</v>
      </c>
      <c r="M1944" t="s">
        <v>13</v>
      </c>
      <c r="N1944" t="s">
        <v>28</v>
      </c>
    </row>
    <row r="1945" spans="1:14" x14ac:dyDescent="0.35">
      <c r="A1945">
        <v>2044</v>
      </c>
      <c r="B1945" t="s">
        <v>26</v>
      </c>
      <c r="C1945" s="6">
        <v>44590</v>
      </c>
      <c r="D1945">
        <f>YEAR(Table1[[#This Row],[Join Date]])</f>
        <v>2022</v>
      </c>
      <c r="E1945" s="6" t="s">
        <v>48</v>
      </c>
      <c r="F1945" t="str">
        <f>IFERROR(YEAR(Table1[[#This Row],[Exit Date]]), " ")</f>
        <v xml:space="preserve"> </v>
      </c>
      <c r="G1945" t="str">
        <f>IFERROR((Table1[[#This Row],[Exit Year]]-Table1[[#This Row],[Join Year]])+1," ")</f>
        <v xml:space="preserve"> </v>
      </c>
      <c r="H1945" t="s">
        <v>48</v>
      </c>
      <c r="I1945" t="s">
        <v>11</v>
      </c>
      <c r="J1945" t="s">
        <v>18</v>
      </c>
      <c r="K1945">
        <v>25</v>
      </c>
      <c r="L1945" t="str">
        <f>IF(Table1[[#This Row],[Age]]&lt;30,"20-29",
IF(Table1[[#This Row],[Age]]&lt;40,"30-39",
IF(Table1[[#This Row],[Age]]&lt;50,"40-49",
IF(Table1[[#This Row],[Age]]&lt;60,"50-59","60+"))))</f>
        <v>20-29</v>
      </c>
      <c r="M1945" t="s">
        <v>30</v>
      </c>
      <c r="N1945" t="s">
        <v>31</v>
      </c>
    </row>
    <row r="1946" spans="1:14" x14ac:dyDescent="0.35">
      <c r="A1946">
        <v>2045</v>
      </c>
      <c r="B1946" t="s">
        <v>15</v>
      </c>
      <c r="C1946" s="6">
        <v>45215</v>
      </c>
      <c r="D1946">
        <f>YEAR(Table1[[#This Row],[Join Date]])</f>
        <v>2023</v>
      </c>
      <c r="E1946" s="6" t="s">
        <v>48</v>
      </c>
      <c r="F1946" t="str">
        <f>IFERROR(YEAR(Table1[[#This Row],[Exit Date]]), " ")</f>
        <v xml:space="preserve"> </v>
      </c>
      <c r="G1946" t="str">
        <f>IFERROR((Table1[[#This Row],[Exit Year]]-Table1[[#This Row],[Join Year]])+1," ")</f>
        <v xml:space="preserve"> </v>
      </c>
      <c r="H1946" t="s">
        <v>48</v>
      </c>
      <c r="I1946" t="s">
        <v>11</v>
      </c>
      <c r="J1946" t="s">
        <v>12</v>
      </c>
      <c r="K1946">
        <v>46</v>
      </c>
      <c r="L1946" t="str">
        <f>IF(Table1[[#This Row],[Age]]&lt;30,"20-29",
IF(Table1[[#This Row],[Age]]&lt;40,"30-39",
IF(Table1[[#This Row],[Age]]&lt;50,"40-49",
IF(Table1[[#This Row],[Age]]&lt;60,"50-59","60+"))))</f>
        <v>40-49</v>
      </c>
      <c r="M1946" t="s">
        <v>13</v>
      </c>
      <c r="N1946" t="s">
        <v>32</v>
      </c>
    </row>
    <row r="1947" spans="1:14" x14ac:dyDescent="0.35">
      <c r="A1947">
        <v>2046</v>
      </c>
      <c r="B1947" t="s">
        <v>15</v>
      </c>
      <c r="C1947" s="6">
        <v>43624</v>
      </c>
      <c r="D1947">
        <f>YEAR(Table1[[#This Row],[Join Date]])</f>
        <v>2019</v>
      </c>
      <c r="E1947" s="6">
        <v>44228</v>
      </c>
      <c r="F1947">
        <f>IFERROR(YEAR(Table1[[#This Row],[Exit Date]]), " ")</f>
        <v>2021</v>
      </c>
      <c r="G1947">
        <f>IFERROR((Table1[[#This Row],[Exit Year]]-Table1[[#This Row],[Join Year]])+1," ")</f>
        <v>3</v>
      </c>
      <c r="H1947" t="s">
        <v>41</v>
      </c>
      <c r="I1947" t="s">
        <v>23</v>
      </c>
      <c r="J1947" t="s">
        <v>18</v>
      </c>
      <c r="K1947">
        <v>24</v>
      </c>
      <c r="L1947" t="str">
        <f>IF(Table1[[#This Row],[Age]]&lt;30,"20-29",
IF(Table1[[#This Row],[Age]]&lt;40,"30-39",
IF(Table1[[#This Row],[Age]]&lt;50,"40-49",
IF(Table1[[#This Row],[Age]]&lt;60,"50-59","60+"))))</f>
        <v>20-29</v>
      </c>
      <c r="M1947" t="s">
        <v>13</v>
      </c>
      <c r="N1947" t="s">
        <v>33</v>
      </c>
    </row>
    <row r="1948" spans="1:14" x14ac:dyDescent="0.35">
      <c r="A1948">
        <v>2047</v>
      </c>
      <c r="B1948" t="s">
        <v>15</v>
      </c>
      <c r="C1948" s="6">
        <v>44514</v>
      </c>
      <c r="D1948">
        <f>YEAR(Table1[[#This Row],[Join Date]])</f>
        <v>2021</v>
      </c>
      <c r="E1948" s="6">
        <v>45529</v>
      </c>
      <c r="F1948">
        <f>IFERROR(YEAR(Table1[[#This Row],[Exit Date]]), " ")</f>
        <v>2024</v>
      </c>
      <c r="G1948">
        <f>IFERROR((Table1[[#This Row],[Exit Year]]-Table1[[#This Row],[Join Year]])+1," ")</f>
        <v>4</v>
      </c>
      <c r="H1948" t="s">
        <v>41</v>
      </c>
      <c r="I1948" t="s">
        <v>23</v>
      </c>
      <c r="J1948" t="s">
        <v>12</v>
      </c>
      <c r="K1948">
        <v>38</v>
      </c>
      <c r="L1948" t="str">
        <f>IF(Table1[[#This Row],[Age]]&lt;30,"20-29",
IF(Table1[[#This Row],[Age]]&lt;40,"30-39",
IF(Table1[[#This Row],[Age]]&lt;50,"40-49",
IF(Table1[[#This Row],[Age]]&lt;60,"50-59","60+"))))</f>
        <v>30-39</v>
      </c>
      <c r="M1948" t="s">
        <v>16</v>
      </c>
      <c r="N1948" t="s">
        <v>35</v>
      </c>
    </row>
    <row r="1949" spans="1:14" x14ac:dyDescent="0.35">
      <c r="A1949">
        <v>2048</v>
      </c>
      <c r="B1949" t="s">
        <v>29</v>
      </c>
      <c r="C1949" s="6">
        <v>43700</v>
      </c>
      <c r="D1949">
        <f>YEAR(Table1[[#This Row],[Join Date]])</f>
        <v>2019</v>
      </c>
      <c r="E1949" s="6" t="s">
        <v>48</v>
      </c>
      <c r="F1949" t="str">
        <f>IFERROR(YEAR(Table1[[#This Row],[Exit Date]]), " ")</f>
        <v xml:space="preserve"> </v>
      </c>
      <c r="G1949" t="str">
        <f>IFERROR((Table1[[#This Row],[Exit Year]]-Table1[[#This Row],[Join Year]])+1," ")</f>
        <v xml:space="preserve"> </v>
      </c>
      <c r="H1949" t="s">
        <v>48</v>
      </c>
      <c r="I1949" t="s">
        <v>11</v>
      </c>
      <c r="J1949" t="s">
        <v>12</v>
      </c>
      <c r="K1949">
        <v>49</v>
      </c>
      <c r="L1949" t="str">
        <f>IF(Table1[[#This Row],[Age]]&lt;30,"20-29",
IF(Table1[[#This Row],[Age]]&lt;40,"30-39",
IF(Table1[[#This Row],[Age]]&lt;50,"40-49",
IF(Table1[[#This Row],[Age]]&lt;60,"50-59","60+"))))</f>
        <v>40-49</v>
      </c>
      <c r="M1949" t="s">
        <v>13</v>
      </c>
      <c r="N1949" t="s">
        <v>37</v>
      </c>
    </row>
    <row r="1950" spans="1:14" x14ac:dyDescent="0.35">
      <c r="A1950">
        <v>2049</v>
      </c>
      <c r="B1950" t="s">
        <v>34</v>
      </c>
      <c r="C1950" s="6">
        <v>45540</v>
      </c>
      <c r="D1950">
        <f>YEAR(Table1[[#This Row],[Join Date]])</f>
        <v>2024</v>
      </c>
      <c r="E1950" s="6" t="s">
        <v>48</v>
      </c>
      <c r="F1950" t="str">
        <f>IFERROR(YEAR(Table1[[#This Row],[Exit Date]]), " ")</f>
        <v xml:space="preserve"> </v>
      </c>
      <c r="G1950" t="str">
        <f>IFERROR((Table1[[#This Row],[Exit Year]]-Table1[[#This Row],[Join Year]])+1," ")</f>
        <v xml:space="preserve"> </v>
      </c>
      <c r="H1950" t="s">
        <v>48</v>
      </c>
      <c r="I1950" t="s">
        <v>11</v>
      </c>
      <c r="J1950" t="s">
        <v>18</v>
      </c>
      <c r="K1950">
        <v>31</v>
      </c>
      <c r="L1950" t="str">
        <f>IF(Table1[[#This Row],[Age]]&lt;30,"20-29",
IF(Table1[[#This Row],[Age]]&lt;40,"30-39",
IF(Table1[[#This Row],[Age]]&lt;50,"40-49",
IF(Table1[[#This Row],[Age]]&lt;60,"50-59","60+"))))</f>
        <v>30-39</v>
      </c>
      <c r="M1950" t="s">
        <v>20</v>
      </c>
      <c r="N1950" t="s">
        <v>19</v>
      </c>
    </row>
    <row r="1951" spans="1:14" x14ac:dyDescent="0.35">
      <c r="A1951">
        <v>2050</v>
      </c>
      <c r="B1951" t="s">
        <v>10</v>
      </c>
      <c r="C1951" s="6">
        <v>43297</v>
      </c>
      <c r="D1951">
        <f>YEAR(Table1[[#This Row],[Join Date]])</f>
        <v>2018</v>
      </c>
      <c r="E1951" s="6">
        <v>44682</v>
      </c>
      <c r="F1951">
        <f>IFERROR(YEAR(Table1[[#This Row],[Exit Date]]), " ")</f>
        <v>2022</v>
      </c>
      <c r="G1951">
        <f>IFERROR((Table1[[#This Row],[Exit Year]]-Table1[[#This Row],[Join Year]])+1," ")</f>
        <v>5</v>
      </c>
      <c r="H1951" t="s">
        <v>40</v>
      </c>
      <c r="I1951" t="s">
        <v>23</v>
      </c>
      <c r="J1951" t="s">
        <v>12</v>
      </c>
      <c r="K1951">
        <v>51</v>
      </c>
      <c r="L1951" t="str">
        <f>IF(Table1[[#This Row],[Age]]&lt;30,"20-29",
IF(Table1[[#This Row],[Age]]&lt;40,"30-39",
IF(Table1[[#This Row],[Age]]&lt;50,"40-49",
IF(Table1[[#This Row],[Age]]&lt;60,"50-59","60+"))))</f>
        <v>50-59</v>
      </c>
      <c r="M1951" t="s">
        <v>39</v>
      </c>
      <c r="N1951" t="s">
        <v>25</v>
      </c>
    </row>
    <row r="1952" spans="1:14" x14ac:dyDescent="0.35">
      <c r="A1952">
        <v>2051</v>
      </c>
      <c r="B1952" t="s">
        <v>10</v>
      </c>
      <c r="C1952" s="6">
        <v>43407</v>
      </c>
      <c r="D1952">
        <f>YEAR(Table1[[#This Row],[Join Date]])</f>
        <v>2018</v>
      </c>
      <c r="E1952" s="6" t="s">
        <v>48</v>
      </c>
      <c r="F1952" t="str">
        <f>IFERROR(YEAR(Table1[[#This Row],[Exit Date]]), " ")</f>
        <v xml:space="preserve"> </v>
      </c>
      <c r="G1952" t="str">
        <f>IFERROR((Table1[[#This Row],[Exit Year]]-Table1[[#This Row],[Join Year]])+1," ")</f>
        <v xml:space="preserve"> </v>
      </c>
      <c r="H1952" t="s">
        <v>48</v>
      </c>
      <c r="I1952" t="s">
        <v>11</v>
      </c>
      <c r="J1952" t="s">
        <v>18</v>
      </c>
      <c r="K1952">
        <v>27</v>
      </c>
      <c r="L1952" t="str">
        <f>IF(Table1[[#This Row],[Age]]&lt;30,"20-29",
IF(Table1[[#This Row],[Age]]&lt;40,"30-39",
IF(Table1[[#This Row],[Age]]&lt;50,"40-49",
IF(Table1[[#This Row],[Age]]&lt;60,"50-59","60+"))))</f>
        <v>20-29</v>
      </c>
      <c r="M1952" t="s">
        <v>13</v>
      </c>
      <c r="N1952" t="s">
        <v>35</v>
      </c>
    </row>
    <row r="1953" spans="1:14" x14ac:dyDescent="0.35">
      <c r="A1953">
        <v>2052</v>
      </c>
      <c r="B1953" t="s">
        <v>15</v>
      </c>
      <c r="C1953" s="6">
        <v>44121</v>
      </c>
      <c r="D1953">
        <f>YEAR(Table1[[#This Row],[Join Date]])</f>
        <v>2020</v>
      </c>
      <c r="E1953" s="6" t="s">
        <v>48</v>
      </c>
      <c r="F1953" t="str">
        <f>IFERROR(YEAR(Table1[[#This Row],[Exit Date]]), " ")</f>
        <v xml:space="preserve"> </v>
      </c>
      <c r="G1953" t="str">
        <f>IFERROR((Table1[[#This Row],[Exit Year]]-Table1[[#This Row],[Join Year]])+1," ")</f>
        <v xml:space="preserve"> </v>
      </c>
      <c r="H1953" t="s">
        <v>48</v>
      </c>
      <c r="I1953" t="s">
        <v>11</v>
      </c>
      <c r="J1953" t="s">
        <v>18</v>
      </c>
      <c r="K1953">
        <v>22</v>
      </c>
      <c r="L1953" t="str">
        <f>IF(Table1[[#This Row],[Age]]&lt;30,"20-29",
IF(Table1[[#This Row],[Age]]&lt;40,"30-39",
IF(Table1[[#This Row],[Age]]&lt;50,"40-49",
IF(Table1[[#This Row],[Age]]&lt;60,"50-59","60+"))))</f>
        <v>20-29</v>
      </c>
      <c r="M1953" t="s">
        <v>16</v>
      </c>
      <c r="N1953" t="s">
        <v>17</v>
      </c>
    </row>
    <row r="1954" spans="1:14" x14ac:dyDescent="0.35">
      <c r="A1954">
        <v>2053</v>
      </c>
      <c r="B1954" t="s">
        <v>15</v>
      </c>
      <c r="C1954" s="6">
        <v>44423</v>
      </c>
      <c r="D1954">
        <f>YEAR(Table1[[#This Row],[Join Date]])</f>
        <v>2021</v>
      </c>
      <c r="E1954" s="6" t="s">
        <v>48</v>
      </c>
      <c r="F1954" t="str">
        <f>IFERROR(YEAR(Table1[[#This Row],[Exit Date]]), " ")</f>
        <v xml:space="preserve"> </v>
      </c>
      <c r="G1954" t="str">
        <f>IFERROR((Table1[[#This Row],[Exit Year]]-Table1[[#This Row],[Join Year]])+1," ")</f>
        <v xml:space="preserve"> </v>
      </c>
      <c r="H1954" t="s">
        <v>48</v>
      </c>
      <c r="I1954" t="s">
        <v>11</v>
      </c>
      <c r="J1954" t="s">
        <v>12</v>
      </c>
      <c r="K1954">
        <v>50</v>
      </c>
      <c r="L1954" t="str">
        <f>IF(Table1[[#This Row],[Age]]&lt;30,"20-29",
IF(Table1[[#This Row],[Age]]&lt;40,"30-39",
IF(Table1[[#This Row],[Age]]&lt;50,"40-49",
IF(Table1[[#This Row],[Age]]&lt;60,"50-59","60+"))))</f>
        <v>50-59</v>
      </c>
      <c r="M1954" t="s">
        <v>16</v>
      </c>
      <c r="N1954" t="s">
        <v>19</v>
      </c>
    </row>
    <row r="1955" spans="1:14" x14ac:dyDescent="0.35">
      <c r="A1955">
        <v>2054</v>
      </c>
      <c r="B1955" t="s">
        <v>15</v>
      </c>
      <c r="C1955" s="6">
        <v>45087</v>
      </c>
      <c r="D1955">
        <f>YEAR(Table1[[#This Row],[Join Date]])</f>
        <v>2023</v>
      </c>
      <c r="E1955" s="6" t="s">
        <v>48</v>
      </c>
      <c r="F1955" t="str">
        <f>IFERROR(YEAR(Table1[[#This Row],[Exit Date]]), " ")</f>
        <v xml:space="preserve"> </v>
      </c>
      <c r="G1955" t="str">
        <f>IFERROR((Table1[[#This Row],[Exit Year]]-Table1[[#This Row],[Join Year]])+1," ")</f>
        <v xml:space="preserve"> </v>
      </c>
      <c r="H1955" t="s">
        <v>48</v>
      </c>
      <c r="I1955" t="s">
        <v>11</v>
      </c>
      <c r="J1955" t="s">
        <v>12</v>
      </c>
      <c r="K1955">
        <v>24</v>
      </c>
      <c r="L1955" t="str">
        <f>IF(Table1[[#This Row],[Age]]&lt;30,"20-29",
IF(Table1[[#This Row],[Age]]&lt;40,"30-39",
IF(Table1[[#This Row],[Age]]&lt;50,"40-49",
IF(Table1[[#This Row],[Age]]&lt;60,"50-59","60+"))))</f>
        <v>20-29</v>
      </c>
      <c r="M1955" t="s">
        <v>20</v>
      </c>
      <c r="N1955" t="s">
        <v>21</v>
      </c>
    </row>
    <row r="1956" spans="1:14" x14ac:dyDescent="0.35">
      <c r="A1956">
        <v>2055</v>
      </c>
      <c r="B1956" t="s">
        <v>15</v>
      </c>
      <c r="C1956" s="6">
        <v>43479</v>
      </c>
      <c r="D1956">
        <f>YEAR(Table1[[#This Row],[Join Date]])</f>
        <v>2019</v>
      </c>
      <c r="E1956" s="6">
        <v>44449</v>
      </c>
      <c r="F1956">
        <f>IFERROR(YEAR(Table1[[#This Row],[Exit Date]]), " ")</f>
        <v>2021</v>
      </c>
      <c r="G1956">
        <f>IFERROR((Table1[[#This Row],[Exit Year]]-Table1[[#This Row],[Join Year]])+1," ")</f>
        <v>3</v>
      </c>
      <c r="H1956" t="s">
        <v>22</v>
      </c>
      <c r="I1956" t="s">
        <v>23</v>
      </c>
      <c r="J1956" t="s">
        <v>12</v>
      </c>
      <c r="K1956">
        <v>50</v>
      </c>
      <c r="L1956" t="str">
        <f>IF(Table1[[#This Row],[Age]]&lt;30,"20-29",
IF(Table1[[#This Row],[Age]]&lt;40,"30-39",
IF(Table1[[#This Row],[Age]]&lt;50,"40-49",
IF(Table1[[#This Row],[Age]]&lt;60,"50-59","60+"))))</f>
        <v>50-59</v>
      </c>
      <c r="M1956" t="s">
        <v>24</v>
      </c>
      <c r="N1956" t="s">
        <v>25</v>
      </c>
    </row>
    <row r="1957" spans="1:14" x14ac:dyDescent="0.35">
      <c r="A1957">
        <v>2056</v>
      </c>
      <c r="B1957" t="s">
        <v>26</v>
      </c>
      <c r="C1957" s="6">
        <v>44749</v>
      </c>
      <c r="D1957">
        <f>YEAR(Table1[[#This Row],[Join Date]])</f>
        <v>2022</v>
      </c>
      <c r="E1957" s="6">
        <v>44972</v>
      </c>
      <c r="F1957">
        <f>IFERROR(YEAR(Table1[[#This Row],[Exit Date]]), " ")</f>
        <v>2023</v>
      </c>
      <c r="G1957">
        <f>IFERROR((Table1[[#This Row],[Exit Year]]-Table1[[#This Row],[Join Year]])+1," ")</f>
        <v>2</v>
      </c>
      <c r="H1957" t="s">
        <v>46</v>
      </c>
      <c r="I1957" t="s">
        <v>23</v>
      </c>
      <c r="J1957" t="s">
        <v>12</v>
      </c>
      <c r="K1957">
        <v>28</v>
      </c>
      <c r="L1957" t="str">
        <f>IF(Table1[[#This Row],[Age]]&lt;30,"20-29",
IF(Table1[[#This Row],[Age]]&lt;40,"30-39",
IF(Table1[[#This Row],[Age]]&lt;50,"40-49",
IF(Table1[[#This Row],[Age]]&lt;60,"50-59","60+"))))</f>
        <v>20-29</v>
      </c>
      <c r="M1957" t="s">
        <v>13</v>
      </c>
      <c r="N1957" t="s">
        <v>35</v>
      </c>
    </row>
    <row r="1958" spans="1:14" x14ac:dyDescent="0.35">
      <c r="A1958">
        <v>2057</v>
      </c>
      <c r="B1958" t="s">
        <v>29</v>
      </c>
      <c r="C1958" s="6">
        <v>45457</v>
      </c>
      <c r="D1958">
        <f>YEAR(Table1[[#This Row],[Join Date]])</f>
        <v>2024</v>
      </c>
      <c r="E1958" s="6" t="s">
        <v>48</v>
      </c>
      <c r="F1958" t="str">
        <f>IFERROR(YEAR(Table1[[#This Row],[Exit Date]]), " ")</f>
        <v xml:space="preserve"> </v>
      </c>
      <c r="G1958" t="str">
        <f>IFERROR((Table1[[#This Row],[Exit Year]]-Table1[[#This Row],[Join Year]])+1," ")</f>
        <v xml:space="preserve"> </v>
      </c>
      <c r="H1958" t="s">
        <v>48</v>
      </c>
      <c r="I1958" t="s">
        <v>11</v>
      </c>
      <c r="J1958" t="s">
        <v>12</v>
      </c>
      <c r="K1958">
        <v>40</v>
      </c>
      <c r="L1958" t="str">
        <f>IF(Table1[[#This Row],[Age]]&lt;30,"20-29",
IF(Table1[[#This Row],[Age]]&lt;40,"30-39",
IF(Table1[[#This Row],[Age]]&lt;50,"40-49",
IF(Table1[[#This Row],[Age]]&lt;60,"50-59","60+"))))</f>
        <v>40-49</v>
      </c>
      <c r="M1958" t="s">
        <v>30</v>
      </c>
      <c r="N1958" t="s">
        <v>14</v>
      </c>
    </row>
    <row r="1959" spans="1:14" x14ac:dyDescent="0.35">
      <c r="A1959">
        <v>2058</v>
      </c>
      <c r="B1959" t="s">
        <v>10</v>
      </c>
      <c r="C1959" s="6">
        <v>43304</v>
      </c>
      <c r="D1959">
        <f>YEAR(Table1[[#This Row],[Join Date]])</f>
        <v>2018</v>
      </c>
      <c r="E1959" s="6" t="s">
        <v>48</v>
      </c>
      <c r="F1959" t="str">
        <f>IFERROR(YEAR(Table1[[#This Row],[Exit Date]]), " ")</f>
        <v xml:space="preserve"> </v>
      </c>
      <c r="G1959" t="str">
        <f>IFERROR((Table1[[#This Row],[Exit Year]]-Table1[[#This Row],[Join Year]])+1," ")</f>
        <v xml:space="preserve"> </v>
      </c>
      <c r="H1959" t="s">
        <v>48</v>
      </c>
      <c r="I1959" t="s">
        <v>11</v>
      </c>
      <c r="J1959" t="s">
        <v>18</v>
      </c>
      <c r="K1959">
        <v>32</v>
      </c>
      <c r="L1959" t="str">
        <f>IF(Table1[[#This Row],[Age]]&lt;30,"20-29",
IF(Table1[[#This Row],[Age]]&lt;40,"30-39",
IF(Table1[[#This Row],[Age]]&lt;50,"40-49",
IF(Table1[[#This Row],[Age]]&lt;60,"50-59","60+"))))</f>
        <v>30-39</v>
      </c>
      <c r="M1959" t="s">
        <v>13</v>
      </c>
      <c r="N1959" t="s">
        <v>19</v>
      </c>
    </row>
    <row r="1960" spans="1:14" x14ac:dyDescent="0.35">
      <c r="A1960">
        <v>2059</v>
      </c>
      <c r="B1960" t="s">
        <v>15</v>
      </c>
      <c r="C1960" s="6">
        <v>44987</v>
      </c>
      <c r="D1960">
        <f>YEAR(Table1[[#This Row],[Join Date]])</f>
        <v>2023</v>
      </c>
      <c r="E1960" s="6" t="s">
        <v>48</v>
      </c>
      <c r="F1960" t="str">
        <f>IFERROR(YEAR(Table1[[#This Row],[Exit Date]]), " ")</f>
        <v xml:space="preserve"> </v>
      </c>
      <c r="G1960" t="str">
        <f>IFERROR((Table1[[#This Row],[Exit Year]]-Table1[[#This Row],[Join Year]])+1," ")</f>
        <v xml:space="preserve"> </v>
      </c>
      <c r="H1960" t="s">
        <v>48</v>
      </c>
      <c r="I1960" t="s">
        <v>11</v>
      </c>
      <c r="J1960" t="s">
        <v>18</v>
      </c>
      <c r="K1960">
        <v>50</v>
      </c>
      <c r="L1960" t="str">
        <f>IF(Table1[[#This Row],[Age]]&lt;30,"20-29",
IF(Table1[[#This Row],[Age]]&lt;40,"30-39",
IF(Table1[[#This Row],[Age]]&lt;50,"40-49",
IF(Table1[[#This Row],[Age]]&lt;60,"50-59","60+"))))</f>
        <v>50-59</v>
      </c>
      <c r="M1960" t="s">
        <v>13</v>
      </c>
      <c r="N1960" t="s">
        <v>21</v>
      </c>
    </row>
    <row r="1961" spans="1:14" x14ac:dyDescent="0.35">
      <c r="A1961">
        <v>2060</v>
      </c>
      <c r="B1961" t="s">
        <v>34</v>
      </c>
      <c r="C1961" s="6">
        <v>45326</v>
      </c>
      <c r="D1961">
        <f>YEAR(Table1[[#This Row],[Join Date]])</f>
        <v>2024</v>
      </c>
      <c r="E1961" s="6" t="s">
        <v>48</v>
      </c>
      <c r="F1961" t="str">
        <f>IFERROR(YEAR(Table1[[#This Row],[Exit Date]]), " ")</f>
        <v xml:space="preserve"> </v>
      </c>
      <c r="G1961" t="str">
        <f>IFERROR((Table1[[#This Row],[Exit Year]]-Table1[[#This Row],[Join Year]])+1," ")</f>
        <v xml:space="preserve"> </v>
      </c>
      <c r="H1961" t="s">
        <v>48</v>
      </c>
      <c r="I1961" t="s">
        <v>11</v>
      </c>
      <c r="J1961" t="s">
        <v>18</v>
      </c>
      <c r="K1961">
        <v>24</v>
      </c>
      <c r="L1961" t="str">
        <f>IF(Table1[[#This Row],[Age]]&lt;30,"20-29",
IF(Table1[[#This Row],[Age]]&lt;40,"30-39",
IF(Table1[[#This Row],[Age]]&lt;50,"40-49",
IF(Table1[[#This Row],[Age]]&lt;60,"50-59","60+"))))</f>
        <v>20-29</v>
      </c>
      <c r="M1961" t="s">
        <v>16</v>
      </c>
      <c r="N1961" t="s">
        <v>37</v>
      </c>
    </row>
    <row r="1962" spans="1:14" x14ac:dyDescent="0.35">
      <c r="A1962">
        <v>2061</v>
      </c>
      <c r="B1962" t="s">
        <v>36</v>
      </c>
      <c r="C1962" s="6">
        <v>45474</v>
      </c>
      <c r="D1962">
        <f>YEAR(Table1[[#This Row],[Join Date]])</f>
        <v>2024</v>
      </c>
      <c r="E1962" s="6" t="s">
        <v>48</v>
      </c>
      <c r="F1962" t="str">
        <f>IFERROR(YEAR(Table1[[#This Row],[Exit Date]]), " ")</f>
        <v xml:space="preserve"> </v>
      </c>
      <c r="G1962" t="str">
        <f>IFERROR((Table1[[#This Row],[Exit Year]]-Table1[[#This Row],[Join Year]])+1," ")</f>
        <v xml:space="preserve"> </v>
      </c>
      <c r="H1962" t="s">
        <v>48</v>
      </c>
      <c r="I1962" t="s">
        <v>11</v>
      </c>
      <c r="J1962" t="s">
        <v>18</v>
      </c>
      <c r="K1962">
        <v>36</v>
      </c>
      <c r="L1962" t="str">
        <f>IF(Table1[[#This Row],[Age]]&lt;30,"20-29",
IF(Table1[[#This Row],[Age]]&lt;40,"30-39",
IF(Table1[[#This Row],[Age]]&lt;50,"40-49",
IF(Table1[[#This Row],[Age]]&lt;60,"50-59","60+"))))</f>
        <v>30-39</v>
      </c>
      <c r="M1962" t="s">
        <v>13</v>
      </c>
      <c r="N1962" t="s">
        <v>25</v>
      </c>
    </row>
    <row r="1963" spans="1:14" x14ac:dyDescent="0.35">
      <c r="A1963">
        <v>2062</v>
      </c>
      <c r="B1963" t="s">
        <v>29</v>
      </c>
      <c r="C1963" s="6">
        <v>44227</v>
      </c>
      <c r="D1963">
        <f>YEAR(Table1[[#This Row],[Join Date]])</f>
        <v>2021</v>
      </c>
      <c r="E1963" s="6">
        <v>45322</v>
      </c>
      <c r="F1963">
        <f>IFERROR(YEAR(Table1[[#This Row],[Exit Date]]), " ")</f>
        <v>2024</v>
      </c>
      <c r="G1963">
        <f>IFERROR((Table1[[#This Row],[Exit Year]]-Table1[[#This Row],[Join Year]])+1," ")</f>
        <v>4</v>
      </c>
      <c r="H1963" t="s">
        <v>46</v>
      </c>
      <c r="I1963" t="s">
        <v>23</v>
      </c>
      <c r="J1963" t="s">
        <v>18</v>
      </c>
      <c r="K1963">
        <v>49</v>
      </c>
      <c r="L1963" t="str">
        <f>IF(Table1[[#This Row],[Age]]&lt;30,"20-29",
IF(Table1[[#This Row],[Age]]&lt;40,"30-39",
IF(Table1[[#This Row],[Age]]&lt;50,"40-49",
IF(Table1[[#This Row],[Age]]&lt;60,"50-59","60+"))))</f>
        <v>40-49</v>
      </c>
      <c r="M1963" t="s">
        <v>20</v>
      </c>
      <c r="N1963" t="s">
        <v>35</v>
      </c>
    </row>
    <row r="1964" spans="1:14" x14ac:dyDescent="0.35">
      <c r="A1964">
        <v>2063</v>
      </c>
      <c r="B1964" t="s">
        <v>10</v>
      </c>
      <c r="C1964" s="6">
        <v>43446</v>
      </c>
      <c r="D1964">
        <f>YEAR(Table1[[#This Row],[Join Date]])</f>
        <v>2018</v>
      </c>
      <c r="E1964" s="6">
        <v>43936</v>
      </c>
      <c r="F1964">
        <f>IFERROR(YEAR(Table1[[#This Row],[Exit Date]]), " ")</f>
        <v>2020</v>
      </c>
      <c r="G1964">
        <f>IFERROR((Table1[[#This Row],[Exit Year]]-Table1[[#This Row],[Join Year]])+1," ")</f>
        <v>3</v>
      </c>
      <c r="H1964" t="s">
        <v>38</v>
      </c>
      <c r="I1964" t="s">
        <v>23</v>
      </c>
      <c r="J1964" t="s">
        <v>12</v>
      </c>
      <c r="K1964">
        <v>43</v>
      </c>
      <c r="L1964" t="str">
        <f>IF(Table1[[#This Row],[Age]]&lt;30,"20-29",
IF(Table1[[#This Row],[Age]]&lt;40,"30-39",
IF(Table1[[#This Row],[Age]]&lt;50,"40-49",
IF(Table1[[#This Row],[Age]]&lt;60,"50-59","60+"))))</f>
        <v>40-49</v>
      </c>
      <c r="M1964" t="s">
        <v>39</v>
      </c>
      <c r="N1964" t="s">
        <v>19</v>
      </c>
    </row>
    <row r="1965" spans="1:14" x14ac:dyDescent="0.35">
      <c r="A1965">
        <v>2064</v>
      </c>
      <c r="B1965" t="s">
        <v>15</v>
      </c>
      <c r="C1965" s="6">
        <v>45314</v>
      </c>
      <c r="D1965">
        <f>YEAR(Table1[[#This Row],[Join Date]])</f>
        <v>2024</v>
      </c>
      <c r="E1965" s="6" t="s">
        <v>48</v>
      </c>
      <c r="F1965" t="str">
        <f>IFERROR(YEAR(Table1[[#This Row],[Exit Date]]), " ")</f>
        <v xml:space="preserve"> </v>
      </c>
      <c r="G1965" t="str">
        <f>IFERROR((Table1[[#This Row],[Exit Year]]-Table1[[#This Row],[Join Year]])+1," ")</f>
        <v xml:space="preserve"> </v>
      </c>
      <c r="H1965" t="s">
        <v>48</v>
      </c>
      <c r="I1965" t="s">
        <v>11</v>
      </c>
      <c r="J1965" t="s">
        <v>18</v>
      </c>
      <c r="K1965">
        <v>40</v>
      </c>
      <c r="L1965" t="str">
        <f>IF(Table1[[#This Row],[Age]]&lt;30,"20-29",
IF(Table1[[#This Row],[Age]]&lt;40,"30-39",
IF(Table1[[#This Row],[Age]]&lt;50,"40-49",
IF(Table1[[#This Row],[Age]]&lt;60,"50-59","60+"))))</f>
        <v>40-49</v>
      </c>
      <c r="M1965" t="s">
        <v>13</v>
      </c>
      <c r="N1965" t="s">
        <v>21</v>
      </c>
    </row>
    <row r="1966" spans="1:14" x14ac:dyDescent="0.35">
      <c r="A1966">
        <v>2065</v>
      </c>
      <c r="B1966" t="s">
        <v>15</v>
      </c>
      <c r="C1966" s="6">
        <v>43123</v>
      </c>
      <c r="D1966">
        <f>YEAR(Table1[[#This Row],[Join Date]])</f>
        <v>2018</v>
      </c>
      <c r="E1966" s="6" t="s">
        <v>48</v>
      </c>
      <c r="F1966" t="str">
        <f>IFERROR(YEAR(Table1[[#This Row],[Exit Date]]), " ")</f>
        <v xml:space="preserve"> </v>
      </c>
      <c r="G1966" t="str">
        <f>IFERROR((Table1[[#This Row],[Exit Year]]-Table1[[#This Row],[Join Year]])+1," ")</f>
        <v xml:space="preserve"> </v>
      </c>
      <c r="H1966" t="s">
        <v>48</v>
      </c>
      <c r="I1966" t="s">
        <v>11</v>
      </c>
      <c r="J1966" t="s">
        <v>18</v>
      </c>
      <c r="K1966">
        <v>42</v>
      </c>
      <c r="L1966" t="str">
        <f>IF(Table1[[#This Row],[Age]]&lt;30,"20-29",
IF(Table1[[#This Row],[Age]]&lt;40,"30-39",
IF(Table1[[#This Row],[Age]]&lt;50,"40-49",
IF(Table1[[#This Row],[Age]]&lt;60,"50-59","60+"))))</f>
        <v>40-49</v>
      </c>
      <c r="M1966" t="s">
        <v>16</v>
      </c>
      <c r="N1966" t="s">
        <v>25</v>
      </c>
    </row>
    <row r="1967" spans="1:14" x14ac:dyDescent="0.35">
      <c r="A1967">
        <v>2066</v>
      </c>
      <c r="B1967" t="s">
        <v>10</v>
      </c>
      <c r="C1967" s="6">
        <v>43717</v>
      </c>
      <c r="D1967">
        <f>YEAR(Table1[[#This Row],[Join Date]])</f>
        <v>2019</v>
      </c>
      <c r="E1967" s="6">
        <v>44677</v>
      </c>
      <c r="F1967">
        <f>IFERROR(YEAR(Table1[[#This Row],[Exit Date]]), " ")</f>
        <v>2022</v>
      </c>
      <c r="G1967">
        <f>IFERROR((Table1[[#This Row],[Exit Year]]-Table1[[#This Row],[Join Year]])+1," ")</f>
        <v>4</v>
      </c>
      <c r="H1967" t="s">
        <v>40</v>
      </c>
      <c r="I1967" t="s">
        <v>23</v>
      </c>
      <c r="J1967" t="s">
        <v>18</v>
      </c>
      <c r="K1967">
        <v>35</v>
      </c>
      <c r="L1967" t="str">
        <f>IF(Table1[[#This Row],[Age]]&lt;30,"20-29",
IF(Table1[[#This Row],[Age]]&lt;40,"30-39",
IF(Table1[[#This Row],[Age]]&lt;50,"40-49",
IF(Table1[[#This Row],[Age]]&lt;60,"50-59","60+"))))</f>
        <v>30-39</v>
      </c>
      <c r="M1967" t="s">
        <v>16</v>
      </c>
      <c r="N1967" t="s">
        <v>28</v>
      </c>
    </row>
    <row r="1968" spans="1:14" x14ac:dyDescent="0.35">
      <c r="A1968">
        <v>2067</v>
      </c>
      <c r="B1968" t="s">
        <v>29</v>
      </c>
      <c r="C1968" s="6">
        <v>43534</v>
      </c>
      <c r="D1968">
        <f>YEAR(Table1[[#This Row],[Join Date]])</f>
        <v>2019</v>
      </c>
      <c r="E1968" s="6">
        <v>44117</v>
      </c>
      <c r="F1968">
        <f>IFERROR(YEAR(Table1[[#This Row],[Exit Date]]), " ")</f>
        <v>2020</v>
      </c>
      <c r="G1968">
        <f>IFERROR((Table1[[#This Row],[Exit Year]]-Table1[[#This Row],[Join Year]])+1," ")</f>
        <v>2</v>
      </c>
      <c r="H1968" t="s">
        <v>46</v>
      </c>
      <c r="I1968" t="s">
        <v>23</v>
      </c>
      <c r="J1968" t="s">
        <v>12</v>
      </c>
      <c r="K1968">
        <v>31</v>
      </c>
      <c r="L1968" t="str">
        <f>IF(Table1[[#This Row],[Age]]&lt;30,"20-29",
IF(Table1[[#This Row],[Age]]&lt;40,"30-39",
IF(Table1[[#This Row],[Age]]&lt;50,"40-49",
IF(Table1[[#This Row],[Age]]&lt;60,"50-59","60+"))))</f>
        <v>30-39</v>
      </c>
      <c r="M1968" t="s">
        <v>20</v>
      </c>
      <c r="N1968" t="s">
        <v>31</v>
      </c>
    </row>
    <row r="1969" spans="1:14" x14ac:dyDescent="0.35">
      <c r="A1969">
        <v>2068</v>
      </c>
      <c r="B1969" t="s">
        <v>36</v>
      </c>
      <c r="C1969" s="6">
        <v>44619</v>
      </c>
      <c r="D1969">
        <f>YEAR(Table1[[#This Row],[Join Date]])</f>
        <v>2022</v>
      </c>
      <c r="E1969" s="6" t="s">
        <v>48</v>
      </c>
      <c r="F1969" t="str">
        <f>IFERROR(YEAR(Table1[[#This Row],[Exit Date]]), " ")</f>
        <v xml:space="preserve"> </v>
      </c>
      <c r="G1969" t="str">
        <f>IFERROR((Table1[[#This Row],[Exit Year]]-Table1[[#This Row],[Join Year]])+1," ")</f>
        <v xml:space="preserve"> </v>
      </c>
      <c r="H1969" t="s">
        <v>48</v>
      </c>
      <c r="I1969" t="s">
        <v>11</v>
      </c>
      <c r="J1969" t="s">
        <v>12</v>
      </c>
      <c r="K1969">
        <v>51</v>
      </c>
      <c r="L1969" t="str">
        <f>IF(Table1[[#This Row],[Age]]&lt;30,"20-29",
IF(Table1[[#This Row],[Age]]&lt;40,"30-39",
IF(Table1[[#This Row],[Age]]&lt;50,"40-49",
IF(Table1[[#This Row],[Age]]&lt;60,"50-59","60+"))))</f>
        <v>50-59</v>
      </c>
      <c r="M1969" t="s">
        <v>24</v>
      </c>
      <c r="N1969" t="s">
        <v>32</v>
      </c>
    </row>
    <row r="1970" spans="1:14" x14ac:dyDescent="0.35">
      <c r="A1970">
        <v>2069</v>
      </c>
      <c r="B1970" t="s">
        <v>10</v>
      </c>
      <c r="C1970" s="6">
        <v>45485</v>
      </c>
      <c r="D1970">
        <f>YEAR(Table1[[#This Row],[Join Date]])</f>
        <v>2024</v>
      </c>
      <c r="E1970" s="6" t="s">
        <v>48</v>
      </c>
      <c r="F1970" t="str">
        <f>IFERROR(YEAR(Table1[[#This Row],[Exit Date]]), " ")</f>
        <v xml:space="preserve"> </v>
      </c>
      <c r="G1970" t="str">
        <f>IFERROR((Table1[[#This Row],[Exit Year]]-Table1[[#This Row],[Join Year]])+1," ")</f>
        <v xml:space="preserve"> </v>
      </c>
      <c r="H1970" t="s">
        <v>48</v>
      </c>
      <c r="I1970" t="s">
        <v>11</v>
      </c>
      <c r="J1970" t="s">
        <v>18</v>
      </c>
      <c r="K1970">
        <v>48</v>
      </c>
      <c r="L1970" t="str">
        <f>IF(Table1[[#This Row],[Age]]&lt;30,"20-29",
IF(Table1[[#This Row],[Age]]&lt;40,"30-39",
IF(Table1[[#This Row],[Age]]&lt;50,"40-49",
IF(Table1[[#This Row],[Age]]&lt;60,"50-59","60+"))))</f>
        <v>40-49</v>
      </c>
      <c r="M1970" t="s">
        <v>13</v>
      </c>
      <c r="N1970" t="s">
        <v>33</v>
      </c>
    </row>
    <row r="1971" spans="1:14" x14ac:dyDescent="0.35">
      <c r="A1971">
        <v>2070</v>
      </c>
      <c r="B1971" t="s">
        <v>29</v>
      </c>
      <c r="C1971" s="6">
        <v>43588</v>
      </c>
      <c r="D1971">
        <f>YEAR(Table1[[#This Row],[Join Date]])</f>
        <v>2019</v>
      </c>
      <c r="E1971" s="6">
        <v>44896</v>
      </c>
      <c r="F1971">
        <f>IFERROR(YEAR(Table1[[#This Row],[Exit Date]]), " ")</f>
        <v>2022</v>
      </c>
      <c r="G1971">
        <f>IFERROR((Table1[[#This Row],[Exit Year]]-Table1[[#This Row],[Join Year]])+1," ")</f>
        <v>4</v>
      </c>
      <c r="H1971" t="s">
        <v>41</v>
      </c>
      <c r="I1971" t="s">
        <v>23</v>
      </c>
      <c r="J1971" t="s">
        <v>12</v>
      </c>
      <c r="K1971">
        <v>41</v>
      </c>
      <c r="L1971" t="str">
        <f>IF(Table1[[#This Row],[Age]]&lt;30,"20-29",
IF(Table1[[#This Row],[Age]]&lt;40,"30-39",
IF(Table1[[#This Row],[Age]]&lt;50,"40-49",
IF(Table1[[#This Row],[Age]]&lt;60,"50-59","60+"))))</f>
        <v>40-49</v>
      </c>
      <c r="M1971" t="s">
        <v>42</v>
      </c>
      <c r="N1971" t="s">
        <v>35</v>
      </c>
    </row>
    <row r="1972" spans="1:14" x14ac:dyDescent="0.35">
      <c r="A1972">
        <v>2071</v>
      </c>
      <c r="B1972" t="s">
        <v>36</v>
      </c>
      <c r="C1972" s="6">
        <v>44250</v>
      </c>
      <c r="D1972">
        <f>YEAR(Table1[[#This Row],[Join Date]])</f>
        <v>2021</v>
      </c>
      <c r="E1972" s="6">
        <v>45392</v>
      </c>
      <c r="F1972">
        <f>IFERROR(YEAR(Table1[[#This Row],[Exit Date]]), " ")</f>
        <v>2024</v>
      </c>
      <c r="G1972">
        <f>IFERROR((Table1[[#This Row],[Exit Year]]-Table1[[#This Row],[Join Year]])+1," ")</f>
        <v>4</v>
      </c>
      <c r="H1972" t="s">
        <v>46</v>
      </c>
      <c r="I1972" t="s">
        <v>23</v>
      </c>
      <c r="J1972" t="s">
        <v>12</v>
      </c>
      <c r="K1972">
        <v>35</v>
      </c>
      <c r="L1972" t="str">
        <f>IF(Table1[[#This Row],[Age]]&lt;30,"20-29",
IF(Table1[[#This Row],[Age]]&lt;40,"30-39",
IF(Table1[[#This Row],[Age]]&lt;50,"40-49",
IF(Table1[[#This Row],[Age]]&lt;60,"50-59","60+"))))</f>
        <v>30-39</v>
      </c>
      <c r="M1972" t="s">
        <v>13</v>
      </c>
      <c r="N1972" t="s">
        <v>37</v>
      </c>
    </row>
    <row r="1973" spans="1:14" x14ac:dyDescent="0.35">
      <c r="A1973">
        <v>2072</v>
      </c>
      <c r="B1973" t="s">
        <v>26</v>
      </c>
      <c r="C1973" s="6">
        <v>45244</v>
      </c>
      <c r="D1973">
        <f>YEAR(Table1[[#This Row],[Join Date]])</f>
        <v>2023</v>
      </c>
      <c r="E1973" s="6">
        <v>45446</v>
      </c>
      <c r="F1973">
        <f>IFERROR(YEAR(Table1[[#This Row],[Exit Date]]), " ")</f>
        <v>2024</v>
      </c>
      <c r="G1973">
        <f>IFERROR((Table1[[#This Row],[Exit Year]]-Table1[[#This Row],[Join Year]])+1," ")</f>
        <v>2</v>
      </c>
      <c r="H1973" t="s">
        <v>40</v>
      </c>
      <c r="I1973" t="s">
        <v>23</v>
      </c>
      <c r="J1973" t="s">
        <v>18</v>
      </c>
      <c r="K1973">
        <v>24</v>
      </c>
      <c r="L1973" t="str">
        <f>IF(Table1[[#This Row],[Age]]&lt;30,"20-29",
IF(Table1[[#This Row],[Age]]&lt;40,"30-39",
IF(Table1[[#This Row],[Age]]&lt;50,"40-49",
IF(Table1[[#This Row],[Age]]&lt;60,"50-59","60+"))))</f>
        <v>20-29</v>
      </c>
      <c r="M1973" t="s">
        <v>13</v>
      </c>
      <c r="N1973" t="s">
        <v>19</v>
      </c>
    </row>
    <row r="1974" spans="1:14" x14ac:dyDescent="0.35">
      <c r="A1974">
        <v>2073</v>
      </c>
      <c r="B1974" t="s">
        <v>15</v>
      </c>
      <c r="C1974" s="6">
        <v>45256</v>
      </c>
      <c r="D1974">
        <f>YEAR(Table1[[#This Row],[Join Date]])</f>
        <v>2023</v>
      </c>
      <c r="E1974" s="6" t="s">
        <v>48</v>
      </c>
      <c r="F1974" t="str">
        <f>IFERROR(YEAR(Table1[[#This Row],[Exit Date]]), " ")</f>
        <v xml:space="preserve"> </v>
      </c>
      <c r="G1974" t="str">
        <f>IFERROR((Table1[[#This Row],[Exit Year]]-Table1[[#This Row],[Join Year]])+1," ")</f>
        <v xml:space="preserve"> </v>
      </c>
      <c r="H1974" t="s">
        <v>48</v>
      </c>
      <c r="I1974" t="s">
        <v>11</v>
      </c>
      <c r="J1974" t="s">
        <v>12</v>
      </c>
      <c r="K1974">
        <v>41</v>
      </c>
      <c r="L1974" t="str">
        <f>IF(Table1[[#This Row],[Age]]&lt;30,"20-29",
IF(Table1[[#This Row],[Age]]&lt;40,"30-39",
IF(Table1[[#This Row],[Age]]&lt;50,"40-49",
IF(Table1[[#This Row],[Age]]&lt;60,"50-59","60+"))))</f>
        <v>40-49</v>
      </c>
      <c r="M1974" t="s">
        <v>16</v>
      </c>
      <c r="N1974" t="s">
        <v>25</v>
      </c>
    </row>
    <row r="1975" spans="1:14" x14ac:dyDescent="0.35">
      <c r="A1975">
        <v>2074</v>
      </c>
      <c r="B1975" t="s">
        <v>26</v>
      </c>
      <c r="C1975" s="6">
        <v>45465</v>
      </c>
      <c r="D1975">
        <f>YEAR(Table1[[#This Row],[Join Date]])</f>
        <v>2024</v>
      </c>
      <c r="E1975" s="6" t="s">
        <v>48</v>
      </c>
      <c r="F1975" t="str">
        <f>IFERROR(YEAR(Table1[[#This Row],[Exit Date]]), " ")</f>
        <v xml:space="preserve"> </v>
      </c>
      <c r="G1975" t="str">
        <f>IFERROR((Table1[[#This Row],[Exit Year]]-Table1[[#This Row],[Join Year]])+1," ")</f>
        <v xml:space="preserve"> </v>
      </c>
      <c r="H1975" t="s">
        <v>48</v>
      </c>
      <c r="I1975" t="s">
        <v>11</v>
      </c>
      <c r="J1975" t="s">
        <v>12</v>
      </c>
      <c r="K1975">
        <v>40</v>
      </c>
      <c r="L1975" t="str">
        <f>IF(Table1[[#This Row],[Age]]&lt;30,"20-29",
IF(Table1[[#This Row],[Age]]&lt;40,"30-39",
IF(Table1[[#This Row],[Age]]&lt;50,"40-49",
IF(Table1[[#This Row],[Age]]&lt;60,"50-59","60+"))))</f>
        <v>40-49</v>
      </c>
      <c r="M1975" t="s">
        <v>13</v>
      </c>
      <c r="N1975" t="s">
        <v>35</v>
      </c>
    </row>
    <row r="1976" spans="1:14" x14ac:dyDescent="0.35">
      <c r="A1976">
        <v>2075</v>
      </c>
      <c r="B1976" t="s">
        <v>10</v>
      </c>
      <c r="C1976" s="6">
        <v>43597</v>
      </c>
      <c r="D1976">
        <f>YEAR(Table1[[#This Row],[Join Date]])</f>
        <v>2019</v>
      </c>
      <c r="E1976" s="6" t="s">
        <v>48</v>
      </c>
      <c r="F1976" t="str">
        <f>IFERROR(YEAR(Table1[[#This Row],[Exit Date]]), " ")</f>
        <v xml:space="preserve"> </v>
      </c>
      <c r="G1976" t="str">
        <f>IFERROR((Table1[[#This Row],[Exit Year]]-Table1[[#This Row],[Join Year]])+1," ")</f>
        <v xml:space="preserve"> </v>
      </c>
      <c r="H1976" t="s">
        <v>48</v>
      </c>
      <c r="I1976" t="s">
        <v>11</v>
      </c>
      <c r="J1976" t="s">
        <v>12</v>
      </c>
      <c r="K1976">
        <v>48</v>
      </c>
      <c r="L1976" t="str">
        <f>IF(Table1[[#This Row],[Age]]&lt;30,"20-29",
IF(Table1[[#This Row],[Age]]&lt;40,"30-39",
IF(Table1[[#This Row],[Age]]&lt;50,"40-49",
IF(Table1[[#This Row],[Age]]&lt;60,"50-59","60+"))))</f>
        <v>40-49</v>
      </c>
      <c r="M1976" t="s">
        <v>20</v>
      </c>
      <c r="N1976" t="s">
        <v>17</v>
      </c>
    </row>
    <row r="1977" spans="1:14" x14ac:dyDescent="0.35">
      <c r="A1977">
        <v>2076</v>
      </c>
      <c r="B1977" t="s">
        <v>15</v>
      </c>
      <c r="C1977" s="6">
        <v>44866</v>
      </c>
      <c r="D1977">
        <f>YEAR(Table1[[#This Row],[Join Date]])</f>
        <v>2022</v>
      </c>
      <c r="E1977" s="6" t="s">
        <v>48</v>
      </c>
      <c r="F1977" t="str">
        <f>IFERROR(YEAR(Table1[[#This Row],[Exit Date]]), " ")</f>
        <v xml:space="preserve"> </v>
      </c>
      <c r="G1977" t="str">
        <f>IFERROR((Table1[[#This Row],[Exit Year]]-Table1[[#This Row],[Join Year]])+1," ")</f>
        <v xml:space="preserve"> </v>
      </c>
      <c r="H1977" t="s">
        <v>48</v>
      </c>
      <c r="I1977" t="s">
        <v>11</v>
      </c>
      <c r="J1977" t="s">
        <v>18</v>
      </c>
      <c r="K1977">
        <v>52</v>
      </c>
      <c r="L1977" t="str">
        <f>IF(Table1[[#This Row],[Age]]&lt;30,"20-29",
IF(Table1[[#This Row],[Age]]&lt;40,"30-39",
IF(Table1[[#This Row],[Age]]&lt;50,"40-49",
IF(Table1[[#This Row],[Age]]&lt;60,"50-59","60+"))))</f>
        <v>50-59</v>
      </c>
      <c r="M1977" t="s">
        <v>39</v>
      </c>
      <c r="N1977" t="s">
        <v>19</v>
      </c>
    </row>
    <row r="1978" spans="1:14" x14ac:dyDescent="0.35">
      <c r="A1978">
        <v>2077</v>
      </c>
      <c r="B1978" t="s">
        <v>34</v>
      </c>
      <c r="C1978" s="6">
        <v>44006</v>
      </c>
      <c r="D1978">
        <f>YEAR(Table1[[#This Row],[Join Date]])</f>
        <v>2020</v>
      </c>
      <c r="E1978" s="6">
        <v>44463</v>
      </c>
      <c r="F1978">
        <f>IFERROR(YEAR(Table1[[#This Row],[Exit Date]]), " ")</f>
        <v>2021</v>
      </c>
      <c r="G1978">
        <f>IFERROR((Table1[[#This Row],[Exit Year]]-Table1[[#This Row],[Join Year]])+1," ")</f>
        <v>2</v>
      </c>
      <c r="H1978" t="s">
        <v>46</v>
      </c>
      <c r="I1978" t="s">
        <v>23</v>
      </c>
      <c r="J1978" t="s">
        <v>12</v>
      </c>
      <c r="K1978">
        <v>33</v>
      </c>
      <c r="L1978" t="str">
        <f>IF(Table1[[#This Row],[Age]]&lt;30,"20-29",
IF(Table1[[#This Row],[Age]]&lt;40,"30-39",
IF(Table1[[#This Row],[Age]]&lt;50,"40-49",
IF(Table1[[#This Row],[Age]]&lt;60,"50-59","60+"))))</f>
        <v>30-39</v>
      </c>
      <c r="M1978" t="s">
        <v>13</v>
      </c>
      <c r="N1978" t="s">
        <v>21</v>
      </c>
    </row>
    <row r="1979" spans="1:14" x14ac:dyDescent="0.35">
      <c r="A1979">
        <v>2078</v>
      </c>
      <c r="B1979" t="s">
        <v>26</v>
      </c>
      <c r="C1979" s="6">
        <v>45095</v>
      </c>
      <c r="D1979">
        <f>YEAR(Table1[[#This Row],[Join Date]])</f>
        <v>2023</v>
      </c>
      <c r="E1979" s="6" t="s">
        <v>48</v>
      </c>
      <c r="F1979" t="str">
        <f>IFERROR(YEAR(Table1[[#This Row],[Exit Date]]), " ")</f>
        <v xml:space="preserve"> </v>
      </c>
      <c r="G1979" t="str">
        <f>IFERROR((Table1[[#This Row],[Exit Year]]-Table1[[#This Row],[Join Year]])+1," ")</f>
        <v xml:space="preserve"> </v>
      </c>
      <c r="H1979" t="s">
        <v>48</v>
      </c>
      <c r="I1979" t="s">
        <v>11</v>
      </c>
      <c r="J1979" t="s">
        <v>18</v>
      </c>
      <c r="K1979">
        <v>51</v>
      </c>
      <c r="L1979" t="str">
        <f>IF(Table1[[#This Row],[Age]]&lt;30,"20-29",
IF(Table1[[#This Row],[Age]]&lt;40,"30-39",
IF(Table1[[#This Row],[Age]]&lt;50,"40-49",
IF(Table1[[#This Row],[Age]]&lt;60,"50-59","60+"))))</f>
        <v>50-59</v>
      </c>
      <c r="M1979" t="s">
        <v>16</v>
      </c>
      <c r="N1979" t="s">
        <v>25</v>
      </c>
    </row>
    <row r="1980" spans="1:14" x14ac:dyDescent="0.35">
      <c r="A1980">
        <v>2079</v>
      </c>
      <c r="B1980" t="s">
        <v>10</v>
      </c>
      <c r="C1980" s="6">
        <v>44360</v>
      </c>
      <c r="D1980">
        <f>YEAR(Table1[[#This Row],[Join Date]])</f>
        <v>2021</v>
      </c>
      <c r="E1980" s="6">
        <v>44755</v>
      </c>
      <c r="F1980">
        <f>IFERROR(YEAR(Table1[[#This Row],[Exit Date]]), " ")</f>
        <v>2022</v>
      </c>
      <c r="G1980">
        <f>IFERROR((Table1[[#This Row],[Exit Year]]-Table1[[#This Row],[Join Year]])+1," ")</f>
        <v>2</v>
      </c>
      <c r="H1980" t="s">
        <v>38</v>
      </c>
      <c r="I1980" t="s">
        <v>23</v>
      </c>
      <c r="J1980" t="s">
        <v>18</v>
      </c>
      <c r="K1980">
        <v>46</v>
      </c>
      <c r="L1980" t="str">
        <f>IF(Table1[[#This Row],[Age]]&lt;30,"20-29",
IF(Table1[[#This Row],[Age]]&lt;40,"30-39",
IF(Table1[[#This Row],[Age]]&lt;50,"40-49",
IF(Table1[[#This Row],[Age]]&lt;60,"50-59","60+"))))</f>
        <v>40-49</v>
      </c>
      <c r="M1980" t="s">
        <v>16</v>
      </c>
      <c r="N1980" t="s">
        <v>35</v>
      </c>
    </row>
    <row r="1981" spans="1:14" x14ac:dyDescent="0.35">
      <c r="A1981">
        <v>2080</v>
      </c>
      <c r="B1981" t="s">
        <v>26</v>
      </c>
      <c r="C1981" s="6">
        <v>43419</v>
      </c>
      <c r="D1981">
        <f>YEAR(Table1[[#This Row],[Join Date]])</f>
        <v>2018</v>
      </c>
      <c r="E1981" s="6">
        <v>44303</v>
      </c>
      <c r="F1981">
        <f>IFERROR(YEAR(Table1[[#This Row],[Exit Date]]), " ")</f>
        <v>2021</v>
      </c>
      <c r="G1981">
        <f>IFERROR((Table1[[#This Row],[Exit Year]]-Table1[[#This Row],[Join Year]])+1," ")</f>
        <v>4</v>
      </c>
      <c r="H1981" t="s">
        <v>22</v>
      </c>
      <c r="I1981" t="s">
        <v>23</v>
      </c>
      <c r="J1981" t="s">
        <v>18</v>
      </c>
      <c r="K1981">
        <v>53</v>
      </c>
      <c r="L1981" t="str">
        <f>IF(Table1[[#This Row],[Age]]&lt;30,"20-29",
IF(Table1[[#This Row],[Age]]&lt;40,"30-39",
IF(Table1[[#This Row],[Age]]&lt;50,"40-49",
IF(Table1[[#This Row],[Age]]&lt;60,"50-59","60+"))))</f>
        <v>50-59</v>
      </c>
      <c r="M1981" t="s">
        <v>20</v>
      </c>
      <c r="N1981" t="s">
        <v>14</v>
      </c>
    </row>
    <row r="1982" spans="1:14" x14ac:dyDescent="0.35">
      <c r="A1982">
        <v>2081</v>
      </c>
      <c r="B1982" t="s">
        <v>36</v>
      </c>
      <c r="C1982" s="6">
        <v>44249</v>
      </c>
      <c r="D1982">
        <f>YEAR(Table1[[#This Row],[Join Date]])</f>
        <v>2021</v>
      </c>
      <c r="E1982" s="6" t="s">
        <v>48</v>
      </c>
      <c r="F1982" t="str">
        <f>IFERROR(YEAR(Table1[[#This Row],[Exit Date]]), " ")</f>
        <v xml:space="preserve"> </v>
      </c>
      <c r="G1982" t="str">
        <f>IFERROR((Table1[[#This Row],[Exit Year]]-Table1[[#This Row],[Join Year]])+1," ")</f>
        <v xml:space="preserve"> </v>
      </c>
      <c r="H1982" t="s">
        <v>48</v>
      </c>
      <c r="I1982" t="s">
        <v>11</v>
      </c>
      <c r="J1982" t="s">
        <v>12</v>
      </c>
      <c r="K1982">
        <v>35</v>
      </c>
      <c r="L1982" t="str">
        <f>IF(Table1[[#This Row],[Age]]&lt;30,"20-29",
IF(Table1[[#This Row],[Age]]&lt;40,"30-39",
IF(Table1[[#This Row],[Age]]&lt;50,"40-49",
IF(Table1[[#This Row],[Age]]&lt;60,"50-59","60+"))))</f>
        <v>30-39</v>
      </c>
      <c r="M1982" t="s">
        <v>24</v>
      </c>
      <c r="N1982" t="s">
        <v>19</v>
      </c>
    </row>
    <row r="1983" spans="1:14" x14ac:dyDescent="0.35">
      <c r="A1983">
        <v>2082</v>
      </c>
      <c r="B1983" t="s">
        <v>10</v>
      </c>
      <c r="C1983" s="6">
        <v>45533</v>
      </c>
      <c r="D1983">
        <f>YEAR(Table1[[#This Row],[Join Date]])</f>
        <v>2024</v>
      </c>
      <c r="E1983" s="6" t="s">
        <v>48</v>
      </c>
      <c r="F1983" t="str">
        <f>IFERROR(YEAR(Table1[[#This Row],[Exit Date]]), " ")</f>
        <v xml:space="preserve"> </v>
      </c>
      <c r="G1983" t="str">
        <f>IFERROR((Table1[[#This Row],[Exit Year]]-Table1[[#This Row],[Join Year]])+1," ")</f>
        <v xml:space="preserve"> </v>
      </c>
      <c r="H1983" t="s">
        <v>48</v>
      </c>
      <c r="I1983" t="s">
        <v>11</v>
      </c>
      <c r="J1983" t="s">
        <v>12</v>
      </c>
      <c r="K1983">
        <v>32</v>
      </c>
      <c r="L1983" t="str">
        <f>IF(Table1[[#This Row],[Age]]&lt;30,"20-29",
IF(Table1[[#This Row],[Age]]&lt;40,"30-39",
IF(Table1[[#This Row],[Age]]&lt;50,"40-49",
IF(Table1[[#This Row],[Age]]&lt;60,"50-59","60+"))))</f>
        <v>30-39</v>
      </c>
      <c r="M1983" t="s">
        <v>13</v>
      </c>
      <c r="N1983" t="s">
        <v>21</v>
      </c>
    </row>
    <row r="1984" spans="1:14" x14ac:dyDescent="0.35">
      <c r="A1984">
        <v>2083</v>
      </c>
      <c r="B1984" t="s">
        <v>36</v>
      </c>
      <c r="C1984" s="6">
        <v>44377</v>
      </c>
      <c r="D1984">
        <f>YEAR(Table1[[#This Row],[Join Date]])</f>
        <v>2021</v>
      </c>
      <c r="E1984" s="6" t="s">
        <v>48</v>
      </c>
      <c r="F1984" t="str">
        <f>IFERROR(YEAR(Table1[[#This Row],[Exit Date]]), " ")</f>
        <v xml:space="preserve"> </v>
      </c>
      <c r="G1984" t="str">
        <f>IFERROR((Table1[[#This Row],[Exit Year]]-Table1[[#This Row],[Join Year]])+1," ")</f>
        <v xml:space="preserve"> </v>
      </c>
      <c r="H1984" t="s">
        <v>48</v>
      </c>
      <c r="I1984" t="s">
        <v>11</v>
      </c>
      <c r="J1984" t="s">
        <v>18</v>
      </c>
      <c r="K1984">
        <v>46</v>
      </c>
      <c r="L1984" t="str">
        <f>IF(Table1[[#This Row],[Age]]&lt;30,"20-29",
IF(Table1[[#This Row],[Age]]&lt;40,"30-39",
IF(Table1[[#This Row],[Age]]&lt;50,"40-49",
IF(Table1[[#This Row],[Age]]&lt;60,"50-59","60+"))))</f>
        <v>40-49</v>
      </c>
      <c r="M1984" t="s">
        <v>42</v>
      </c>
      <c r="N1984" t="s">
        <v>37</v>
      </c>
    </row>
    <row r="1985" spans="1:14" x14ac:dyDescent="0.35">
      <c r="A1985">
        <v>2084</v>
      </c>
      <c r="B1985" t="s">
        <v>10</v>
      </c>
      <c r="C1985" s="6">
        <v>44088</v>
      </c>
      <c r="D1985">
        <f>YEAR(Table1[[#This Row],[Join Date]])</f>
        <v>2020</v>
      </c>
      <c r="E1985" s="6" t="s">
        <v>48</v>
      </c>
      <c r="F1985" t="str">
        <f>IFERROR(YEAR(Table1[[#This Row],[Exit Date]]), " ")</f>
        <v xml:space="preserve"> </v>
      </c>
      <c r="G1985" t="str">
        <f>IFERROR((Table1[[#This Row],[Exit Year]]-Table1[[#This Row],[Join Year]])+1," ")</f>
        <v xml:space="preserve"> </v>
      </c>
      <c r="H1985" t="s">
        <v>48</v>
      </c>
      <c r="I1985" t="s">
        <v>11</v>
      </c>
      <c r="J1985" t="s">
        <v>18</v>
      </c>
      <c r="K1985">
        <v>50</v>
      </c>
      <c r="L1985" t="str">
        <f>IF(Table1[[#This Row],[Age]]&lt;30,"20-29",
IF(Table1[[#This Row],[Age]]&lt;40,"30-39",
IF(Table1[[#This Row],[Age]]&lt;50,"40-49",
IF(Table1[[#This Row],[Age]]&lt;60,"50-59","60+"))))</f>
        <v>50-59</v>
      </c>
      <c r="M1985" t="s">
        <v>13</v>
      </c>
      <c r="N1985" t="s">
        <v>25</v>
      </c>
    </row>
    <row r="1986" spans="1:14" x14ac:dyDescent="0.35">
      <c r="A1986">
        <v>2085</v>
      </c>
      <c r="B1986" t="s">
        <v>26</v>
      </c>
      <c r="C1986" s="6">
        <v>43373</v>
      </c>
      <c r="D1986">
        <f>YEAR(Table1[[#This Row],[Join Date]])</f>
        <v>2018</v>
      </c>
      <c r="E1986" s="6">
        <v>44825</v>
      </c>
      <c r="F1986">
        <f>IFERROR(YEAR(Table1[[#This Row],[Exit Date]]), " ")</f>
        <v>2022</v>
      </c>
      <c r="G1986">
        <f>IFERROR((Table1[[#This Row],[Exit Year]]-Table1[[#This Row],[Join Year]])+1," ")</f>
        <v>5</v>
      </c>
      <c r="H1986" t="s">
        <v>27</v>
      </c>
      <c r="I1986" t="s">
        <v>23</v>
      </c>
      <c r="J1986" t="s">
        <v>12</v>
      </c>
      <c r="K1986">
        <v>63</v>
      </c>
      <c r="L1986" t="str">
        <f>IF(Table1[[#This Row],[Age]]&lt;30,"20-29",
IF(Table1[[#This Row],[Age]]&lt;40,"30-39",
IF(Table1[[#This Row],[Age]]&lt;50,"40-49",
IF(Table1[[#This Row],[Age]]&lt;60,"50-59","60+"))))</f>
        <v>60+</v>
      </c>
      <c r="M1986" t="s">
        <v>13</v>
      </c>
      <c r="N1986" t="s">
        <v>35</v>
      </c>
    </row>
    <row r="1987" spans="1:14" x14ac:dyDescent="0.35">
      <c r="A1987">
        <v>2086</v>
      </c>
      <c r="B1987" t="s">
        <v>26</v>
      </c>
      <c r="C1987" s="6">
        <v>43314</v>
      </c>
      <c r="D1987">
        <f>YEAR(Table1[[#This Row],[Join Date]])</f>
        <v>2018</v>
      </c>
      <c r="E1987" s="6" t="s">
        <v>48</v>
      </c>
      <c r="F1987" t="str">
        <f>IFERROR(YEAR(Table1[[#This Row],[Exit Date]]), " ")</f>
        <v xml:space="preserve"> </v>
      </c>
      <c r="G1987" t="str">
        <f>IFERROR((Table1[[#This Row],[Exit Year]]-Table1[[#This Row],[Join Year]])+1," ")</f>
        <v xml:space="preserve"> </v>
      </c>
      <c r="H1987" t="s">
        <v>48</v>
      </c>
      <c r="I1987" t="s">
        <v>11</v>
      </c>
      <c r="J1987" t="s">
        <v>12</v>
      </c>
      <c r="K1987">
        <v>29</v>
      </c>
      <c r="L1987" t="str">
        <f>IF(Table1[[#This Row],[Age]]&lt;30,"20-29",
IF(Table1[[#This Row],[Age]]&lt;40,"30-39",
IF(Table1[[#This Row],[Age]]&lt;50,"40-49",
IF(Table1[[#This Row],[Age]]&lt;60,"50-59","60+"))))</f>
        <v>20-29</v>
      </c>
      <c r="M1987" t="s">
        <v>16</v>
      </c>
      <c r="N1987" t="s">
        <v>14</v>
      </c>
    </row>
    <row r="1988" spans="1:14" x14ac:dyDescent="0.35">
      <c r="A1988">
        <v>2087</v>
      </c>
      <c r="B1988" t="s">
        <v>26</v>
      </c>
      <c r="C1988" s="6">
        <v>44418</v>
      </c>
      <c r="D1988">
        <f>YEAR(Table1[[#This Row],[Join Date]])</f>
        <v>2021</v>
      </c>
      <c r="E1988" s="6">
        <v>45628</v>
      </c>
      <c r="F1988">
        <f>IFERROR(YEAR(Table1[[#This Row],[Exit Date]]), " ")</f>
        <v>2024</v>
      </c>
      <c r="G1988">
        <f>IFERROR((Table1[[#This Row],[Exit Year]]-Table1[[#This Row],[Join Year]])+1," ")</f>
        <v>4</v>
      </c>
      <c r="H1988" t="s">
        <v>22</v>
      </c>
      <c r="I1988" t="s">
        <v>23</v>
      </c>
      <c r="J1988" t="s">
        <v>12</v>
      </c>
      <c r="K1988">
        <v>27</v>
      </c>
      <c r="L1988" t="str">
        <f>IF(Table1[[#This Row],[Age]]&lt;30,"20-29",
IF(Table1[[#This Row],[Age]]&lt;40,"30-39",
IF(Table1[[#This Row],[Age]]&lt;50,"40-49",
IF(Table1[[#This Row],[Age]]&lt;60,"50-59","60+"))))</f>
        <v>20-29</v>
      </c>
      <c r="M1988" t="s">
        <v>13</v>
      </c>
      <c r="N1988" t="s">
        <v>17</v>
      </c>
    </row>
    <row r="1989" spans="1:14" x14ac:dyDescent="0.35">
      <c r="A1989">
        <v>2088</v>
      </c>
      <c r="B1989" t="s">
        <v>34</v>
      </c>
      <c r="C1989" s="6">
        <v>44324</v>
      </c>
      <c r="D1989">
        <f>YEAR(Table1[[#This Row],[Join Date]])</f>
        <v>2021</v>
      </c>
      <c r="E1989" s="6">
        <v>45076</v>
      </c>
      <c r="F1989">
        <f>IFERROR(YEAR(Table1[[#This Row],[Exit Date]]), " ")</f>
        <v>2023</v>
      </c>
      <c r="G1989">
        <f>IFERROR((Table1[[#This Row],[Exit Year]]-Table1[[#This Row],[Join Year]])+1," ")</f>
        <v>3</v>
      </c>
      <c r="H1989" t="s">
        <v>40</v>
      </c>
      <c r="I1989" t="s">
        <v>23</v>
      </c>
      <c r="J1989" t="s">
        <v>12</v>
      </c>
      <c r="K1989">
        <v>31</v>
      </c>
      <c r="L1989" t="str">
        <f>IF(Table1[[#This Row],[Age]]&lt;30,"20-29",
IF(Table1[[#This Row],[Age]]&lt;40,"30-39",
IF(Table1[[#This Row],[Age]]&lt;50,"40-49",
IF(Table1[[#This Row],[Age]]&lt;60,"50-59","60+"))))</f>
        <v>30-39</v>
      </c>
      <c r="M1989" t="s">
        <v>20</v>
      </c>
      <c r="N1989" t="s">
        <v>19</v>
      </c>
    </row>
    <row r="1990" spans="1:14" x14ac:dyDescent="0.35">
      <c r="A1990">
        <v>2089</v>
      </c>
      <c r="B1990" t="s">
        <v>10</v>
      </c>
      <c r="C1990" s="6">
        <v>43513</v>
      </c>
      <c r="D1990">
        <f>YEAR(Table1[[#This Row],[Join Date]])</f>
        <v>2019</v>
      </c>
      <c r="E1990" s="6">
        <v>44923</v>
      </c>
      <c r="F1990">
        <f>IFERROR(YEAR(Table1[[#This Row],[Exit Date]]), " ")</f>
        <v>2022</v>
      </c>
      <c r="G1990">
        <f>IFERROR((Table1[[#This Row],[Exit Year]]-Table1[[#This Row],[Join Year]])+1," ")</f>
        <v>4</v>
      </c>
      <c r="H1990" t="s">
        <v>38</v>
      </c>
      <c r="I1990" t="s">
        <v>23</v>
      </c>
      <c r="J1990" t="s">
        <v>18</v>
      </c>
      <c r="K1990">
        <v>24</v>
      </c>
      <c r="L1990" t="str">
        <f>IF(Table1[[#This Row],[Age]]&lt;30,"20-29",
IF(Table1[[#This Row],[Age]]&lt;40,"30-39",
IF(Table1[[#This Row],[Age]]&lt;50,"40-49",
IF(Table1[[#This Row],[Age]]&lt;60,"50-59","60+"))))</f>
        <v>20-29</v>
      </c>
      <c r="M1990" t="s">
        <v>44</v>
      </c>
      <c r="N1990" t="s">
        <v>21</v>
      </c>
    </row>
    <row r="1991" spans="1:14" x14ac:dyDescent="0.35">
      <c r="A1991">
        <v>2090</v>
      </c>
      <c r="B1991" t="s">
        <v>36</v>
      </c>
      <c r="C1991" s="6">
        <v>44180</v>
      </c>
      <c r="D1991">
        <f>YEAR(Table1[[#This Row],[Join Date]])</f>
        <v>2020</v>
      </c>
      <c r="E1991" s="6" t="s">
        <v>48</v>
      </c>
      <c r="F1991" t="str">
        <f>IFERROR(YEAR(Table1[[#This Row],[Exit Date]]), " ")</f>
        <v xml:space="preserve"> </v>
      </c>
      <c r="G1991" t="str">
        <f>IFERROR((Table1[[#This Row],[Exit Year]]-Table1[[#This Row],[Join Year]])+1," ")</f>
        <v xml:space="preserve"> </v>
      </c>
      <c r="H1991" t="s">
        <v>48</v>
      </c>
      <c r="I1991" t="s">
        <v>11</v>
      </c>
      <c r="J1991" t="s">
        <v>12</v>
      </c>
      <c r="K1991">
        <v>37</v>
      </c>
      <c r="L1991" t="str">
        <f>IF(Table1[[#This Row],[Age]]&lt;30,"20-29",
IF(Table1[[#This Row],[Age]]&lt;40,"30-39",
IF(Table1[[#This Row],[Age]]&lt;50,"40-49",
IF(Table1[[#This Row],[Age]]&lt;60,"50-59","60+"))))</f>
        <v>30-39</v>
      </c>
      <c r="M1991" t="s">
        <v>13</v>
      </c>
      <c r="N1991" t="s">
        <v>25</v>
      </c>
    </row>
    <row r="1992" spans="1:14" x14ac:dyDescent="0.35">
      <c r="A1992">
        <v>2091</v>
      </c>
      <c r="B1992" t="s">
        <v>34</v>
      </c>
      <c r="C1992" s="6">
        <v>44099</v>
      </c>
      <c r="D1992">
        <f>YEAR(Table1[[#This Row],[Join Date]])</f>
        <v>2020</v>
      </c>
      <c r="E1992" s="6" t="s">
        <v>48</v>
      </c>
      <c r="F1992" t="str">
        <f>IFERROR(YEAR(Table1[[#This Row],[Exit Date]]), " ")</f>
        <v xml:space="preserve"> </v>
      </c>
      <c r="G1992" t="str">
        <f>IFERROR((Table1[[#This Row],[Exit Year]]-Table1[[#This Row],[Join Year]])+1," ")</f>
        <v xml:space="preserve"> </v>
      </c>
      <c r="H1992" t="s">
        <v>48</v>
      </c>
      <c r="I1992" t="s">
        <v>11</v>
      </c>
      <c r="J1992" t="s">
        <v>18</v>
      </c>
      <c r="K1992">
        <v>23</v>
      </c>
      <c r="L1992" t="str">
        <f>IF(Table1[[#This Row],[Age]]&lt;30,"20-29",
IF(Table1[[#This Row],[Age]]&lt;40,"30-39",
IF(Table1[[#This Row],[Age]]&lt;50,"40-49",
IF(Table1[[#This Row],[Age]]&lt;60,"50-59","60+"))))</f>
        <v>20-29</v>
      </c>
      <c r="M1992" t="s">
        <v>16</v>
      </c>
      <c r="N1992" t="s">
        <v>28</v>
      </c>
    </row>
    <row r="1993" spans="1:14" x14ac:dyDescent="0.35">
      <c r="A1993">
        <v>2092</v>
      </c>
      <c r="B1993" t="s">
        <v>34</v>
      </c>
      <c r="C1993" s="6">
        <v>45632</v>
      </c>
      <c r="D1993">
        <f>YEAR(Table1[[#This Row],[Join Date]])</f>
        <v>2024</v>
      </c>
      <c r="E1993" s="6" t="s">
        <v>48</v>
      </c>
      <c r="F1993" t="str">
        <f>IFERROR(YEAR(Table1[[#This Row],[Exit Date]]), " ")</f>
        <v xml:space="preserve"> </v>
      </c>
      <c r="G1993" t="str">
        <f>IFERROR((Table1[[#This Row],[Exit Year]]-Table1[[#This Row],[Join Year]])+1," ")</f>
        <v xml:space="preserve"> </v>
      </c>
      <c r="H1993" t="s">
        <v>48</v>
      </c>
      <c r="I1993" t="s">
        <v>11</v>
      </c>
      <c r="J1993" t="s">
        <v>18</v>
      </c>
      <c r="K1993">
        <v>31</v>
      </c>
      <c r="L1993" t="str">
        <f>IF(Table1[[#This Row],[Age]]&lt;30,"20-29",
IF(Table1[[#This Row],[Age]]&lt;40,"30-39",
IF(Table1[[#This Row],[Age]]&lt;50,"40-49",
IF(Table1[[#This Row],[Age]]&lt;60,"50-59","60+"))))</f>
        <v>30-39</v>
      </c>
      <c r="M1993" t="s">
        <v>16</v>
      </c>
      <c r="N1993" t="s">
        <v>31</v>
      </c>
    </row>
    <row r="1994" spans="1:14" x14ac:dyDescent="0.35">
      <c r="A1994">
        <v>2093</v>
      </c>
      <c r="B1994" t="s">
        <v>36</v>
      </c>
      <c r="C1994" s="6">
        <v>45294</v>
      </c>
      <c r="D1994">
        <f>YEAR(Table1[[#This Row],[Join Date]])</f>
        <v>2024</v>
      </c>
      <c r="E1994" s="6" t="s">
        <v>48</v>
      </c>
      <c r="F1994" t="str">
        <f>IFERROR(YEAR(Table1[[#This Row],[Exit Date]]), " ")</f>
        <v xml:space="preserve"> </v>
      </c>
      <c r="G1994" t="str">
        <f>IFERROR((Table1[[#This Row],[Exit Year]]-Table1[[#This Row],[Join Year]])+1," ")</f>
        <v xml:space="preserve"> </v>
      </c>
      <c r="H1994" t="s">
        <v>48</v>
      </c>
      <c r="I1994" t="s">
        <v>11</v>
      </c>
      <c r="J1994" t="s">
        <v>12</v>
      </c>
      <c r="K1994">
        <v>52</v>
      </c>
      <c r="L1994" t="str">
        <f>IF(Table1[[#This Row],[Age]]&lt;30,"20-29",
IF(Table1[[#This Row],[Age]]&lt;40,"30-39",
IF(Table1[[#This Row],[Age]]&lt;50,"40-49",
IF(Table1[[#This Row],[Age]]&lt;60,"50-59","60+"))))</f>
        <v>50-59</v>
      </c>
      <c r="M1994" t="s">
        <v>20</v>
      </c>
      <c r="N1994" t="s">
        <v>32</v>
      </c>
    </row>
    <row r="1995" spans="1:14" x14ac:dyDescent="0.35">
      <c r="A1995">
        <v>2094</v>
      </c>
      <c r="B1995" t="s">
        <v>26</v>
      </c>
      <c r="C1995" s="6">
        <v>44590</v>
      </c>
      <c r="D1995">
        <f>YEAR(Table1[[#This Row],[Join Date]])</f>
        <v>2022</v>
      </c>
      <c r="E1995" s="6" t="s">
        <v>48</v>
      </c>
      <c r="F1995" t="str">
        <f>IFERROR(YEAR(Table1[[#This Row],[Exit Date]]), " ")</f>
        <v xml:space="preserve"> </v>
      </c>
      <c r="G1995" t="str">
        <f>IFERROR((Table1[[#This Row],[Exit Year]]-Table1[[#This Row],[Join Year]])+1," ")</f>
        <v xml:space="preserve"> </v>
      </c>
      <c r="H1995" t="s">
        <v>48</v>
      </c>
      <c r="I1995" t="s">
        <v>11</v>
      </c>
      <c r="J1995" t="s">
        <v>12</v>
      </c>
      <c r="K1995">
        <v>25</v>
      </c>
      <c r="L1995" t="str">
        <f>IF(Table1[[#This Row],[Age]]&lt;30,"20-29",
IF(Table1[[#This Row],[Age]]&lt;40,"30-39",
IF(Table1[[#This Row],[Age]]&lt;50,"40-49",
IF(Table1[[#This Row],[Age]]&lt;60,"50-59","60+"))))</f>
        <v>20-29</v>
      </c>
      <c r="M1995" t="s">
        <v>24</v>
      </c>
      <c r="N1995" t="s">
        <v>33</v>
      </c>
    </row>
    <row r="1996" spans="1:14" x14ac:dyDescent="0.35">
      <c r="A1996">
        <v>2095</v>
      </c>
      <c r="B1996" t="s">
        <v>15</v>
      </c>
      <c r="C1996" s="6">
        <v>45215</v>
      </c>
      <c r="D1996">
        <f>YEAR(Table1[[#This Row],[Join Date]])</f>
        <v>2023</v>
      </c>
      <c r="E1996" s="6" t="s">
        <v>48</v>
      </c>
      <c r="F1996" t="str">
        <f>IFERROR(YEAR(Table1[[#This Row],[Exit Date]]), " ")</f>
        <v xml:space="preserve"> </v>
      </c>
      <c r="G1996" t="str">
        <f>IFERROR((Table1[[#This Row],[Exit Year]]-Table1[[#This Row],[Join Year]])+1," ")</f>
        <v xml:space="preserve"> </v>
      </c>
      <c r="H1996" t="s">
        <v>48</v>
      </c>
      <c r="I1996" t="s">
        <v>11</v>
      </c>
      <c r="J1996" t="s">
        <v>12</v>
      </c>
      <c r="K1996">
        <v>46</v>
      </c>
      <c r="L1996" t="str">
        <f>IF(Table1[[#This Row],[Age]]&lt;30,"20-29",
IF(Table1[[#This Row],[Age]]&lt;40,"30-39",
IF(Table1[[#This Row],[Age]]&lt;50,"40-49",
IF(Table1[[#This Row],[Age]]&lt;60,"50-59","60+"))))</f>
        <v>40-49</v>
      </c>
      <c r="M1996" t="s">
        <v>13</v>
      </c>
      <c r="N1996" t="s">
        <v>35</v>
      </c>
    </row>
    <row r="1997" spans="1:14" x14ac:dyDescent="0.35">
      <c r="A1997">
        <v>2096</v>
      </c>
      <c r="B1997" t="s">
        <v>15</v>
      </c>
      <c r="C1997" s="6">
        <v>43624</v>
      </c>
      <c r="D1997">
        <f>YEAR(Table1[[#This Row],[Join Date]])</f>
        <v>2019</v>
      </c>
      <c r="E1997" s="6">
        <v>44228</v>
      </c>
      <c r="F1997">
        <f>IFERROR(YEAR(Table1[[#This Row],[Exit Date]]), " ")</f>
        <v>2021</v>
      </c>
      <c r="G1997">
        <f>IFERROR((Table1[[#This Row],[Exit Year]]-Table1[[#This Row],[Join Year]])+1," ")</f>
        <v>3</v>
      </c>
      <c r="H1997" t="s">
        <v>41</v>
      </c>
      <c r="I1997" t="s">
        <v>23</v>
      </c>
      <c r="J1997" t="s">
        <v>18</v>
      </c>
      <c r="K1997">
        <v>24</v>
      </c>
      <c r="L1997" t="str">
        <f>IF(Table1[[#This Row],[Age]]&lt;30,"20-29",
IF(Table1[[#This Row],[Age]]&lt;40,"30-39",
IF(Table1[[#This Row],[Age]]&lt;50,"40-49",
IF(Table1[[#This Row],[Age]]&lt;60,"50-59","60+"))))</f>
        <v>20-29</v>
      </c>
      <c r="M1997" t="s">
        <v>44</v>
      </c>
      <c r="N1997" t="s">
        <v>37</v>
      </c>
    </row>
    <row r="1998" spans="1:14" x14ac:dyDescent="0.35">
      <c r="A1998">
        <v>2097</v>
      </c>
      <c r="B1998" t="s">
        <v>15</v>
      </c>
      <c r="C1998" s="6">
        <v>44514</v>
      </c>
      <c r="D1998">
        <f>YEAR(Table1[[#This Row],[Join Date]])</f>
        <v>2021</v>
      </c>
      <c r="E1998" s="6">
        <v>45529</v>
      </c>
      <c r="F1998">
        <f>IFERROR(YEAR(Table1[[#This Row],[Exit Date]]), " ")</f>
        <v>2024</v>
      </c>
      <c r="G1998">
        <f>IFERROR((Table1[[#This Row],[Exit Year]]-Table1[[#This Row],[Join Year]])+1," ")</f>
        <v>4</v>
      </c>
      <c r="H1998" t="s">
        <v>41</v>
      </c>
      <c r="I1998" t="s">
        <v>23</v>
      </c>
      <c r="J1998" t="s">
        <v>12</v>
      </c>
      <c r="K1998">
        <v>38</v>
      </c>
      <c r="L1998" t="str">
        <f>IF(Table1[[#This Row],[Age]]&lt;30,"20-29",
IF(Table1[[#This Row],[Age]]&lt;40,"30-39",
IF(Table1[[#This Row],[Age]]&lt;50,"40-49",
IF(Table1[[#This Row],[Age]]&lt;60,"50-59","60+"))))</f>
        <v>30-39</v>
      </c>
      <c r="M1998" t="s">
        <v>13</v>
      </c>
      <c r="N1998" t="s">
        <v>19</v>
      </c>
    </row>
    <row r="1999" spans="1:14" x14ac:dyDescent="0.35">
      <c r="A1999">
        <v>2098</v>
      </c>
      <c r="B1999" t="s">
        <v>29</v>
      </c>
      <c r="C1999" s="6">
        <v>43700</v>
      </c>
      <c r="D1999">
        <f>YEAR(Table1[[#This Row],[Join Date]])</f>
        <v>2019</v>
      </c>
      <c r="E1999" s="6" t="s">
        <v>48</v>
      </c>
      <c r="F1999" t="str">
        <f>IFERROR(YEAR(Table1[[#This Row],[Exit Date]]), " ")</f>
        <v xml:space="preserve"> </v>
      </c>
      <c r="G1999" t="str">
        <f>IFERROR((Table1[[#This Row],[Exit Year]]-Table1[[#This Row],[Join Year]])+1," ")</f>
        <v xml:space="preserve"> </v>
      </c>
      <c r="H1999" t="s">
        <v>48</v>
      </c>
      <c r="I1999" t="s">
        <v>11</v>
      </c>
      <c r="J1999" t="s">
        <v>18</v>
      </c>
      <c r="K1999">
        <v>49</v>
      </c>
      <c r="L1999" t="str">
        <f>IF(Table1[[#This Row],[Age]]&lt;30,"20-29",
IF(Table1[[#This Row],[Age]]&lt;40,"30-39",
IF(Table1[[#This Row],[Age]]&lt;50,"40-49",
IF(Table1[[#This Row],[Age]]&lt;60,"50-59","60+"))))</f>
        <v>40-49</v>
      </c>
      <c r="M1999" t="s">
        <v>13</v>
      </c>
      <c r="N1999" t="s">
        <v>25</v>
      </c>
    </row>
    <row r="2000" spans="1:14" x14ac:dyDescent="0.35">
      <c r="A2000">
        <v>2099</v>
      </c>
      <c r="B2000" t="s">
        <v>34</v>
      </c>
      <c r="C2000" s="6">
        <v>45540</v>
      </c>
      <c r="D2000">
        <f>YEAR(Table1[[#This Row],[Join Date]])</f>
        <v>2024</v>
      </c>
      <c r="E2000" s="6" t="s">
        <v>48</v>
      </c>
      <c r="F2000" t="str">
        <f>IFERROR(YEAR(Table1[[#This Row],[Exit Date]]), " ")</f>
        <v xml:space="preserve"> </v>
      </c>
      <c r="G2000" t="str">
        <f>IFERROR((Table1[[#This Row],[Exit Year]]-Table1[[#This Row],[Join Year]])+1," ")</f>
        <v xml:space="preserve"> </v>
      </c>
      <c r="H2000" t="s">
        <v>48</v>
      </c>
      <c r="I2000" t="s">
        <v>11</v>
      </c>
      <c r="J2000" t="s">
        <v>12</v>
      </c>
      <c r="K2000">
        <v>31</v>
      </c>
      <c r="L2000" t="str">
        <f>IF(Table1[[#This Row],[Age]]&lt;30,"20-29",
IF(Table1[[#This Row],[Age]]&lt;40,"30-39",
IF(Table1[[#This Row],[Age]]&lt;50,"40-49",
IF(Table1[[#This Row],[Age]]&lt;60,"50-59","60+"))))</f>
        <v>30-39</v>
      </c>
      <c r="M2000" t="s">
        <v>16</v>
      </c>
      <c r="N2000" t="s">
        <v>35</v>
      </c>
    </row>
    <row r="2001" spans="1:14" x14ac:dyDescent="0.35">
      <c r="A2001">
        <v>2100</v>
      </c>
      <c r="B2001" t="s">
        <v>10</v>
      </c>
      <c r="C2001" s="6">
        <v>43297</v>
      </c>
      <c r="D2001">
        <f>YEAR(Table1[[#This Row],[Join Date]])</f>
        <v>2018</v>
      </c>
      <c r="E2001" s="6">
        <v>44682</v>
      </c>
      <c r="F2001">
        <f>IFERROR(YEAR(Table1[[#This Row],[Exit Date]]), " ")</f>
        <v>2022</v>
      </c>
      <c r="G2001">
        <f>IFERROR((Table1[[#This Row],[Exit Year]]-Table1[[#This Row],[Join Year]])+1," ")</f>
        <v>5</v>
      </c>
      <c r="H2001" t="s">
        <v>40</v>
      </c>
      <c r="I2001" t="s">
        <v>23</v>
      </c>
      <c r="J2001" t="s">
        <v>12</v>
      </c>
      <c r="K2001">
        <v>51</v>
      </c>
      <c r="L2001" t="str">
        <f>IF(Table1[[#This Row],[Age]]&lt;30,"20-29",
IF(Table1[[#This Row],[Age]]&lt;40,"30-39",
IF(Table1[[#This Row],[Age]]&lt;50,"40-49",
IF(Table1[[#This Row],[Age]]&lt;60,"50-59","60+"))))</f>
        <v>50-59</v>
      </c>
      <c r="M2001" t="s">
        <v>13</v>
      </c>
      <c r="N2001" t="s">
        <v>17</v>
      </c>
    </row>
    <row r="2002" spans="1:14" x14ac:dyDescent="0.35">
      <c r="A2002">
        <v>2101</v>
      </c>
      <c r="B2002" t="s">
        <v>10</v>
      </c>
      <c r="C2002" s="6">
        <v>43407</v>
      </c>
      <c r="D2002">
        <f>YEAR(Table1[[#This Row],[Join Date]])</f>
        <v>2018</v>
      </c>
      <c r="E2002" s="6" t="s">
        <v>48</v>
      </c>
      <c r="F2002" t="str">
        <f>IFERROR(YEAR(Table1[[#This Row],[Exit Date]]), " ")</f>
        <v xml:space="preserve"> </v>
      </c>
      <c r="G2002" t="str">
        <f>IFERROR((Table1[[#This Row],[Exit Year]]-Table1[[#This Row],[Join Year]])+1," ")</f>
        <v xml:space="preserve"> </v>
      </c>
      <c r="H2002" t="s">
        <v>48</v>
      </c>
      <c r="I2002" t="s">
        <v>11</v>
      </c>
      <c r="J2002" t="s">
        <v>18</v>
      </c>
      <c r="K2002">
        <v>27</v>
      </c>
      <c r="L2002" t="str">
        <f>IF(Table1[[#This Row],[Age]]&lt;30,"20-29",
IF(Table1[[#This Row],[Age]]&lt;40,"30-39",
IF(Table1[[#This Row],[Age]]&lt;50,"40-49",
IF(Table1[[#This Row],[Age]]&lt;60,"50-59","60+"))))</f>
        <v>20-29</v>
      </c>
      <c r="M2002" t="s">
        <v>20</v>
      </c>
      <c r="N2002" t="s">
        <v>19</v>
      </c>
    </row>
    <row r="2003" spans="1:14" x14ac:dyDescent="0.35">
      <c r="A2003">
        <v>2102</v>
      </c>
      <c r="B2003" t="s">
        <v>15</v>
      </c>
      <c r="C2003" s="6">
        <v>44121</v>
      </c>
      <c r="D2003">
        <f>YEAR(Table1[[#This Row],[Join Date]])</f>
        <v>2020</v>
      </c>
      <c r="E2003" s="6" t="s">
        <v>48</v>
      </c>
      <c r="F2003" t="str">
        <f>IFERROR(YEAR(Table1[[#This Row],[Exit Date]]), " ")</f>
        <v xml:space="preserve"> </v>
      </c>
      <c r="G2003" t="str">
        <f>IFERROR((Table1[[#This Row],[Exit Year]]-Table1[[#This Row],[Join Year]])+1," ")</f>
        <v xml:space="preserve"> </v>
      </c>
      <c r="H2003" t="s">
        <v>48</v>
      </c>
      <c r="I2003" t="s">
        <v>11</v>
      </c>
      <c r="J2003" t="s">
        <v>18</v>
      </c>
      <c r="K2003">
        <v>22</v>
      </c>
      <c r="L2003" t="str">
        <f>IF(Table1[[#This Row],[Age]]&lt;30,"20-29",
IF(Table1[[#This Row],[Age]]&lt;40,"30-39",
IF(Table1[[#This Row],[Age]]&lt;50,"40-49",
IF(Table1[[#This Row],[Age]]&lt;60,"50-59","60+"))))</f>
        <v>20-29</v>
      </c>
      <c r="M2003" t="s">
        <v>44</v>
      </c>
      <c r="N2003" t="s">
        <v>21</v>
      </c>
    </row>
    <row r="2004" spans="1:14" x14ac:dyDescent="0.35">
      <c r="A2004">
        <v>2103</v>
      </c>
      <c r="B2004" t="s">
        <v>15</v>
      </c>
      <c r="C2004" s="6">
        <v>44423</v>
      </c>
      <c r="D2004">
        <f>YEAR(Table1[[#This Row],[Join Date]])</f>
        <v>2021</v>
      </c>
      <c r="E2004" s="6" t="s">
        <v>48</v>
      </c>
      <c r="F2004" t="str">
        <f>IFERROR(YEAR(Table1[[#This Row],[Exit Date]]), " ")</f>
        <v xml:space="preserve"> </v>
      </c>
      <c r="G2004" t="str">
        <f>IFERROR((Table1[[#This Row],[Exit Year]]-Table1[[#This Row],[Join Year]])+1," ")</f>
        <v xml:space="preserve"> </v>
      </c>
      <c r="H2004" t="s">
        <v>48</v>
      </c>
      <c r="I2004" t="s">
        <v>11</v>
      </c>
      <c r="J2004" t="s">
        <v>12</v>
      </c>
      <c r="K2004">
        <v>50</v>
      </c>
      <c r="L2004" t="str">
        <f>IF(Table1[[#This Row],[Age]]&lt;30,"20-29",
IF(Table1[[#This Row],[Age]]&lt;40,"30-39",
IF(Table1[[#This Row],[Age]]&lt;50,"40-49",
IF(Table1[[#This Row],[Age]]&lt;60,"50-59","60+"))))</f>
        <v>50-59</v>
      </c>
      <c r="M2004" t="s">
        <v>13</v>
      </c>
      <c r="N2004" t="s">
        <v>25</v>
      </c>
    </row>
    <row r="2005" spans="1:14" x14ac:dyDescent="0.35">
      <c r="A2005">
        <v>2104</v>
      </c>
      <c r="B2005" t="s">
        <v>15</v>
      </c>
      <c r="C2005" s="6">
        <v>45087</v>
      </c>
      <c r="D2005">
        <f>YEAR(Table1[[#This Row],[Join Date]])</f>
        <v>2023</v>
      </c>
      <c r="E2005" s="6" t="s">
        <v>48</v>
      </c>
      <c r="F2005" t="str">
        <f>IFERROR(YEAR(Table1[[#This Row],[Exit Date]]), " ")</f>
        <v xml:space="preserve"> </v>
      </c>
      <c r="G2005" t="str">
        <f>IFERROR((Table1[[#This Row],[Exit Year]]-Table1[[#This Row],[Join Year]])+1," ")</f>
        <v xml:space="preserve"> </v>
      </c>
      <c r="H2005" t="s">
        <v>48</v>
      </c>
      <c r="I2005" t="s">
        <v>11</v>
      </c>
      <c r="J2005" t="s">
        <v>18</v>
      </c>
      <c r="K2005">
        <v>24</v>
      </c>
      <c r="L2005" t="str">
        <f>IF(Table1[[#This Row],[Age]]&lt;30,"20-29",
IF(Table1[[#This Row],[Age]]&lt;40,"30-39",
IF(Table1[[#This Row],[Age]]&lt;50,"40-49",
IF(Table1[[#This Row],[Age]]&lt;60,"50-59","60+"))))</f>
        <v>20-29</v>
      </c>
      <c r="M2005" t="s">
        <v>16</v>
      </c>
      <c r="N2005" t="s">
        <v>35</v>
      </c>
    </row>
    <row r="2006" spans="1:14" x14ac:dyDescent="0.35">
      <c r="A2006">
        <v>2105</v>
      </c>
      <c r="B2006" t="s">
        <v>15</v>
      </c>
      <c r="C2006" s="6">
        <v>43479</v>
      </c>
      <c r="D2006">
        <f>YEAR(Table1[[#This Row],[Join Date]])</f>
        <v>2019</v>
      </c>
      <c r="E2006" s="6">
        <v>44449</v>
      </c>
      <c r="F2006">
        <f>IFERROR(YEAR(Table1[[#This Row],[Exit Date]]), " ")</f>
        <v>2021</v>
      </c>
      <c r="G2006">
        <f>IFERROR((Table1[[#This Row],[Exit Year]]-Table1[[#This Row],[Join Year]])+1," ")</f>
        <v>3</v>
      </c>
      <c r="H2006" t="s">
        <v>22</v>
      </c>
      <c r="I2006" t="s">
        <v>23</v>
      </c>
      <c r="J2006" t="s">
        <v>12</v>
      </c>
      <c r="K2006">
        <v>50</v>
      </c>
      <c r="L2006" t="str">
        <f>IF(Table1[[#This Row],[Age]]&lt;30,"20-29",
IF(Table1[[#This Row],[Age]]&lt;40,"30-39",
IF(Table1[[#This Row],[Age]]&lt;50,"40-49",
IF(Table1[[#This Row],[Age]]&lt;60,"50-59","60+"))))</f>
        <v>50-59</v>
      </c>
      <c r="M2006" t="s">
        <v>16</v>
      </c>
      <c r="N2006" t="s">
        <v>14</v>
      </c>
    </row>
    <row r="2007" spans="1:14" x14ac:dyDescent="0.35">
      <c r="A2007">
        <v>2106</v>
      </c>
      <c r="B2007" t="s">
        <v>26</v>
      </c>
      <c r="C2007" s="6">
        <v>44749</v>
      </c>
      <c r="D2007">
        <f>YEAR(Table1[[#This Row],[Join Date]])</f>
        <v>2022</v>
      </c>
      <c r="E2007" s="6">
        <v>44972</v>
      </c>
      <c r="F2007">
        <f>IFERROR(YEAR(Table1[[#This Row],[Exit Date]]), " ")</f>
        <v>2023</v>
      </c>
      <c r="G2007">
        <f>IFERROR((Table1[[#This Row],[Exit Year]]-Table1[[#This Row],[Join Year]])+1," ")</f>
        <v>2</v>
      </c>
      <c r="H2007" t="s">
        <v>46</v>
      </c>
      <c r="I2007" t="s">
        <v>23</v>
      </c>
      <c r="J2007" t="s">
        <v>12</v>
      </c>
      <c r="K2007">
        <v>28</v>
      </c>
      <c r="L2007" t="str">
        <f>IF(Table1[[#This Row],[Age]]&lt;30,"20-29",
IF(Table1[[#This Row],[Age]]&lt;40,"30-39",
IF(Table1[[#This Row],[Age]]&lt;50,"40-49",
IF(Table1[[#This Row],[Age]]&lt;60,"50-59","60+"))))</f>
        <v>20-29</v>
      </c>
      <c r="M2007" t="s">
        <v>20</v>
      </c>
      <c r="N2007" t="s">
        <v>19</v>
      </c>
    </row>
    <row r="2008" spans="1:14" x14ac:dyDescent="0.35">
      <c r="A2008">
        <v>2107</v>
      </c>
      <c r="B2008" t="s">
        <v>29</v>
      </c>
      <c r="C2008" s="6">
        <v>45457</v>
      </c>
      <c r="D2008">
        <f>YEAR(Table1[[#This Row],[Join Date]])</f>
        <v>2024</v>
      </c>
      <c r="E2008" s="6" t="s">
        <v>48</v>
      </c>
      <c r="F2008" t="str">
        <f>IFERROR(YEAR(Table1[[#This Row],[Exit Date]]), " ")</f>
        <v xml:space="preserve"> </v>
      </c>
      <c r="G2008" t="str">
        <f>IFERROR((Table1[[#This Row],[Exit Year]]-Table1[[#This Row],[Join Year]])+1," ")</f>
        <v xml:space="preserve"> </v>
      </c>
      <c r="H2008" t="s">
        <v>48</v>
      </c>
      <c r="I2008" t="s">
        <v>11</v>
      </c>
      <c r="J2008" t="s">
        <v>12</v>
      </c>
      <c r="K2008">
        <v>40</v>
      </c>
      <c r="L2008" t="str">
        <f>IF(Table1[[#This Row],[Age]]&lt;30,"20-29",
IF(Table1[[#This Row],[Age]]&lt;40,"30-39",
IF(Table1[[#This Row],[Age]]&lt;50,"40-49",
IF(Table1[[#This Row],[Age]]&lt;60,"50-59","60+"))))</f>
        <v>40-49</v>
      </c>
      <c r="M2008" t="s">
        <v>24</v>
      </c>
      <c r="N2008" t="s">
        <v>21</v>
      </c>
    </row>
    <row r="2009" spans="1:14" x14ac:dyDescent="0.35">
      <c r="A2009">
        <v>2108</v>
      </c>
      <c r="B2009" t="s">
        <v>10</v>
      </c>
      <c r="C2009" s="6">
        <v>43304</v>
      </c>
      <c r="D2009">
        <f>YEAR(Table1[[#This Row],[Join Date]])</f>
        <v>2018</v>
      </c>
      <c r="E2009" s="6" t="s">
        <v>48</v>
      </c>
      <c r="F2009" t="str">
        <f>IFERROR(YEAR(Table1[[#This Row],[Exit Date]]), " ")</f>
        <v xml:space="preserve"> </v>
      </c>
      <c r="G2009" t="str">
        <f>IFERROR((Table1[[#This Row],[Exit Year]]-Table1[[#This Row],[Join Year]])+1," ")</f>
        <v xml:space="preserve"> </v>
      </c>
      <c r="H2009" t="s">
        <v>48</v>
      </c>
      <c r="I2009" t="s">
        <v>11</v>
      </c>
      <c r="J2009" t="s">
        <v>18</v>
      </c>
      <c r="K2009">
        <v>32</v>
      </c>
      <c r="L2009" t="str">
        <f>IF(Table1[[#This Row],[Age]]&lt;30,"20-29",
IF(Table1[[#This Row],[Age]]&lt;40,"30-39",
IF(Table1[[#This Row],[Age]]&lt;50,"40-49",
IF(Table1[[#This Row],[Age]]&lt;60,"50-59","60+"))))</f>
        <v>30-39</v>
      </c>
      <c r="M2009" t="s">
        <v>13</v>
      </c>
      <c r="N2009" t="s">
        <v>37</v>
      </c>
    </row>
    <row r="2010" spans="1:14" x14ac:dyDescent="0.35">
      <c r="A2010">
        <v>2109</v>
      </c>
      <c r="B2010" t="s">
        <v>15</v>
      </c>
      <c r="C2010" s="6">
        <v>44987</v>
      </c>
      <c r="D2010">
        <f>YEAR(Table1[[#This Row],[Join Date]])</f>
        <v>2023</v>
      </c>
      <c r="E2010" s="6" t="s">
        <v>48</v>
      </c>
      <c r="F2010" t="str">
        <f>IFERROR(YEAR(Table1[[#This Row],[Exit Date]]), " ")</f>
        <v xml:space="preserve"> </v>
      </c>
      <c r="G2010" t="str">
        <f>IFERROR((Table1[[#This Row],[Exit Year]]-Table1[[#This Row],[Join Year]])+1," ")</f>
        <v xml:space="preserve"> </v>
      </c>
      <c r="H2010" t="s">
        <v>48</v>
      </c>
      <c r="I2010" t="s">
        <v>11</v>
      </c>
      <c r="J2010" t="s">
        <v>12</v>
      </c>
      <c r="K2010">
        <v>50</v>
      </c>
      <c r="L2010" t="str">
        <f>IF(Table1[[#This Row],[Age]]&lt;30,"20-29",
IF(Table1[[#This Row],[Age]]&lt;40,"30-39",
IF(Table1[[#This Row],[Age]]&lt;50,"40-49",
IF(Table1[[#This Row],[Age]]&lt;60,"50-59","60+"))))</f>
        <v>50-59</v>
      </c>
      <c r="M2010" t="s">
        <v>42</v>
      </c>
      <c r="N2010" t="s">
        <v>25</v>
      </c>
    </row>
    <row r="2011" spans="1:14" x14ac:dyDescent="0.35">
      <c r="A2011">
        <v>2110</v>
      </c>
      <c r="B2011" t="s">
        <v>34</v>
      </c>
      <c r="C2011" s="6">
        <v>45326</v>
      </c>
      <c r="D2011">
        <f>YEAR(Table1[[#This Row],[Join Date]])</f>
        <v>2024</v>
      </c>
      <c r="E2011" s="6" t="s">
        <v>48</v>
      </c>
      <c r="F2011" t="str">
        <f>IFERROR(YEAR(Table1[[#This Row],[Exit Date]]), " ")</f>
        <v xml:space="preserve"> </v>
      </c>
      <c r="G2011" t="str">
        <f>IFERROR((Table1[[#This Row],[Exit Year]]-Table1[[#This Row],[Join Year]])+1," ")</f>
        <v xml:space="preserve"> </v>
      </c>
      <c r="H2011" t="s">
        <v>48</v>
      </c>
      <c r="I2011" t="s">
        <v>11</v>
      </c>
      <c r="J2011" t="s">
        <v>18</v>
      </c>
      <c r="K2011">
        <v>24</v>
      </c>
      <c r="L2011" t="str">
        <f>IF(Table1[[#This Row],[Age]]&lt;30,"20-29",
IF(Table1[[#This Row],[Age]]&lt;40,"30-39",
IF(Table1[[#This Row],[Age]]&lt;50,"40-49",
IF(Table1[[#This Row],[Age]]&lt;60,"50-59","60+"))))</f>
        <v>20-29</v>
      </c>
      <c r="M2011" t="s">
        <v>13</v>
      </c>
      <c r="N2011" t="s">
        <v>35</v>
      </c>
    </row>
    <row r="2012" spans="1:14" x14ac:dyDescent="0.35">
      <c r="A2012">
        <v>2111</v>
      </c>
      <c r="B2012" t="s">
        <v>36</v>
      </c>
      <c r="C2012" s="6">
        <v>45474</v>
      </c>
      <c r="D2012">
        <f>YEAR(Table1[[#This Row],[Join Date]])</f>
        <v>2024</v>
      </c>
      <c r="E2012" s="6" t="s">
        <v>48</v>
      </c>
      <c r="F2012" t="str">
        <f>IFERROR(YEAR(Table1[[#This Row],[Exit Date]]), " ")</f>
        <v xml:space="preserve"> </v>
      </c>
      <c r="G2012" t="str">
        <f>IFERROR((Table1[[#This Row],[Exit Year]]-Table1[[#This Row],[Join Year]])+1," ")</f>
        <v xml:space="preserve"> </v>
      </c>
      <c r="H2012" t="s">
        <v>48</v>
      </c>
      <c r="I2012" t="s">
        <v>11</v>
      </c>
      <c r="J2012" t="s">
        <v>12</v>
      </c>
      <c r="K2012">
        <v>36</v>
      </c>
      <c r="L2012" t="str">
        <f>IF(Table1[[#This Row],[Age]]&lt;30,"20-29",
IF(Table1[[#This Row],[Age]]&lt;40,"30-39",
IF(Table1[[#This Row],[Age]]&lt;50,"40-49",
IF(Table1[[#This Row],[Age]]&lt;60,"50-59","60+"))))</f>
        <v>30-39</v>
      </c>
      <c r="M2012" t="s">
        <v>13</v>
      </c>
      <c r="N2012" t="s">
        <v>19</v>
      </c>
    </row>
    <row r="2013" spans="1:14" x14ac:dyDescent="0.35">
      <c r="A2013">
        <v>2112</v>
      </c>
      <c r="B2013" t="s">
        <v>29</v>
      </c>
      <c r="C2013" s="6">
        <v>44227</v>
      </c>
      <c r="D2013">
        <f>YEAR(Table1[[#This Row],[Join Date]])</f>
        <v>2021</v>
      </c>
      <c r="E2013" s="6">
        <v>45322</v>
      </c>
      <c r="F2013">
        <f>IFERROR(YEAR(Table1[[#This Row],[Exit Date]]), " ")</f>
        <v>2024</v>
      </c>
      <c r="G2013">
        <f>IFERROR((Table1[[#This Row],[Exit Year]]-Table1[[#This Row],[Join Year]])+1," ")</f>
        <v>4</v>
      </c>
      <c r="H2013" t="s">
        <v>46</v>
      </c>
      <c r="I2013" t="s">
        <v>23</v>
      </c>
      <c r="J2013" t="s">
        <v>18</v>
      </c>
      <c r="K2013">
        <v>49</v>
      </c>
      <c r="L2013" t="str">
        <f>IF(Table1[[#This Row],[Age]]&lt;30,"20-29",
IF(Table1[[#This Row],[Age]]&lt;40,"30-39",
IF(Table1[[#This Row],[Age]]&lt;50,"40-49",
IF(Table1[[#This Row],[Age]]&lt;60,"50-59","60+"))))</f>
        <v>40-49</v>
      </c>
      <c r="M2013" t="s">
        <v>16</v>
      </c>
      <c r="N2013" t="s">
        <v>21</v>
      </c>
    </row>
    <row r="2014" spans="1:14" x14ac:dyDescent="0.35">
      <c r="A2014">
        <v>2113</v>
      </c>
      <c r="B2014" t="s">
        <v>10</v>
      </c>
      <c r="C2014" s="6">
        <v>43446</v>
      </c>
      <c r="D2014">
        <f>YEAR(Table1[[#This Row],[Join Date]])</f>
        <v>2018</v>
      </c>
      <c r="E2014" s="6">
        <v>43936</v>
      </c>
      <c r="F2014">
        <f>IFERROR(YEAR(Table1[[#This Row],[Exit Date]]), " ")</f>
        <v>2020</v>
      </c>
      <c r="G2014">
        <f>IFERROR((Table1[[#This Row],[Exit Year]]-Table1[[#This Row],[Join Year]])+1," ")</f>
        <v>3</v>
      </c>
      <c r="H2014" t="s">
        <v>38</v>
      </c>
      <c r="I2014" t="s">
        <v>23</v>
      </c>
      <c r="J2014" t="s">
        <v>18</v>
      </c>
      <c r="K2014">
        <v>43</v>
      </c>
      <c r="L2014" t="str">
        <f>IF(Table1[[#This Row],[Age]]&lt;30,"20-29",
IF(Table1[[#This Row],[Age]]&lt;40,"30-39",
IF(Table1[[#This Row],[Age]]&lt;50,"40-49",
IF(Table1[[#This Row],[Age]]&lt;60,"50-59","60+"))))</f>
        <v>40-49</v>
      </c>
      <c r="M2014" t="s">
        <v>13</v>
      </c>
      <c r="N2014" t="s">
        <v>25</v>
      </c>
    </row>
    <row r="2015" spans="1:14" x14ac:dyDescent="0.35">
      <c r="A2015">
        <v>2114</v>
      </c>
      <c r="B2015" t="s">
        <v>15</v>
      </c>
      <c r="C2015" s="6">
        <v>45314</v>
      </c>
      <c r="D2015">
        <f>YEAR(Table1[[#This Row],[Join Date]])</f>
        <v>2024</v>
      </c>
      <c r="E2015" s="6" t="s">
        <v>48</v>
      </c>
      <c r="F2015" t="str">
        <f>IFERROR(YEAR(Table1[[#This Row],[Exit Date]]), " ")</f>
        <v xml:space="preserve"> </v>
      </c>
      <c r="G2015" t="str">
        <f>IFERROR((Table1[[#This Row],[Exit Year]]-Table1[[#This Row],[Join Year]])+1," ")</f>
        <v xml:space="preserve"> </v>
      </c>
      <c r="H2015" t="s">
        <v>48</v>
      </c>
      <c r="I2015" t="s">
        <v>11</v>
      </c>
      <c r="J2015" t="s">
        <v>12</v>
      </c>
      <c r="K2015">
        <v>40</v>
      </c>
      <c r="L2015" t="str">
        <f>IF(Table1[[#This Row],[Age]]&lt;30,"20-29",
IF(Table1[[#This Row],[Age]]&lt;40,"30-39",
IF(Table1[[#This Row],[Age]]&lt;50,"40-49",
IF(Table1[[#This Row],[Age]]&lt;60,"50-59","60+"))))</f>
        <v>40-49</v>
      </c>
      <c r="M2015" t="s">
        <v>20</v>
      </c>
      <c r="N2015" t="s">
        <v>28</v>
      </c>
    </row>
    <row r="2016" spans="1:14" x14ac:dyDescent="0.35">
      <c r="A2016">
        <v>2115</v>
      </c>
      <c r="B2016" t="s">
        <v>15</v>
      </c>
      <c r="C2016" s="6">
        <v>43123</v>
      </c>
      <c r="D2016">
        <f>YEAR(Table1[[#This Row],[Join Date]])</f>
        <v>2018</v>
      </c>
      <c r="E2016" s="6" t="s">
        <v>48</v>
      </c>
      <c r="F2016" t="str">
        <f>IFERROR(YEAR(Table1[[#This Row],[Exit Date]]), " ")</f>
        <v xml:space="preserve"> </v>
      </c>
      <c r="G2016" t="str">
        <f>IFERROR((Table1[[#This Row],[Exit Year]]-Table1[[#This Row],[Join Year]])+1," ")</f>
        <v xml:space="preserve"> </v>
      </c>
      <c r="H2016" t="s">
        <v>48</v>
      </c>
      <c r="I2016" t="s">
        <v>11</v>
      </c>
      <c r="J2016" t="s">
        <v>18</v>
      </c>
      <c r="K2016">
        <v>42</v>
      </c>
      <c r="L2016" t="str">
        <f>IF(Table1[[#This Row],[Age]]&lt;30,"20-29",
IF(Table1[[#This Row],[Age]]&lt;40,"30-39",
IF(Table1[[#This Row],[Age]]&lt;50,"40-49",
IF(Table1[[#This Row],[Age]]&lt;60,"50-59","60+"))))</f>
        <v>40-49</v>
      </c>
      <c r="M2016" t="s">
        <v>39</v>
      </c>
      <c r="N2016" t="s">
        <v>31</v>
      </c>
    </row>
    <row r="2017" spans="1:14" x14ac:dyDescent="0.35">
      <c r="A2017">
        <v>2116</v>
      </c>
      <c r="B2017" t="s">
        <v>10</v>
      </c>
      <c r="C2017" s="6">
        <v>43717</v>
      </c>
      <c r="D2017">
        <f>YEAR(Table1[[#This Row],[Join Date]])</f>
        <v>2019</v>
      </c>
      <c r="E2017" s="6">
        <v>44677</v>
      </c>
      <c r="F2017">
        <f>IFERROR(YEAR(Table1[[#This Row],[Exit Date]]), " ")</f>
        <v>2022</v>
      </c>
      <c r="G2017">
        <f>IFERROR((Table1[[#This Row],[Exit Year]]-Table1[[#This Row],[Join Year]])+1," ")</f>
        <v>4</v>
      </c>
      <c r="H2017" t="s">
        <v>40</v>
      </c>
      <c r="I2017" t="s">
        <v>23</v>
      </c>
      <c r="J2017" t="s">
        <v>18</v>
      </c>
      <c r="K2017">
        <v>35</v>
      </c>
      <c r="L2017" t="str">
        <f>IF(Table1[[#This Row],[Age]]&lt;30,"20-29",
IF(Table1[[#This Row],[Age]]&lt;40,"30-39",
IF(Table1[[#This Row],[Age]]&lt;50,"40-49",
IF(Table1[[#This Row],[Age]]&lt;60,"50-59","60+"))))</f>
        <v>30-39</v>
      </c>
      <c r="M2017" t="s">
        <v>13</v>
      </c>
      <c r="N2017" t="s">
        <v>32</v>
      </c>
    </row>
    <row r="2018" spans="1:14" x14ac:dyDescent="0.35">
      <c r="A2018">
        <v>2117</v>
      </c>
      <c r="B2018" t="s">
        <v>29</v>
      </c>
      <c r="C2018" s="6">
        <v>43534</v>
      </c>
      <c r="D2018">
        <f>YEAR(Table1[[#This Row],[Join Date]])</f>
        <v>2019</v>
      </c>
      <c r="E2018" s="6">
        <v>44117</v>
      </c>
      <c r="F2018">
        <f>IFERROR(YEAR(Table1[[#This Row],[Exit Date]]), " ")</f>
        <v>2020</v>
      </c>
      <c r="G2018">
        <f>IFERROR((Table1[[#This Row],[Exit Year]]-Table1[[#This Row],[Join Year]])+1," ")</f>
        <v>2</v>
      </c>
      <c r="H2018" t="s">
        <v>38</v>
      </c>
      <c r="I2018" t="s">
        <v>23</v>
      </c>
      <c r="J2018" t="s">
        <v>12</v>
      </c>
      <c r="K2018">
        <v>31</v>
      </c>
      <c r="L2018" t="str">
        <f>IF(Table1[[#This Row],[Age]]&lt;30,"20-29",
IF(Table1[[#This Row],[Age]]&lt;40,"30-39",
IF(Table1[[#This Row],[Age]]&lt;50,"40-49",
IF(Table1[[#This Row],[Age]]&lt;60,"50-59","60+"))))</f>
        <v>30-39</v>
      </c>
      <c r="M2018" t="s">
        <v>16</v>
      </c>
      <c r="N2018" t="s">
        <v>33</v>
      </c>
    </row>
    <row r="2019" spans="1:14" x14ac:dyDescent="0.35">
      <c r="A2019">
        <v>2118</v>
      </c>
      <c r="B2019" t="s">
        <v>36</v>
      </c>
      <c r="C2019" s="6">
        <v>44619</v>
      </c>
      <c r="D2019">
        <f>YEAR(Table1[[#This Row],[Join Date]])</f>
        <v>2022</v>
      </c>
      <c r="E2019" s="6" t="s">
        <v>48</v>
      </c>
      <c r="F2019" t="str">
        <f>IFERROR(YEAR(Table1[[#This Row],[Exit Date]]), " ")</f>
        <v xml:space="preserve"> </v>
      </c>
      <c r="G2019" t="str">
        <f>IFERROR((Table1[[#This Row],[Exit Year]]-Table1[[#This Row],[Join Year]])+1," ")</f>
        <v xml:space="preserve"> </v>
      </c>
      <c r="H2019" t="s">
        <v>48</v>
      </c>
      <c r="I2019" t="s">
        <v>11</v>
      </c>
      <c r="J2019" t="s">
        <v>12</v>
      </c>
      <c r="K2019">
        <v>51</v>
      </c>
      <c r="L2019" t="str">
        <f>IF(Table1[[#This Row],[Age]]&lt;30,"20-29",
IF(Table1[[#This Row],[Age]]&lt;40,"30-39",
IF(Table1[[#This Row],[Age]]&lt;50,"40-49",
IF(Table1[[#This Row],[Age]]&lt;60,"50-59","60+"))))</f>
        <v>50-59</v>
      </c>
      <c r="M2019" t="s">
        <v>16</v>
      </c>
      <c r="N2019" t="s">
        <v>35</v>
      </c>
    </row>
    <row r="2020" spans="1:14" x14ac:dyDescent="0.35">
      <c r="A2020">
        <v>2119</v>
      </c>
      <c r="B2020" t="s">
        <v>10</v>
      </c>
      <c r="C2020" s="6">
        <v>45485</v>
      </c>
      <c r="D2020">
        <f>YEAR(Table1[[#This Row],[Join Date]])</f>
        <v>2024</v>
      </c>
      <c r="E2020" s="6" t="s">
        <v>48</v>
      </c>
      <c r="F2020" t="str">
        <f>IFERROR(YEAR(Table1[[#This Row],[Exit Date]]), " ")</f>
        <v xml:space="preserve"> </v>
      </c>
      <c r="G2020" t="str">
        <f>IFERROR((Table1[[#This Row],[Exit Year]]-Table1[[#This Row],[Join Year]])+1," ")</f>
        <v xml:space="preserve"> </v>
      </c>
      <c r="H2020" t="s">
        <v>48</v>
      </c>
      <c r="I2020" t="s">
        <v>11</v>
      </c>
      <c r="J2020" t="s">
        <v>18</v>
      </c>
      <c r="K2020">
        <v>48</v>
      </c>
      <c r="L2020" t="str">
        <f>IF(Table1[[#This Row],[Age]]&lt;30,"20-29",
IF(Table1[[#This Row],[Age]]&lt;40,"30-39",
IF(Table1[[#This Row],[Age]]&lt;50,"40-49",
IF(Table1[[#This Row],[Age]]&lt;60,"50-59","60+"))))</f>
        <v>40-49</v>
      </c>
      <c r="M2020" t="s">
        <v>20</v>
      </c>
      <c r="N2020" t="s">
        <v>37</v>
      </c>
    </row>
    <row r="2021" spans="1:14" x14ac:dyDescent="0.35">
      <c r="A2021">
        <v>2120</v>
      </c>
      <c r="B2021" t="s">
        <v>29</v>
      </c>
      <c r="C2021" s="6">
        <v>43588</v>
      </c>
      <c r="D2021">
        <f>YEAR(Table1[[#This Row],[Join Date]])</f>
        <v>2019</v>
      </c>
      <c r="E2021" s="6">
        <v>44896</v>
      </c>
      <c r="F2021">
        <f>IFERROR(YEAR(Table1[[#This Row],[Exit Date]]), " ")</f>
        <v>2022</v>
      </c>
      <c r="G2021">
        <f>IFERROR((Table1[[#This Row],[Exit Year]]-Table1[[#This Row],[Join Year]])+1," ")</f>
        <v>4</v>
      </c>
      <c r="H2021" t="s">
        <v>41</v>
      </c>
      <c r="I2021" t="s">
        <v>23</v>
      </c>
      <c r="J2021" t="s">
        <v>18</v>
      </c>
      <c r="K2021">
        <v>41</v>
      </c>
      <c r="L2021" t="str">
        <f>IF(Table1[[#This Row],[Age]]&lt;30,"20-29",
IF(Table1[[#This Row],[Age]]&lt;40,"30-39",
IF(Table1[[#This Row],[Age]]&lt;50,"40-49",
IF(Table1[[#This Row],[Age]]&lt;60,"50-59","60+"))))</f>
        <v>40-49</v>
      </c>
      <c r="M2021" t="s">
        <v>24</v>
      </c>
      <c r="N2021" t="s">
        <v>19</v>
      </c>
    </row>
    <row r="2022" spans="1:14" x14ac:dyDescent="0.35">
      <c r="A2022">
        <v>2121</v>
      </c>
      <c r="B2022" t="s">
        <v>36</v>
      </c>
      <c r="C2022" s="6">
        <v>44250</v>
      </c>
      <c r="D2022">
        <f>YEAR(Table1[[#This Row],[Join Date]])</f>
        <v>2021</v>
      </c>
      <c r="E2022" s="6">
        <v>45392</v>
      </c>
      <c r="F2022">
        <f>IFERROR(YEAR(Table1[[#This Row],[Exit Date]]), " ")</f>
        <v>2024</v>
      </c>
      <c r="G2022">
        <f>IFERROR((Table1[[#This Row],[Exit Year]]-Table1[[#This Row],[Join Year]])+1," ")</f>
        <v>4</v>
      </c>
      <c r="H2022" t="s">
        <v>46</v>
      </c>
      <c r="I2022" t="s">
        <v>23</v>
      </c>
      <c r="J2022" t="s">
        <v>12</v>
      </c>
      <c r="K2022">
        <v>35</v>
      </c>
      <c r="L2022" t="str">
        <f>IF(Table1[[#This Row],[Age]]&lt;30,"20-29",
IF(Table1[[#This Row],[Age]]&lt;40,"30-39",
IF(Table1[[#This Row],[Age]]&lt;50,"40-49",
IF(Table1[[#This Row],[Age]]&lt;60,"50-59","60+"))))</f>
        <v>30-39</v>
      </c>
      <c r="M2022" t="s">
        <v>13</v>
      </c>
      <c r="N2022" t="s">
        <v>25</v>
      </c>
    </row>
    <row r="2023" spans="1:14" x14ac:dyDescent="0.35">
      <c r="A2023">
        <v>2122</v>
      </c>
      <c r="B2023" t="s">
        <v>26</v>
      </c>
      <c r="C2023" s="6">
        <v>45244</v>
      </c>
      <c r="D2023">
        <f>YEAR(Table1[[#This Row],[Join Date]])</f>
        <v>2023</v>
      </c>
      <c r="E2023" s="6">
        <v>45446</v>
      </c>
      <c r="F2023">
        <f>IFERROR(YEAR(Table1[[#This Row],[Exit Date]]), " ")</f>
        <v>2024</v>
      </c>
      <c r="G2023">
        <f>IFERROR((Table1[[#This Row],[Exit Year]]-Table1[[#This Row],[Join Year]])+1," ")</f>
        <v>2</v>
      </c>
      <c r="H2023" t="s">
        <v>40</v>
      </c>
      <c r="I2023" t="s">
        <v>23</v>
      </c>
      <c r="J2023" t="s">
        <v>18</v>
      </c>
      <c r="K2023">
        <v>24</v>
      </c>
      <c r="L2023" t="str">
        <f>IF(Table1[[#This Row],[Age]]&lt;30,"20-29",
IF(Table1[[#This Row],[Age]]&lt;40,"30-39",
IF(Table1[[#This Row],[Age]]&lt;50,"40-49",
IF(Table1[[#This Row],[Age]]&lt;60,"50-59","60+"))))</f>
        <v>20-29</v>
      </c>
      <c r="M2023" t="s">
        <v>44</v>
      </c>
      <c r="N2023" t="s">
        <v>35</v>
      </c>
    </row>
    <row r="2024" spans="1:14" x14ac:dyDescent="0.35">
      <c r="A2024">
        <v>2123</v>
      </c>
      <c r="B2024" t="s">
        <v>15</v>
      </c>
      <c r="C2024" s="6">
        <v>45256</v>
      </c>
      <c r="D2024">
        <f>YEAR(Table1[[#This Row],[Join Date]])</f>
        <v>2023</v>
      </c>
      <c r="E2024" s="6" t="s">
        <v>48</v>
      </c>
      <c r="F2024" t="str">
        <f>IFERROR(YEAR(Table1[[#This Row],[Exit Date]]), " ")</f>
        <v xml:space="preserve"> </v>
      </c>
      <c r="G2024" t="str">
        <f>IFERROR((Table1[[#This Row],[Exit Year]]-Table1[[#This Row],[Join Year]])+1," ")</f>
        <v xml:space="preserve"> </v>
      </c>
      <c r="H2024" t="s">
        <v>48</v>
      </c>
      <c r="I2024" t="s">
        <v>11</v>
      </c>
      <c r="J2024" t="s">
        <v>12</v>
      </c>
      <c r="K2024">
        <v>41</v>
      </c>
      <c r="L2024" t="str">
        <f>IF(Table1[[#This Row],[Age]]&lt;30,"20-29",
IF(Table1[[#This Row],[Age]]&lt;40,"30-39",
IF(Table1[[#This Row],[Age]]&lt;50,"40-49",
IF(Table1[[#This Row],[Age]]&lt;60,"50-59","60+"))))</f>
        <v>40-49</v>
      </c>
      <c r="M2024" t="s">
        <v>13</v>
      </c>
      <c r="N2024" t="s">
        <v>17</v>
      </c>
    </row>
    <row r="2025" spans="1:14" x14ac:dyDescent="0.35">
      <c r="A2025">
        <v>2124</v>
      </c>
      <c r="B2025" t="s">
        <v>26</v>
      </c>
      <c r="C2025" s="6">
        <v>45465</v>
      </c>
      <c r="D2025">
        <f>YEAR(Table1[[#This Row],[Join Date]])</f>
        <v>2024</v>
      </c>
      <c r="E2025" s="6" t="s">
        <v>48</v>
      </c>
      <c r="F2025" t="str">
        <f>IFERROR(YEAR(Table1[[#This Row],[Exit Date]]), " ")</f>
        <v xml:space="preserve"> </v>
      </c>
      <c r="G2025" t="str">
        <f>IFERROR((Table1[[#This Row],[Exit Year]]-Table1[[#This Row],[Join Year]])+1," ")</f>
        <v xml:space="preserve"> </v>
      </c>
      <c r="H2025" t="s">
        <v>48</v>
      </c>
      <c r="I2025" t="s">
        <v>11</v>
      </c>
      <c r="J2025" t="s">
        <v>12</v>
      </c>
      <c r="K2025">
        <v>40</v>
      </c>
      <c r="L2025" t="str">
        <f>IF(Table1[[#This Row],[Age]]&lt;30,"20-29",
IF(Table1[[#This Row],[Age]]&lt;40,"30-39",
IF(Table1[[#This Row],[Age]]&lt;50,"40-49",
IF(Table1[[#This Row],[Age]]&lt;60,"50-59","60+"))))</f>
        <v>40-49</v>
      </c>
      <c r="M2025" t="s">
        <v>13</v>
      </c>
      <c r="N2025" t="s">
        <v>19</v>
      </c>
    </row>
    <row r="2026" spans="1:14" x14ac:dyDescent="0.35">
      <c r="A2026">
        <v>2125</v>
      </c>
      <c r="B2026" t="s">
        <v>10</v>
      </c>
      <c r="C2026" s="6">
        <v>43597</v>
      </c>
      <c r="D2026">
        <f>YEAR(Table1[[#This Row],[Join Date]])</f>
        <v>2019</v>
      </c>
      <c r="E2026" s="6" t="s">
        <v>48</v>
      </c>
      <c r="F2026" t="str">
        <f>IFERROR(YEAR(Table1[[#This Row],[Exit Date]]), " ")</f>
        <v xml:space="preserve"> </v>
      </c>
      <c r="G2026" t="str">
        <f>IFERROR((Table1[[#This Row],[Exit Year]]-Table1[[#This Row],[Join Year]])+1," ")</f>
        <v xml:space="preserve"> </v>
      </c>
      <c r="H2026" t="s">
        <v>48</v>
      </c>
      <c r="I2026" t="s">
        <v>11</v>
      </c>
      <c r="J2026" t="s">
        <v>12</v>
      </c>
      <c r="K2026">
        <v>48</v>
      </c>
      <c r="L2026" t="str">
        <f>IF(Table1[[#This Row],[Age]]&lt;30,"20-29",
IF(Table1[[#This Row],[Age]]&lt;40,"30-39",
IF(Table1[[#This Row],[Age]]&lt;50,"40-49",
IF(Table1[[#This Row],[Age]]&lt;60,"50-59","60+"))))</f>
        <v>40-49</v>
      </c>
      <c r="M2026" t="s">
        <v>16</v>
      </c>
      <c r="N2026" t="s">
        <v>21</v>
      </c>
    </row>
    <row r="2027" spans="1:14" x14ac:dyDescent="0.35">
      <c r="A2027">
        <v>2126</v>
      </c>
      <c r="B2027" t="s">
        <v>15</v>
      </c>
      <c r="C2027" s="6">
        <v>44866</v>
      </c>
      <c r="D2027">
        <f>YEAR(Table1[[#This Row],[Join Date]])</f>
        <v>2022</v>
      </c>
      <c r="E2027" s="6" t="s">
        <v>48</v>
      </c>
      <c r="F2027" t="str">
        <f>IFERROR(YEAR(Table1[[#This Row],[Exit Date]]), " ")</f>
        <v xml:space="preserve"> </v>
      </c>
      <c r="G2027" t="str">
        <f>IFERROR((Table1[[#This Row],[Exit Year]]-Table1[[#This Row],[Join Year]])+1," ")</f>
        <v xml:space="preserve"> </v>
      </c>
      <c r="H2027" t="s">
        <v>48</v>
      </c>
      <c r="I2027" t="s">
        <v>11</v>
      </c>
      <c r="J2027" t="s">
        <v>18</v>
      </c>
      <c r="K2027">
        <v>52</v>
      </c>
      <c r="L2027" t="str">
        <f>IF(Table1[[#This Row],[Age]]&lt;30,"20-29",
IF(Table1[[#This Row],[Age]]&lt;40,"30-39",
IF(Table1[[#This Row],[Age]]&lt;50,"40-49",
IF(Table1[[#This Row],[Age]]&lt;60,"50-59","60+"))))</f>
        <v>50-59</v>
      </c>
      <c r="M2027" t="s">
        <v>13</v>
      </c>
      <c r="N2027" t="s">
        <v>25</v>
      </c>
    </row>
    <row r="2028" spans="1:14" x14ac:dyDescent="0.35">
      <c r="A2028">
        <v>2127</v>
      </c>
      <c r="B2028" t="s">
        <v>34</v>
      </c>
      <c r="C2028" s="6">
        <v>44006</v>
      </c>
      <c r="D2028">
        <f>YEAR(Table1[[#This Row],[Join Date]])</f>
        <v>2020</v>
      </c>
      <c r="E2028" s="6">
        <v>44463</v>
      </c>
      <c r="F2028">
        <f>IFERROR(YEAR(Table1[[#This Row],[Exit Date]]), " ")</f>
        <v>2021</v>
      </c>
      <c r="G2028">
        <f>IFERROR((Table1[[#This Row],[Exit Year]]-Table1[[#This Row],[Join Year]])+1," ")</f>
        <v>2</v>
      </c>
      <c r="H2028" t="s">
        <v>43</v>
      </c>
      <c r="I2028" t="s">
        <v>23</v>
      </c>
      <c r="J2028" t="s">
        <v>12</v>
      </c>
      <c r="K2028">
        <v>33</v>
      </c>
      <c r="L2028" t="str">
        <f>IF(Table1[[#This Row],[Age]]&lt;30,"20-29",
IF(Table1[[#This Row],[Age]]&lt;40,"30-39",
IF(Table1[[#This Row],[Age]]&lt;50,"40-49",
IF(Table1[[#This Row],[Age]]&lt;60,"50-59","60+"))))</f>
        <v>30-39</v>
      </c>
      <c r="M2028" t="s">
        <v>20</v>
      </c>
      <c r="N2028" t="s">
        <v>35</v>
      </c>
    </row>
    <row r="2029" spans="1:14" x14ac:dyDescent="0.35">
      <c r="A2029">
        <v>2128</v>
      </c>
      <c r="B2029" t="s">
        <v>26</v>
      </c>
      <c r="C2029" s="6">
        <v>45095</v>
      </c>
      <c r="D2029">
        <f>YEAR(Table1[[#This Row],[Join Date]])</f>
        <v>2023</v>
      </c>
      <c r="E2029" s="6" t="s">
        <v>48</v>
      </c>
      <c r="F2029" t="str">
        <f>IFERROR(YEAR(Table1[[#This Row],[Exit Date]]), " ")</f>
        <v xml:space="preserve"> </v>
      </c>
      <c r="G2029" t="str">
        <f>IFERROR((Table1[[#This Row],[Exit Year]]-Table1[[#This Row],[Join Year]])+1," ")</f>
        <v xml:space="preserve"> </v>
      </c>
      <c r="H2029" t="s">
        <v>48</v>
      </c>
      <c r="I2029" t="s">
        <v>11</v>
      </c>
      <c r="J2029" t="s">
        <v>18</v>
      </c>
      <c r="K2029">
        <v>51</v>
      </c>
      <c r="L2029" t="str">
        <f>IF(Table1[[#This Row],[Age]]&lt;30,"20-29",
IF(Table1[[#This Row],[Age]]&lt;40,"30-39",
IF(Table1[[#This Row],[Age]]&lt;50,"40-49",
IF(Table1[[#This Row],[Age]]&lt;60,"50-59","60+"))))</f>
        <v>50-59</v>
      </c>
      <c r="M2029" t="s">
        <v>39</v>
      </c>
      <c r="N2029" t="s">
        <v>14</v>
      </c>
    </row>
    <row r="2030" spans="1:14" x14ac:dyDescent="0.35">
      <c r="A2030">
        <v>2129</v>
      </c>
      <c r="B2030" t="s">
        <v>10</v>
      </c>
      <c r="C2030" s="6">
        <v>44360</v>
      </c>
      <c r="D2030">
        <f>YEAR(Table1[[#This Row],[Join Date]])</f>
        <v>2021</v>
      </c>
      <c r="E2030" s="6">
        <v>44755</v>
      </c>
      <c r="F2030">
        <f>IFERROR(YEAR(Table1[[#This Row],[Exit Date]]), " ")</f>
        <v>2022</v>
      </c>
      <c r="G2030">
        <f>IFERROR((Table1[[#This Row],[Exit Year]]-Table1[[#This Row],[Join Year]])+1," ")</f>
        <v>2</v>
      </c>
      <c r="H2030" t="s">
        <v>38</v>
      </c>
      <c r="I2030" t="s">
        <v>23</v>
      </c>
      <c r="J2030" t="s">
        <v>12</v>
      </c>
      <c r="K2030">
        <v>46</v>
      </c>
      <c r="L2030" t="str">
        <f>IF(Table1[[#This Row],[Age]]&lt;30,"20-29",
IF(Table1[[#This Row],[Age]]&lt;40,"30-39",
IF(Table1[[#This Row],[Age]]&lt;50,"40-49",
IF(Table1[[#This Row],[Age]]&lt;60,"50-59","60+"))))</f>
        <v>40-49</v>
      </c>
      <c r="M2030" t="s">
        <v>13</v>
      </c>
      <c r="N2030" t="s">
        <v>19</v>
      </c>
    </row>
    <row r="2031" spans="1:14" x14ac:dyDescent="0.35">
      <c r="A2031">
        <v>2130</v>
      </c>
      <c r="B2031" t="s">
        <v>26</v>
      </c>
      <c r="C2031" s="6">
        <v>43419</v>
      </c>
      <c r="D2031">
        <f>YEAR(Table1[[#This Row],[Join Date]])</f>
        <v>2018</v>
      </c>
      <c r="E2031" s="6">
        <v>44303</v>
      </c>
      <c r="F2031">
        <f>IFERROR(YEAR(Table1[[#This Row],[Exit Date]]), " ")</f>
        <v>2021</v>
      </c>
      <c r="G2031">
        <f>IFERROR((Table1[[#This Row],[Exit Year]]-Table1[[#This Row],[Join Year]])+1," ")</f>
        <v>4</v>
      </c>
      <c r="H2031" t="s">
        <v>22</v>
      </c>
      <c r="I2031" t="s">
        <v>23</v>
      </c>
      <c r="J2031" t="s">
        <v>18</v>
      </c>
      <c r="K2031">
        <v>53</v>
      </c>
      <c r="L2031" t="str">
        <f>IF(Table1[[#This Row],[Age]]&lt;30,"20-29",
IF(Table1[[#This Row],[Age]]&lt;40,"30-39",
IF(Table1[[#This Row],[Age]]&lt;50,"40-49",
IF(Table1[[#This Row],[Age]]&lt;60,"50-59","60+"))))</f>
        <v>50-59</v>
      </c>
      <c r="M2031" t="s">
        <v>16</v>
      </c>
      <c r="N2031" t="s">
        <v>21</v>
      </c>
    </row>
    <row r="2032" spans="1:14" x14ac:dyDescent="0.35">
      <c r="A2032">
        <v>2131</v>
      </c>
      <c r="B2032" t="s">
        <v>36</v>
      </c>
      <c r="C2032" s="6">
        <v>44249</v>
      </c>
      <c r="D2032">
        <f>YEAR(Table1[[#This Row],[Join Date]])</f>
        <v>2021</v>
      </c>
      <c r="E2032" s="6" t="s">
        <v>48</v>
      </c>
      <c r="F2032" t="str">
        <f>IFERROR(YEAR(Table1[[#This Row],[Exit Date]]), " ")</f>
        <v xml:space="preserve"> </v>
      </c>
      <c r="G2032" t="str">
        <f>IFERROR((Table1[[#This Row],[Exit Year]]-Table1[[#This Row],[Join Year]])+1," ")</f>
        <v xml:space="preserve"> </v>
      </c>
      <c r="H2032" t="s">
        <v>48</v>
      </c>
      <c r="I2032" t="s">
        <v>11</v>
      </c>
      <c r="J2032" t="s">
        <v>18</v>
      </c>
      <c r="K2032">
        <v>35</v>
      </c>
      <c r="L2032" t="str">
        <f>IF(Table1[[#This Row],[Age]]&lt;30,"20-29",
IF(Table1[[#This Row],[Age]]&lt;40,"30-39",
IF(Table1[[#This Row],[Age]]&lt;50,"40-49",
IF(Table1[[#This Row],[Age]]&lt;60,"50-59","60+"))))</f>
        <v>30-39</v>
      </c>
      <c r="M2032" t="s">
        <v>16</v>
      </c>
      <c r="N2032" t="s">
        <v>37</v>
      </c>
    </row>
    <row r="2033" spans="1:14" x14ac:dyDescent="0.35">
      <c r="A2033">
        <v>2132</v>
      </c>
      <c r="B2033" t="s">
        <v>10</v>
      </c>
      <c r="C2033" s="6">
        <v>45533</v>
      </c>
      <c r="D2033">
        <f>YEAR(Table1[[#This Row],[Join Date]])</f>
        <v>2024</v>
      </c>
      <c r="E2033" s="6" t="s">
        <v>48</v>
      </c>
      <c r="F2033" t="str">
        <f>IFERROR(YEAR(Table1[[#This Row],[Exit Date]]), " ")</f>
        <v xml:space="preserve"> </v>
      </c>
      <c r="G2033" t="str">
        <f>IFERROR((Table1[[#This Row],[Exit Year]]-Table1[[#This Row],[Join Year]])+1," ")</f>
        <v xml:space="preserve"> </v>
      </c>
      <c r="H2033" t="s">
        <v>48</v>
      </c>
      <c r="I2033" t="s">
        <v>11</v>
      </c>
      <c r="J2033" t="s">
        <v>12</v>
      </c>
      <c r="K2033">
        <v>32</v>
      </c>
      <c r="L2033" t="str">
        <f>IF(Table1[[#This Row],[Age]]&lt;30,"20-29",
IF(Table1[[#This Row],[Age]]&lt;40,"30-39",
IF(Table1[[#This Row],[Age]]&lt;50,"40-49",
IF(Table1[[#This Row],[Age]]&lt;60,"50-59","60+"))))</f>
        <v>30-39</v>
      </c>
      <c r="M2033" t="s">
        <v>20</v>
      </c>
      <c r="N2033" t="s">
        <v>25</v>
      </c>
    </row>
    <row r="2034" spans="1:14" x14ac:dyDescent="0.35">
      <c r="A2034">
        <v>2133</v>
      </c>
      <c r="B2034" t="s">
        <v>36</v>
      </c>
      <c r="C2034" s="6">
        <v>44377</v>
      </c>
      <c r="D2034">
        <f>YEAR(Table1[[#This Row],[Join Date]])</f>
        <v>2021</v>
      </c>
      <c r="E2034" s="6" t="s">
        <v>48</v>
      </c>
      <c r="F2034" t="str">
        <f>IFERROR(YEAR(Table1[[#This Row],[Exit Date]]), " ")</f>
        <v xml:space="preserve"> </v>
      </c>
      <c r="G2034" t="str">
        <f>IFERROR((Table1[[#This Row],[Exit Year]]-Table1[[#This Row],[Join Year]])+1," ")</f>
        <v xml:space="preserve"> </v>
      </c>
      <c r="H2034" t="s">
        <v>48</v>
      </c>
      <c r="I2034" t="s">
        <v>11</v>
      </c>
      <c r="J2034" t="s">
        <v>18</v>
      </c>
      <c r="K2034">
        <v>46</v>
      </c>
      <c r="L2034" t="str">
        <f>IF(Table1[[#This Row],[Age]]&lt;30,"20-29",
IF(Table1[[#This Row],[Age]]&lt;40,"30-39",
IF(Table1[[#This Row],[Age]]&lt;50,"40-49",
IF(Table1[[#This Row],[Age]]&lt;60,"50-59","60+"))))</f>
        <v>40-49</v>
      </c>
      <c r="M2034" t="s">
        <v>24</v>
      </c>
      <c r="N2034" t="s">
        <v>35</v>
      </c>
    </row>
    <row r="2035" spans="1:14" x14ac:dyDescent="0.35">
      <c r="A2035">
        <v>2134</v>
      </c>
      <c r="B2035" t="s">
        <v>10</v>
      </c>
      <c r="C2035" s="6">
        <v>44088</v>
      </c>
      <c r="D2035">
        <f>YEAR(Table1[[#This Row],[Join Date]])</f>
        <v>2020</v>
      </c>
      <c r="E2035" s="6" t="s">
        <v>48</v>
      </c>
      <c r="F2035" t="str">
        <f>IFERROR(YEAR(Table1[[#This Row],[Exit Date]]), " ")</f>
        <v xml:space="preserve"> </v>
      </c>
      <c r="G2035" t="str">
        <f>IFERROR((Table1[[#This Row],[Exit Year]]-Table1[[#This Row],[Join Year]])+1," ")</f>
        <v xml:space="preserve"> </v>
      </c>
      <c r="H2035" t="s">
        <v>48</v>
      </c>
      <c r="I2035" t="s">
        <v>11</v>
      </c>
      <c r="J2035" t="s">
        <v>18</v>
      </c>
      <c r="K2035">
        <v>50</v>
      </c>
      <c r="L2035" t="str">
        <f>IF(Table1[[#This Row],[Age]]&lt;30,"20-29",
IF(Table1[[#This Row],[Age]]&lt;40,"30-39",
IF(Table1[[#This Row],[Age]]&lt;50,"40-49",
IF(Table1[[#This Row],[Age]]&lt;60,"50-59","60+"))))</f>
        <v>50-59</v>
      </c>
      <c r="M2035" t="s">
        <v>13</v>
      </c>
      <c r="N2035" t="s">
        <v>14</v>
      </c>
    </row>
    <row r="2036" spans="1:14" x14ac:dyDescent="0.35">
      <c r="A2036">
        <v>2135</v>
      </c>
      <c r="B2036" t="s">
        <v>26</v>
      </c>
      <c r="C2036" s="6">
        <v>43373</v>
      </c>
      <c r="D2036">
        <f>YEAR(Table1[[#This Row],[Join Date]])</f>
        <v>2018</v>
      </c>
      <c r="E2036" s="6">
        <v>44825</v>
      </c>
      <c r="F2036">
        <f>IFERROR(YEAR(Table1[[#This Row],[Exit Date]]), " ")</f>
        <v>2022</v>
      </c>
      <c r="G2036">
        <f>IFERROR((Table1[[#This Row],[Exit Year]]-Table1[[#This Row],[Join Year]])+1," ")</f>
        <v>5</v>
      </c>
      <c r="H2036" t="s">
        <v>27</v>
      </c>
      <c r="I2036" t="s">
        <v>23</v>
      </c>
      <c r="J2036" t="s">
        <v>12</v>
      </c>
      <c r="K2036">
        <v>64</v>
      </c>
      <c r="L2036" t="str">
        <f>IF(Table1[[#This Row],[Age]]&lt;30,"20-29",
IF(Table1[[#This Row],[Age]]&lt;40,"30-39",
IF(Table1[[#This Row],[Age]]&lt;50,"40-49",
IF(Table1[[#This Row],[Age]]&lt;60,"50-59","60+"))))</f>
        <v>60+</v>
      </c>
      <c r="M2036" t="s">
        <v>42</v>
      </c>
      <c r="N2036" t="s">
        <v>17</v>
      </c>
    </row>
    <row r="2037" spans="1:14" x14ac:dyDescent="0.35">
      <c r="A2037">
        <v>2136</v>
      </c>
      <c r="B2037" t="s">
        <v>26</v>
      </c>
      <c r="C2037" s="6">
        <v>43314</v>
      </c>
      <c r="D2037">
        <f>YEAR(Table1[[#This Row],[Join Date]])</f>
        <v>2018</v>
      </c>
      <c r="E2037" s="6" t="s">
        <v>48</v>
      </c>
      <c r="F2037" t="str">
        <f>IFERROR(YEAR(Table1[[#This Row],[Exit Date]]), " ")</f>
        <v xml:space="preserve"> </v>
      </c>
      <c r="G2037" t="str">
        <f>IFERROR((Table1[[#This Row],[Exit Year]]-Table1[[#This Row],[Join Year]])+1," ")</f>
        <v xml:space="preserve"> </v>
      </c>
      <c r="H2037" t="s">
        <v>48</v>
      </c>
      <c r="I2037" t="s">
        <v>11</v>
      </c>
      <c r="J2037" t="s">
        <v>12</v>
      </c>
      <c r="K2037">
        <v>29</v>
      </c>
      <c r="L2037" t="str">
        <f>IF(Table1[[#This Row],[Age]]&lt;30,"20-29",
IF(Table1[[#This Row],[Age]]&lt;40,"30-39",
IF(Table1[[#This Row],[Age]]&lt;50,"40-49",
IF(Table1[[#This Row],[Age]]&lt;60,"50-59","60+"))))</f>
        <v>20-29</v>
      </c>
      <c r="M2037" t="s">
        <v>13</v>
      </c>
      <c r="N2037" t="s">
        <v>19</v>
      </c>
    </row>
    <row r="2038" spans="1:14" x14ac:dyDescent="0.35">
      <c r="A2038">
        <v>2137</v>
      </c>
      <c r="B2038" t="s">
        <v>26</v>
      </c>
      <c r="C2038" s="6">
        <v>44418</v>
      </c>
      <c r="D2038">
        <f>YEAR(Table1[[#This Row],[Join Date]])</f>
        <v>2021</v>
      </c>
      <c r="E2038" s="6">
        <v>45628</v>
      </c>
      <c r="F2038">
        <f>IFERROR(YEAR(Table1[[#This Row],[Exit Date]]), " ")</f>
        <v>2024</v>
      </c>
      <c r="G2038">
        <f>IFERROR((Table1[[#This Row],[Exit Year]]-Table1[[#This Row],[Join Year]])+1," ")</f>
        <v>4</v>
      </c>
      <c r="H2038" t="s">
        <v>22</v>
      </c>
      <c r="I2038" t="s">
        <v>23</v>
      </c>
      <c r="J2038" t="s">
        <v>12</v>
      </c>
      <c r="K2038">
        <v>27</v>
      </c>
      <c r="L2038" t="str">
        <f>IF(Table1[[#This Row],[Age]]&lt;30,"20-29",
IF(Table1[[#This Row],[Age]]&lt;40,"30-39",
IF(Table1[[#This Row],[Age]]&lt;50,"40-49",
IF(Table1[[#This Row],[Age]]&lt;60,"50-59","60+"))))</f>
        <v>20-29</v>
      </c>
      <c r="M2038" t="s">
        <v>13</v>
      </c>
      <c r="N2038" t="s">
        <v>21</v>
      </c>
    </row>
    <row r="2039" spans="1:14" x14ac:dyDescent="0.35">
      <c r="A2039">
        <v>2138</v>
      </c>
      <c r="B2039" t="s">
        <v>34</v>
      </c>
      <c r="C2039" s="6">
        <v>44324</v>
      </c>
      <c r="D2039">
        <f>YEAR(Table1[[#This Row],[Join Date]])</f>
        <v>2021</v>
      </c>
      <c r="E2039" s="6">
        <v>45076</v>
      </c>
      <c r="F2039">
        <f>IFERROR(YEAR(Table1[[#This Row],[Exit Date]]), " ")</f>
        <v>2023</v>
      </c>
      <c r="G2039">
        <f>IFERROR((Table1[[#This Row],[Exit Year]]-Table1[[#This Row],[Join Year]])+1," ")</f>
        <v>3</v>
      </c>
      <c r="H2039" t="s">
        <v>40</v>
      </c>
      <c r="I2039" t="s">
        <v>23</v>
      </c>
      <c r="J2039" t="s">
        <v>18</v>
      </c>
      <c r="K2039">
        <v>31</v>
      </c>
      <c r="L2039" t="str">
        <f>IF(Table1[[#This Row],[Age]]&lt;30,"20-29",
IF(Table1[[#This Row],[Age]]&lt;40,"30-39",
IF(Table1[[#This Row],[Age]]&lt;50,"40-49",
IF(Table1[[#This Row],[Age]]&lt;60,"50-59","60+"))))</f>
        <v>30-39</v>
      </c>
      <c r="M2039" t="s">
        <v>16</v>
      </c>
      <c r="N2039" t="s">
        <v>25</v>
      </c>
    </row>
    <row r="2040" spans="1:14" x14ac:dyDescent="0.35">
      <c r="A2040">
        <v>2139</v>
      </c>
      <c r="B2040" t="s">
        <v>10</v>
      </c>
      <c r="C2040" s="6">
        <v>43513</v>
      </c>
      <c r="D2040">
        <f>YEAR(Table1[[#This Row],[Join Date]])</f>
        <v>2019</v>
      </c>
      <c r="E2040" s="6">
        <v>44923</v>
      </c>
      <c r="F2040">
        <f>IFERROR(YEAR(Table1[[#This Row],[Exit Date]]), " ")</f>
        <v>2022</v>
      </c>
      <c r="G2040">
        <f>IFERROR((Table1[[#This Row],[Exit Year]]-Table1[[#This Row],[Join Year]])+1," ")</f>
        <v>4</v>
      </c>
      <c r="H2040" t="s">
        <v>38</v>
      </c>
      <c r="I2040" t="s">
        <v>23</v>
      </c>
      <c r="J2040" t="s">
        <v>18</v>
      </c>
      <c r="K2040">
        <v>24</v>
      </c>
      <c r="L2040" t="str">
        <f>IF(Table1[[#This Row],[Age]]&lt;30,"20-29",
IF(Table1[[#This Row],[Age]]&lt;40,"30-39",
IF(Table1[[#This Row],[Age]]&lt;50,"40-49",
IF(Table1[[#This Row],[Age]]&lt;60,"50-59","60+"))))</f>
        <v>20-29</v>
      </c>
      <c r="M2040" t="s">
        <v>13</v>
      </c>
      <c r="N2040" t="s">
        <v>28</v>
      </c>
    </row>
    <row r="2041" spans="1:14" x14ac:dyDescent="0.35">
      <c r="A2041">
        <v>2140</v>
      </c>
      <c r="B2041" t="s">
        <v>36</v>
      </c>
      <c r="C2041" s="6">
        <v>44180</v>
      </c>
      <c r="D2041">
        <f>YEAR(Table1[[#This Row],[Join Date]])</f>
        <v>2020</v>
      </c>
      <c r="E2041" s="6" t="s">
        <v>48</v>
      </c>
      <c r="F2041" t="str">
        <f>IFERROR(YEAR(Table1[[#This Row],[Exit Date]]), " ")</f>
        <v xml:space="preserve"> </v>
      </c>
      <c r="G2041" t="str">
        <f>IFERROR((Table1[[#This Row],[Exit Year]]-Table1[[#This Row],[Join Year]])+1," ")</f>
        <v xml:space="preserve"> </v>
      </c>
      <c r="H2041" t="s">
        <v>48</v>
      </c>
      <c r="I2041" t="s">
        <v>11</v>
      </c>
      <c r="J2041" t="s">
        <v>12</v>
      </c>
      <c r="K2041">
        <v>37</v>
      </c>
      <c r="L2041" t="str">
        <f>IF(Table1[[#This Row],[Age]]&lt;30,"20-29",
IF(Table1[[#This Row],[Age]]&lt;40,"30-39",
IF(Table1[[#This Row],[Age]]&lt;50,"40-49",
IF(Table1[[#This Row],[Age]]&lt;60,"50-59","60+"))))</f>
        <v>30-39</v>
      </c>
      <c r="M2041" t="s">
        <v>20</v>
      </c>
      <c r="N2041" t="s">
        <v>31</v>
      </c>
    </row>
    <row r="2042" spans="1:14" x14ac:dyDescent="0.35">
      <c r="A2042">
        <v>2141</v>
      </c>
      <c r="B2042" t="s">
        <v>34</v>
      </c>
      <c r="C2042" s="6">
        <v>44099</v>
      </c>
      <c r="D2042">
        <f>YEAR(Table1[[#This Row],[Join Date]])</f>
        <v>2020</v>
      </c>
      <c r="E2042" s="6" t="s">
        <v>48</v>
      </c>
      <c r="F2042" t="str">
        <f>IFERROR(YEAR(Table1[[#This Row],[Exit Date]]), " ")</f>
        <v xml:space="preserve"> </v>
      </c>
      <c r="G2042" t="str">
        <f>IFERROR((Table1[[#This Row],[Exit Year]]-Table1[[#This Row],[Join Year]])+1," ")</f>
        <v xml:space="preserve"> </v>
      </c>
      <c r="H2042" t="s">
        <v>48</v>
      </c>
      <c r="I2042" t="s">
        <v>11</v>
      </c>
      <c r="J2042" t="s">
        <v>18</v>
      </c>
      <c r="K2042">
        <v>23</v>
      </c>
      <c r="L2042" t="str">
        <f>IF(Table1[[#This Row],[Age]]&lt;30,"20-29",
IF(Table1[[#This Row],[Age]]&lt;40,"30-39",
IF(Table1[[#This Row],[Age]]&lt;50,"40-49",
IF(Table1[[#This Row],[Age]]&lt;60,"50-59","60+"))))</f>
        <v>20-29</v>
      </c>
      <c r="M2042" t="s">
        <v>44</v>
      </c>
      <c r="N2042" t="s">
        <v>32</v>
      </c>
    </row>
    <row r="2043" spans="1:14" x14ac:dyDescent="0.35">
      <c r="A2043">
        <v>2142</v>
      </c>
      <c r="B2043" t="s">
        <v>34</v>
      </c>
      <c r="C2043" s="6">
        <v>45632</v>
      </c>
      <c r="D2043">
        <f>YEAR(Table1[[#This Row],[Join Date]])</f>
        <v>2024</v>
      </c>
      <c r="E2043" s="6" t="s">
        <v>48</v>
      </c>
      <c r="F2043" t="str">
        <f>IFERROR(YEAR(Table1[[#This Row],[Exit Date]]), " ")</f>
        <v xml:space="preserve"> </v>
      </c>
      <c r="G2043" t="str">
        <f>IFERROR((Table1[[#This Row],[Exit Year]]-Table1[[#This Row],[Join Year]])+1," ")</f>
        <v xml:space="preserve"> </v>
      </c>
      <c r="H2043" t="s">
        <v>48</v>
      </c>
      <c r="I2043" t="s">
        <v>11</v>
      </c>
      <c r="J2043" t="s">
        <v>12</v>
      </c>
      <c r="K2043">
        <v>31</v>
      </c>
      <c r="L2043" t="str">
        <f>IF(Table1[[#This Row],[Age]]&lt;30,"20-29",
IF(Table1[[#This Row],[Age]]&lt;40,"30-39",
IF(Table1[[#This Row],[Age]]&lt;50,"40-49",
IF(Table1[[#This Row],[Age]]&lt;60,"50-59","60+"))))</f>
        <v>30-39</v>
      </c>
      <c r="M2043" t="s">
        <v>13</v>
      </c>
      <c r="N2043" t="s">
        <v>33</v>
      </c>
    </row>
    <row r="2044" spans="1:14" x14ac:dyDescent="0.35">
      <c r="A2044">
        <v>2143</v>
      </c>
      <c r="B2044" t="s">
        <v>36</v>
      </c>
      <c r="C2044" s="6">
        <v>45294</v>
      </c>
      <c r="D2044">
        <f>YEAR(Table1[[#This Row],[Join Date]])</f>
        <v>2024</v>
      </c>
      <c r="E2044" s="6" t="s">
        <v>48</v>
      </c>
      <c r="F2044" t="str">
        <f>IFERROR(YEAR(Table1[[#This Row],[Exit Date]]), " ")</f>
        <v xml:space="preserve"> </v>
      </c>
      <c r="G2044" t="str">
        <f>IFERROR((Table1[[#This Row],[Exit Year]]-Table1[[#This Row],[Join Year]])+1," ")</f>
        <v xml:space="preserve"> </v>
      </c>
      <c r="H2044" t="s">
        <v>48</v>
      </c>
      <c r="I2044" t="s">
        <v>11</v>
      </c>
      <c r="J2044" t="s">
        <v>12</v>
      </c>
      <c r="K2044">
        <v>52</v>
      </c>
      <c r="L2044" t="str">
        <f>IF(Table1[[#This Row],[Age]]&lt;30,"20-29",
IF(Table1[[#This Row],[Age]]&lt;40,"30-39",
IF(Table1[[#This Row],[Age]]&lt;50,"40-49",
IF(Table1[[#This Row],[Age]]&lt;60,"50-59","60+"))))</f>
        <v>50-59</v>
      </c>
      <c r="M2044" t="s">
        <v>16</v>
      </c>
      <c r="N2044" t="s">
        <v>35</v>
      </c>
    </row>
    <row r="2045" spans="1:14" x14ac:dyDescent="0.35">
      <c r="A2045">
        <v>2144</v>
      </c>
      <c r="B2045" t="s">
        <v>26</v>
      </c>
      <c r="C2045" s="6">
        <v>44590</v>
      </c>
      <c r="D2045">
        <f>YEAR(Table1[[#This Row],[Join Date]])</f>
        <v>2022</v>
      </c>
      <c r="E2045" s="6" t="s">
        <v>48</v>
      </c>
      <c r="F2045" t="str">
        <f>IFERROR(YEAR(Table1[[#This Row],[Exit Date]]), " ")</f>
        <v xml:space="preserve"> </v>
      </c>
      <c r="G2045" t="str">
        <f>IFERROR((Table1[[#This Row],[Exit Year]]-Table1[[#This Row],[Join Year]])+1," ")</f>
        <v xml:space="preserve"> </v>
      </c>
      <c r="H2045" t="s">
        <v>48</v>
      </c>
      <c r="I2045" t="s">
        <v>11</v>
      </c>
      <c r="J2045" t="s">
        <v>12</v>
      </c>
      <c r="K2045">
        <v>25</v>
      </c>
      <c r="L2045" t="str">
        <f>IF(Table1[[#This Row],[Age]]&lt;30,"20-29",
IF(Table1[[#This Row],[Age]]&lt;40,"30-39",
IF(Table1[[#This Row],[Age]]&lt;50,"40-49",
IF(Table1[[#This Row],[Age]]&lt;60,"50-59","60+"))))</f>
        <v>20-29</v>
      </c>
      <c r="M2045" t="s">
        <v>16</v>
      </c>
      <c r="N2045" t="s">
        <v>37</v>
      </c>
    </row>
    <row r="2046" spans="1:14" x14ac:dyDescent="0.35">
      <c r="A2046">
        <v>2145</v>
      </c>
      <c r="B2046" t="s">
        <v>15</v>
      </c>
      <c r="C2046" s="6">
        <v>45215</v>
      </c>
      <c r="D2046">
        <f>YEAR(Table1[[#This Row],[Join Date]])</f>
        <v>2023</v>
      </c>
      <c r="E2046" s="6" t="s">
        <v>48</v>
      </c>
      <c r="F2046" t="str">
        <f>IFERROR(YEAR(Table1[[#This Row],[Exit Date]]), " ")</f>
        <v xml:space="preserve"> </v>
      </c>
      <c r="G2046" t="str">
        <f>IFERROR((Table1[[#This Row],[Exit Year]]-Table1[[#This Row],[Join Year]])+1," ")</f>
        <v xml:space="preserve"> </v>
      </c>
      <c r="H2046" t="s">
        <v>48</v>
      </c>
      <c r="I2046" t="s">
        <v>11</v>
      </c>
      <c r="J2046" t="s">
        <v>18</v>
      </c>
      <c r="K2046">
        <v>46</v>
      </c>
      <c r="L2046" t="str">
        <f>IF(Table1[[#This Row],[Age]]&lt;30,"20-29",
IF(Table1[[#This Row],[Age]]&lt;40,"30-39",
IF(Table1[[#This Row],[Age]]&lt;50,"40-49",
IF(Table1[[#This Row],[Age]]&lt;60,"50-59","60+"))))</f>
        <v>40-49</v>
      </c>
      <c r="M2046" t="s">
        <v>20</v>
      </c>
      <c r="N2046" t="s">
        <v>19</v>
      </c>
    </row>
    <row r="2047" spans="1:14" x14ac:dyDescent="0.35">
      <c r="A2047">
        <v>2146</v>
      </c>
      <c r="B2047" t="s">
        <v>15</v>
      </c>
      <c r="C2047" s="6">
        <v>43624</v>
      </c>
      <c r="D2047">
        <f>YEAR(Table1[[#This Row],[Join Date]])</f>
        <v>2019</v>
      </c>
      <c r="E2047" s="6">
        <v>44228</v>
      </c>
      <c r="F2047">
        <f>IFERROR(YEAR(Table1[[#This Row],[Exit Date]]), " ")</f>
        <v>2021</v>
      </c>
      <c r="G2047">
        <f>IFERROR((Table1[[#This Row],[Exit Year]]-Table1[[#This Row],[Join Year]])+1," ")</f>
        <v>3</v>
      </c>
      <c r="H2047" t="s">
        <v>41</v>
      </c>
      <c r="I2047" t="s">
        <v>23</v>
      </c>
      <c r="J2047" t="s">
        <v>12</v>
      </c>
      <c r="K2047">
        <v>24</v>
      </c>
      <c r="L2047" t="str">
        <f>IF(Table1[[#This Row],[Age]]&lt;30,"20-29",
IF(Table1[[#This Row],[Age]]&lt;40,"30-39",
IF(Table1[[#This Row],[Age]]&lt;50,"40-49",
IF(Table1[[#This Row],[Age]]&lt;60,"50-59","60+"))))</f>
        <v>20-29</v>
      </c>
      <c r="M2047" t="s">
        <v>24</v>
      </c>
      <c r="N2047" t="s">
        <v>25</v>
      </c>
    </row>
    <row r="2048" spans="1:14" x14ac:dyDescent="0.35">
      <c r="A2048">
        <v>2147</v>
      </c>
      <c r="B2048" t="s">
        <v>15</v>
      </c>
      <c r="C2048" s="6">
        <v>44514</v>
      </c>
      <c r="D2048">
        <f>YEAR(Table1[[#This Row],[Join Date]])</f>
        <v>2021</v>
      </c>
      <c r="E2048" s="6">
        <v>45529</v>
      </c>
      <c r="F2048">
        <f>IFERROR(YEAR(Table1[[#This Row],[Exit Date]]), " ")</f>
        <v>2024</v>
      </c>
      <c r="G2048">
        <f>IFERROR((Table1[[#This Row],[Exit Year]]-Table1[[#This Row],[Join Year]])+1," ")</f>
        <v>4</v>
      </c>
      <c r="H2048" t="s">
        <v>46</v>
      </c>
      <c r="I2048" t="s">
        <v>23</v>
      </c>
      <c r="J2048" t="s">
        <v>18</v>
      </c>
      <c r="K2048">
        <v>38</v>
      </c>
      <c r="L2048" t="str">
        <f>IF(Table1[[#This Row],[Age]]&lt;30,"20-29",
IF(Table1[[#This Row],[Age]]&lt;40,"30-39",
IF(Table1[[#This Row],[Age]]&lt;50,"40-49",
IF(Table1[[#This Row],[Age]]&lt;60,"50-59","60+"))))</f>
        <v>30-39</v>
      </c>
      <c r="M2048" t="s">
        <v>13</v>
      </c>
      <c r="N2048" t="s">
        <v>35</v>
      </c>
    </row>
    <row r="2049" spans="1:14" x14ac:dyDescent="0.35">
      <c r="A2049">
        <v>2148</v>
      </c>
      <c r="B2049" t="s">
        <v>29</v>
      </c>
      <c r="C2049" s="6">
        <v>43700</v>
      </c>
      <c r="D2049">
        <f>YEAR(Table1[[#This Row],[Join Date]])</f>
        <v>2019</v>
      </c>
      <c r="E2049" s="6" t="s">
        <v>48</v>
      </c>
      <c r="F2049" t="str">
        <f>IFERROR(YEAR(Table1[[#This Row],[Exit Date]]), " ")</f>
        <v xml:space="preserve"> </v>
      </c>
      <c r="G2049" t="str">
        <f>IFERROR((Table1[[#This Row],[Exit Year]]-Table1[[#This Row],[Join Year]])+1," ")</f>
        <v xml:space="preserve"> </v>
      </c>
      <c r="H2049" t="s">
        <v>48</v>
      </c>
      <c r="I2049" t="s">
        <v>11</v>
      </c>
      <c r="J2049" t="s">
        <v>12</v>
      </c>
      <c r="K2049">
        <v>49</v>
      </c>
      <c r="L2049" t="str">
        <f>IF(Table1[[#This Row],[Age]]&lt;30,"20-29",
IF(Table1[[#This Row],[Age]]&lt;40,"30-39",
IF(Table1[[#This Row],[Age]]&lt;50,"40-49",
IF(Table1[[#This Row],[Age]]&lt;60,"50-59","60+"))))</f>
        <v>40-49</v>
      </c>
      <c r="M2049" t="s">
        <v>42</v>
      </c>
      <c r="N2049" t="s">
        <v>17</v>
      </c>
    </row>
    <row r="2050" spans="1:14" x14ac:dyDescent="0.35">
      <c r="A2050">
        <v>2149</v>
      </c>
      <c r="B2050" t="s">
        <v>34</v>
      </c>
      <c r="C2050" s="6">
        <v>45540</v>
      </c>
      <c r="D2050">
        <f>YEAR(Table1[[#This Row],[Join Date]])</f>
        <v>2024</v>
      </c>
      <c r="E2050" s="6" t="s">
        <v>48</v>
      </c>
      <c r="F2050" t="str">
        <f>IFERROR(YEAR(Table1[[#This Row],[Exit Date]]), " ")</f>
        <v xml:space="preserve"> </v>
      </c>
      <c r="G2050" t="str">
        <f>IFERROR((Table1[[#This Row],[Exit Year]]-Table1[[#This Row],[Join Year]])+1," ")</f>
        <v xml:space="preserve"> </v>
      </c>
      <c r="H2050" t="s">
        <v>48</v>
      </c>
      <c r="I2050" t="s">
        <v>11</v>
      </c>
      <c r="J2050" t="s">
        <v>18</v>
      </c>
      <c r="K2050">
        <v>31</v>
      </c>
      <c r="L2050" t="str">
        <f>IF(Table1[[#This Row],[Age]]&lt;30,"20-29",
IF(Table1[[#This Row],[Age]]&lt;40,"30-39",
IF(Table1[[#This Row],[Age]]&lt;50,"40-49",
IF(Table1[[#This Row],[Age]]&lt;60,"50-59","60+"))))</f>
        <v>30-39</v>
      </c>
      <c r="M2050" t="s">
        <v>13</v>
      </c>
      <c r="N2050" t="s">
        <v>19</v>
      </c>
    </row>
    <row r="2051" spans="1:14" x14ac:dyDescent="0.35">
      <c r="A2051">
        <v>2150</v>
      </c>
      <c r="B2051" t="s">
        <v>10</v>
      </c>
      <c r="C2051" s="6">
        <v>43297</v>
      </c>
      <c r="D2051">
        <f>YEAR(Table1[[#This Row],[Join Date]])</f>
        <v>2018</v>
      </c>
      <c r="E2051" s="6">
        <v>44682</v>
      </c>
      <c r="F2051">
        <f>IFERROR(YEAR(Table1[[#This Row],[Exit Date]]), " ")</f>
        <v>2022</v>
      </c>
      <c r="G2051">
        <f>IFERROR((Table1[[#This Row],[Exit Year]]-Table1[[#This Row],[Join Year]])+1," ")</f>
        <v>5</v>
      </c>
      <c r="H2051" t="s">
        <v>40</v>
      </c>
      <c r="I2051" t="s">
        <v>23</v>
      </c>
      <c r="J2051" t="s">
        <v>18</v>
      </c>
      <c r="K2051">
        <v>51</v>
      </c>
      <c r="L2051" t="str">
        <f>IF(Table1[[#This Row],[Age]]&lt;30,"20-29",
IF(Table1[[#This Row],[Age]]&lt;40,"30-39",
IF(Table1[[#This Row],[Age]]&lt;50,"40-49",
IF(Table1[[#This Row],[Age]]&lt;60,"50-59","60+"))))</f>
        <v>50-59</v>
      </c>
      <c r="M2051" t="s">
        <v>13</v>
      </c>
      <c r="N2051" t="s">
        <v>21</v>
      </c>
    </row>
    <row r="2052" spans="1:14" x14ac:dyDescent="0.35">
      <c r="A2052">
        <v>2151</v>
      </c>
      <c r="B2052" t="s">
        <v>10</v>
      </c>
      <c r="C2052" s="6">
        <v>43407</v>
      </c>
      <c r="D2052">
        <f>YEAR(Table1[[#This Row],[Join Date]])</f>
        <v>2018</v>
      </c>
      <c r="E2052" s="6" t="s">
        <v>48</v>
      </c>
      <c r="F2052" t="str">
        <f>IFERROR(YEAR(Table1[[#This Row],[Exit Date]]), " ")</f>
        <v xml:space="preserve"> </v>
      </c>
      <c r="G2052" t="str">
        <f>IFERROR((Table1[[#This Row],[Exit Year]]-Table1[[#This Row],[Join Year]])+1," ")</f>
        <v xml:space="preserve"> </v>
      </c>
      <c r="H2052" t="s">
        <v>48</v>
      </c>
      <c r="I2052" t="s">
        <v>11</v>
      </c>
      <c r="J2052" t="s">
        <v>12</v>
      </c>
      <c r="K2052">
        <v>27</v>
      </c>
      <c r="L2052" t="str">
        <f>IF(Table1[[#This Row],[Age]]&lt;30,"20-29",
IF(Table1[[#This Row],[Age]]&lt;40,"30-39",
IF(Table1[[#This Row],[Age]]&lt;50,"40-49",
IF(Table1[[#This Row],[Age]]&lt;60,"50-59","60+"))))</f>
        <v>20-29</v>
      </c>
      <c r="M2052" t="s">
        <v>16</v>
      </c>
      <c r="N2052" t="s">
        <v>25</v>
      </c>
    </row>
    <row r="2053" spans="1:14" x14ac:dyDescent="0.35">
      <c r="A2053">
        <v>2152</v>
      </c>
      <c r="B2053" t="s">
        <v>15</v>
      </c>
      <c r="C2053" s="6">
        <v>44121</v>
      </c>
      <c r="D2053">
        <f>YEAR(Table1[[#This Row],[Join Date]])</f>
        <v>2020</v>
      </c>
      <c r="E2053" s="6" t="s">
        <v>48</v>
      </c>
      <c r="F2053" t="str">
        <f>IFERROR(YEAR(Table1[[#This Row],[Exit Date]]), " ")</f>
        <v xml:space="preserve"> </v>
      </c>
      <c r="G2053" t="str">
        <f>IFERROR((Table1[[#This Row],[Exit Year]]-Table1[[#This Row],[Join Year]])+1," ")</f>
        <v xml:space="preserve"> </v>
      </c>
      <c r="H2053" t="s">
        <v>48</v>
      </c>
      <c r="I2053" t="s">
        <v>11</v>
      </c>
      <c r="J2053" t="s">
        <v>18</v>
      </c>
      <c r="K2053">
        <v>22</v>
      </c>
      <c r="L2053" t="str">
        <f>IF(Table1[[#This Row],[Age]]&lt;30,"20-29",
IF(Table1[[#This Row],[Age]]&lt;40,"30-39",
IF(Table1[[#This Row],[Age]]&lt;50,"40-49",
IF(Table1[[#This Row],[Age]]&lt;60,"50-59","60+"))))</f>
        <v>20-29</v>
      </c>
      <c r="M2053" t="s">
        <v>13</v>
      </c>
      <c r="N2053" t="s">
        <v>35</v>
      </c>
    </row>
    <row r="2054" spans="1:14" x14ac:dyDescent="0.35">
      <c r="A2054">
        <v>2153</v>
      </c>
      <c r="B2054" t="s">
        <v>15</v>
      </c>
      <c r="C2054" s="6">
        <v>44423</v>
      </c>
      <c r="D2054">
        <f>YEAR(Table1[[#This Row],[Join Date]])</f>
        <v>2021</v>
      </c>
      <c r="E2054" s="6" t="s">
        <v>48</v>
      </c>
      <c r="F2054" t="str">
        <f>IFERROR(YEAR(Table1[[#This Row],[Exit Date]]), " ")</f>
        <v xml:space="preserve"> </v>
      </c>
      <c r="G2054" t="str">
        <f>IFERROR((Table1[[#This Row],[Exit Year]]-Table1[[#This Row],[Join Year]])+1," ")</f>
        <v xml:space="preserve"> </v>
      </c>
      <c r="H2054" t="s">
        <v>48</v>
      </c>
      <c r="I2054" t="s">
        <v>11</v>
      </c>
      <c r="J2054" t="s">
        <v>18</v>
      </c>
      <c r="K2054">
        <v>50</v>
      </c>
      <c r="L2054" t="str">
        <f>IF(Table1[[#This Row],[Age]]&lt;30,"20-29",
IF(Table1[[#This Row],[Age]]&lt;40,"30-39",
IF(Table1[[#This Row],[Age]]&lt;50,"40-49",
IF(Table1[[#This Row],[Age]]&lt;60,"50-59","60+"))))</f>
        <v>50-59</v>
      </c>
      <c r="M2054" t="s">
        <v>20</v>
      </c>
      <c r="N2054" t="s">
        <v>14</v>
      </c>
    </row>
    <row r="2055" spans="1:14" x14ac:dyDescent="0.35">
      <c r="A2055">
        <v>2154</v>
      </c>
      <c r="B2055" t="s">
        <v>15</v>
      </c>
      <c r="C2055" s="6">
        <v>45087</v>
      </c>
      <c r="D2055">
        <f>YEAR(Table1[[#This Row],[Join Date]])</f>
        <v>2023</v>
      </c>
      <c r="E2055" s="6" t="s">
        <v>48</v>
      </c>
      <c r="F2055" t="str">
        <f>IFERROR(YEAR(Table1[[#This Row],[Exit Date]]), " ")</f>
        <v xml:space="preserve"> </v>
      </c>
      <c r="G2055" t="str">
        <f>IFERROR((Table1[[#This Row],[Exit Year]]-Table1[[#This Row],[Join Year]])+1," ")</f>
        <v xml:space="preserve"> </v>
      </c>
      <c r="H2055" t="s">
        <v>48</v>
      </c>
      <c r="I2055" t="s">
        <v>11</v>
      </c>
      <c r="J2055" t="s">
        <v>12</v>
      </c>
      <c r="K2055">
        <v>24</v>
      </c>
      <c r="L2055" t="str">
        <f>IF(Table1[[#This Row],[Age]]&lt;30,"20-29",
IF(Table1[[#This Row],[Age]]&lt;40,"30-39",
IF(Table1[[#This Row],[Age]]&lt;50,"40-49",
IF(Table1[[#This Row],[Age]]&lt;60,"50-59","60+"))))</f>
        <v>20-29</v>
      </c>
      <c r="M2055" t="s">
        <v>44</v>
      </c>
      <c r="N2055" t="s">
        <v>19</v>
      </c>
    </row>
    <row r="2056" spans="1:14" x14ac:dyDescent="0.35">
      <c r="A2056">
        <v>2155</v>
      </c>
      <c r="B2056" t="s">
        <v>15</v>
      </c>
      <c r="C2056" s="6">
        <v>43479</v>
      </c>
      <c r="D2056">
        <f>YEAR(Table1[[#This Row],[Join Date]])</f>
        <v>2019</v>
      </c>
      <c r="E2056" s="6">
        <v>44449</v>
      </c>
      <c r="F2056">
        <f>IFERROR(YEAR(Table1[[#This Row],[Exit Date]]), " ")</f>
        <v>2021</v>
      </c>
      <c r="G2056">
        <f>IFERROR((Table1[[#This Row],[Exit Year]]-Table1[[#This Row],[Join Year]])+1," ")</f>
        <v>3</v>
      </c>
      <c r="H2056" t="s">
        <v>22</v>
      </c>
      <c r="I2056" t="s">
        <v>23</v>
      </c>
      <c r="J2056" t="s">
        <v>12</v>
      </c>
      <c r="K2056">
        <v>50</v>
      </c>
      <c r="L2056" t="str">
        <f>IF(Table1[[#This Row],[Age]]&lt;30,"20-29",
IF(Table1[[#This Row],[Age]]&lt;40,"30-39",
IF(Table1[[#This Row],[Age]]&lt;50,"40-49",
IF(Table1[[#This Row],[Age]]&lt;60,"50-59","60+"))))</f>
        <v>50-59</v>
      </c>
      <c r="M2056" t="s">
        <v>13</v>
      </c>
      <c r="N2056" t="s">
        <v>21</v>
      </c>
    </row>
    <row r="2057" spans="1:14" x14ac:dyDescent="0.35">
      <c r="A2057">
        <v>2156</v>
      </c>
      <c r="B2057" t="s">
        <v>26</v>
      </c>
      <c r="C2057" s="6">
        <v>44749</v>
      </c>
      <c r="D2057">
        <f>YEAR(Table1[[#This Row],[Join Date]])</f>
        <v>2022</v>
      </c>
      <c r="E2057" s="6">
        <v>44972</v>
      </c>
      <c r="F2057">
        <f>IFERROR(YEAR(Table1[[#This Row],[Exit Date]]), " ")</f>
        <v>2023</v>
      </c>
      <c r="G2057">
        <f>IFERROR((Table1[[#This Row],[Exit Year]]-Table1[[#This Row],[Join Year]])+1," ")</f>
        <v>2</v>
      </c>
      <c r="H2057" t="s">
        <v>46</v>
      </c>
      <c r="I2057" t="s">
        <v>23</v>
      </c>
      <c r="J2057" t="s">
        <v>12</v>
      </c>
      <c r="K2057">
        <v>28</v>
      </c>
      <c r="L2057" t="str">
        <f>IF(Table1[[#This Row],[Age]]&lt;30,"20-29",
IF(Table1[[#This Row],[Age]]&lt;40,"30-39",
IF(Table1[[#This Row],[Age]]&lt;50,"40-49",
IF(Table1[[#This Row],[Age]]&lt;60,"50-59","60+"))))</f>
        <v>20-29</v>
      </c>
      <c r="M2057" t="s">
        <v>16</v>
      </c>
      <c r="N2057" t="s">
        <v>37</v>
      </c>
    </row>
    <row r="2058" spans="1:14" x14ac:dyDescent="0.35">
      <c r="A2058">
        <v>2157</v>
      </c>
      <c r="B2058" t="s">
        <v>29</v>
      </c>
      <c r="C2058" s="6">
        <v>45457</v>
      </c>
      <c r="D2058">
        <f>YEAR(Table1[[#This Row],[Join Date]])</f>
        <v>2024</v>
      </c>
      <c r="E2058" s="6" t="s">
        <v>48</v>
      </c>
      <c r="F2058" t="str">
        <f>IFERROR(YEAR(Table1[[#This Row],[Exit Date]]), " ")</f>
        <v xml:space="preserve"> </v>
      </c>
      <c r="G2058" t="str">
        <f>IFERROR((Table1[[#This Row],[Exit Year]]-Table1[[#This Row],[Join Year]])+1," ")</f>
        <v xml:space="preserve"> </v>
      </c>
      <c r="H2058" t="s">
        <v>48</v>
      </c>
      <c r="I2058" t="s">
        <v>11</v>
      </c>
      <c r="J2058" t="s">
        <v>18</v>
      </c>
      <c r="K2058">
        <v>40</v>
      </c>
      <c r="L2058" t="str">
        <f>IF(Table1[[#This Row],[Age]]&lt;30,"20-29",
IF(Table1[[#This Row],[Age]]&lt;40,"30-39",
IF(Table1[[#This Row],[Age]]&lt;50,"40-49",
IF(Table1[[#This Row],[Age]]&lt;60,"50-59","60+"))))</f>
        <v>40-49</v>
      </c>
      <c r="M2058" t="s">
        <v>16</v>
      </c>
      <c r="N2058" t="s">
        <v>25</v>
      </c>
    </row>
    <row r="2059" spans="1:14" x14ac:dyDescent="0.35">
      <c r="A2059">
        <v>2158</v>
      </c>
      <c r="B2059" t="s">
        <v>10</v>
      </c>
      <c r="C2059" s="6">
        <v>43304</v>
      </c>
      <c r="D2059">
        <f>YEAR(Table1[[#This Row],[Join Date]])</f>
        <v>2018</v>
      </c>
      <c r="E2059" s="6" t="s">
        <v>48</v>
      </c>
      <c r="F2059" t="str">
        <f>IFERROR(YEAR(Table1[[#This Row],[Exit Date]]), " ")</f>
        <v xml:space="preserve"> </v>
      </c>
      <c r="G2059" t="str">
        <f>IFERROR((Table1[[#This Row],[Exit Year]]-Table1[[#This Row],[Join Year]])+1," ")</f>
        <v xml:space="preserve"> </v>
      </c>
      <c r="H2059" t="s">
        <v>48</v>
      </c>
      <c r="I2059" t="s">
        <v>11</v>
      </c>
      <c r="J2059" t="s">
        <v>18</v>
      </c>
      <c r="K2059">
        <v>32</v>
      </c>
      <c r="L2059" t="str">
        <f>IF(Table1[[#This Row],[Age]]&lt;30,"20-29",
IF(Table1[[#This Row],[Age]]&lt;40,"30-39",
IF(Table1[[#This Row],[Age]]&lt;50,"40-49",
IF(Table1[[#This Row],[Age]]&lt;60,"50-59","60+"))))</f>
        <v>30-39</v>
      </c>
      <c r="M2059" t="s">
        <v>20</v>
      </c>
      <c r="N2059" t="s">
        <v>35</v>
      </c>
    </row>
    <row r="2060" spans="1:14" x14ac:dyDescent="0.35">
      <c r="A2060">
        <v>2159</v>
      </c>
      <c r="B2060" t="s">
        <v>15</v>
      </c>
      <c r="C2060" s="6">
        <v>44987</v>
      </c>
      <c r="D2060">
        <f>YEAR(Table1[[#This Row],[Join Date]])</f>
        <v>2023</v>
      </c>
      <c r="E2060" s="6" t="s">
        <v>48</v>
      </c>
      <c r="F2060" t="str">
        <f>IFERROR(YEAR(Table1[[#This Row],[Exit Date]]), " ")</f>
        <v xml:space="preserve"> </v>
      </c>
      <c r="G2060" t="str">
        <f>IFERROR((Table1[[#This Row],[Exit Year]]-Table1[[#This Row],[Join Year]])+1," ")</f>
        <v xml:space="preserve"> </v>
      </c>
      <c r="H2060" t="s">
        <v>48</v>
      </c>
      <c r="I2060" t="s">
        <v>11</v>
      </c>
      <c r="J2060" t="s">
        <v>12</v>
      </c>
      <c r="K2060">
        <v>50</v>
      </c>
      <c r="L2060" t="str">
        <f>IF(Table1[[#This Row],[Age]]&lt;30,"20-29",
IF(Table1[[#This Row],[Age]]&lt;40,"30-39",
IF(Table1[[#This Row],[Age]]&lt;50,"40-49",
IF(Table1[[#This Row],[Age]]&lt;60,"50-59","60+"))))</f>
        <v>50-59</v>
      </c>
      <c r="M2060" t="s">
        <v>24</v>
      </c>
      <c r="N2060" t="s">
        <v>19</v>
      </c>
    </row>
    <row r="2061" spans="1:14" x14ac:dyDescent="0.35">
      <c r="A2061">
        <v>2160</v>
      </c>
      <c r="B2061" t="s">
        <v>34</v>
      </c>
      <c r="C2061" s="6">
        <v>45326</v>
      </c>
      <c r="D2061">
        <f>YEAR(Table1[[#This Row],[Join Date]])</f>
        <v>2024</v>
      </c>
      <c r="E2061" s="6" t="s">
        <v>48</v>
      </c>
      <c r="F2061" t="str">
        <f>IFERROR(YEAR(Table1[[#This Row],[Exit Date]]), " ")</f>
        <v xml:space="preserve"> </v>
      </c>
      <c r="G2061" t="str">
        <f>IFERROR((Table1[[#This Row],[Exit Year]]-Table1[[#This Row],[Join Year]])+1," ")</f>
        <v xml:space="preserve"> </v>
      </c>
      <c r="H2061" t="s">
        <v>48</v>
      </c>
      <c r="I2061" t="s">
        <v>11</v>
      </c>
      <c r="J2061" t="s">
        <v>18</v>
      </c>
      <c r="K2061">
        <v>24</v>
      </c>
      <c r="L2061" t="str">
        <f>IF(Table1[[#This Row],[Age]]&lt;30,"20-29",
IF(Table1[[#This Row],[Age]]&lt;40,"30-39",
IF(Table1[[#This Row],[Age]]&lt;50,"40-49",
IF(Table1[[#This Row],[Age]]&lt;60,"50-59","60+"))))</f>
        <v>20-29</v>
      </c>
      <c r="M2061" t="s">
        <v>13</v>
      </c>
      <c r="N2061" t="s">
        <v>21</v>
      </c>
    </row>
    <row r="2062" spans="1:14" x14ac:dyDescent="0.35">
      <c r="A2062">
        <v>2161</v>
      </c>
      <c r="B2062" t="s">
        <v>36</v>
      </c>
      <c r="C2062" s="6">
        <v>45474</v>
      </c>
      <c r="D2062">
        <f>YEAR(Table1[[#This Row],[Join Date]])</f>
        <v>2024</v>
      </c>
      <c r="E2062" s="6" t="s">
        <v>48</v>
      </c>
      <c r="F2062" t="str">
        <f>IFERROR(YEAR(Table1[[#This Row],[Exit Date]]), " ")</f>
        <v xml:space="preserve"> </v>
      </c>
      <c r="G2062" t="str">
        <f>IFERROR((Table1[[#This Row],[Exit Year]]-Table1[[#This Row],[Join Year]])+1," ")</f>
        <v xml:space="preserve"> </v>
      </c>
      <c r="H2062" t="s">
        <v>48</v>
      </c>
      <c r="I2062" t="s">
        <v>11</v>
      </c>
      <c r="J2062" t="s">
        <v>12</v>
      </c>
      <c r="K2062">
        <v>36</v>
      </c>
      <c r="L2062" t="str">
        <f>IF(Table1[[#This Row],[Age]]&lt;30,"20-29",
IF(Table1[[#This Row],[Age]]&lt;40,"30-39",
IF(Table1[[#This Row],[Age]]&lt;50,"40-49",
IF(Table1[[#This Row],[Age]]&lt;60,"50-59","60+"))))</f>
        <v>30-39</v>
      </c>
      <c r="M2062" t="s">
        <v>30</v>
      </c>
      <c r="N2062" t="s">
        <v>25</v>
      </c>
    </row>
    <row r="2063" spans="1:14" x14ac:dyDescent="0.35">
      <c r="A2063">
        <v>2162</v>
      </c>
      <c r="B2063" t="s">
        <v>29</v>
      </c>
      <c r="C2063" s="6">
        <v>44227</v>
      </c>
      <c r="D2063">
        <f>YEAR(Table1[[#This Row],[Join Date]])</f>
        <v>2021</v>
      </c>
      <c r="E2063" s="6">
        <v>45322</v>
      </c>
      <c r="F2063">
        <f>IFERROR(YEAR(Table1[[#This Row],[Exit Date]]), " ")</f>
        <v>2024</v>
      </c>
      <c r="G2063">
        <f>IFERROR((Table1[[#This Row],[Exit Year]]-Table1[[#This Row],[Join Year]])+1," ")</f>
        <v>4</v>
      </c>
      <c r="H2063" t="s">
        <v>46</v>
      </c>
      <c r="I2063" t="s">
        <v>23</v>
      </c>
      <c r="J2063" t="s">
        <v>12</v>
      </c>
      <c r="K2063">
        <v>49</v>
      </c>
      <c r="L2063" t="str">
        <f>IF(Table1[[#This Row],[Age]]&lt;30,"20-29",
IF(Table1[[#This Row],[Age]]&lt;40,"30-39",
IF(Table1[[#This Row],[Age]]&lt;50,"40-49",
IF(Table1[[#This Row],[Age]]&lt;60,"50-59","60+"))))</f>
        <v>40-49</v>
      </c>
      <c r="M2063" t="s">
        <v>13</v>
      </c>
      <c r="N2063" t="s">
        <v>28</v>
      </c>
    </row>
    <row r="2064" spans="1:14" x14ac:dyDescent="0.35">
      <c r="A2064">
        <v>2163</v>
      </c>
      <c r="B2064" t="s">
        <v>10</v>
      </c>
      <c r="C2064" s="6">
        <v>43446</v>
      </c>
      <c r="D2064">
        <f>YEAR(Table1[[#This Row],[Join Date]])</f>
        <v>2018</v>
      </c>
      <c r="E2064" s="6">
        <v>43936</v>
      </c>
      <c r="F2064">
        <f>IFERROR(YEAR(Table1[[#This Row],[Exit Date]]), " ")</f>
        <v>2020</v>
      </c>
      <c r="G2064">
        <f>IFERROR((Table1[[#This Row],[Exit Year]]-Table1[[#This Row],[Join Year]])+1," ")</f>
        <v>3</v>
      </c>
      <c r="H2064" t="s">
        <v>46</v>
      </c>
      <c r="I2064" t="s">
        <v>23</v>
      </c>
      <c r="J2064" t="s">
        <v>12</v>
      </c>
      <c r="K2064">
        <v>43</v>
      </c>
      <c r="L2064" t="str">
        <f>IF(Table1[[#This Row],[Age]]&lt;30,"20-29",
IF(Table1[[#This Row],[Age]]&lt;40,"30-39",
IF(Table1[[#This Row],[Age]]&lt;50,"40-49",
IF(Table1[[#This Row],[Age]]&lt;60,"50-59","60+"))))</f>
        <v>40-49</v>
      </c>
      <c r="M2064" t="s">
        <v>13</v>
      </c>
      <c r="N2064" t="s">
        <v>31</v>
      </c>
    </row>
    <row r="2065" spans="1:14" x14ac:dyDescent="0.35">
      <c r="A2065">
        <v>2164</v>
      </c>
      <c r="B2065" t="s">
        <v>15</v>
      </c>
      <c r="C2065" s="6">
        <v>45314</v>
      </c>
      <c r="D2065">
        <f>YEAR(Table1[[#This Row],[Join Date]])</f>
        <v>2024</v>
      </c>
      <c r="E2065" s="6" t="s">
        <v>48</v>
      </c>
      <c r="F2065" t="str">
        <f>IFERROR(YEAR(Table1[[#This Row],[Exit Date]]), " ")</f>
        <v xml:space="preserve"> </v>
      </c>
      <c r="G2065" t="str">
        <f>IFERROR((Table1[[#This Row],[Exit Year]]-Table1[[#This Row],[Join Year]])+1," ")</f>
        <v xml:space="preserve"> </v>
      </c>
      <c r="H2065" t="s">
        <v>48</v>
      </c>
      <c r="I2065" t="s">
        <v>11</v>
      </c>
      <c r="J2065" t="s">
        <v>18</v>
      </c>
      <c r="K2065">
        <v>40</v>
      </c>
      <c r="L2065" t="str">
        <f>IF(Table1[[#This Row],[Age]]&lt;30,"20-29",
IF(Table1[[#This Row],[Age]]&lt;40,"30-39",
IF(Table1[[#This Row],[Age]]&lt;50,"40-49",
IF(Table1[[#This Row],[Age]]&lt;60,"50-59","60+"))))</f>
        <v>40-49</v>
      </c>
      <c r="M2065" t="s">
        <v>16</v>
      </c>
      <c r="N2065" t="s">
        <v>32</v>
      </c>
    </row>
    <row r="2066" spans="1:14" x14ac:dyDescent="0.35">
      <c r="A2066">
        <v>2165</v>
      </c>
      <c r="B2066" t="s">
        <v>15</v>
      </c>
      <c r="C2066" s="6">
        <v>43123</v>
      </c>
      <c r="D2066">
        <f>YEAR(Table1[[#This Row],[Join Date]])</f>
        <v>2018</v>
      </c>
      <c r="E2066" s="6" t="s">
        <v>48</v>
      </c>
      <c r="F2066" t="str">
        <f>IFERROR(YEAR(Table1[[#This Row],[Exit Date]]), " ")</f>
        <v xml:space="preserve"> </v>
      </c>
      <c r="G2066" t="str">
        <f>IFERROR((Table1[[#This Row],[Exit Year]]-Table1[[#This Row],[Join Year]])+1," ")</f>
        <v xml:space="preserve"> </v>
      </c>
      <c r="H2066" t="s">
        <v>48</v>
      </c>
      <c r="I2066" t="s">
        <v>11</v>
      </c>
      <c r="J2066" t="s">
        <v>12</v>
      </c>
      <c r="K2066">
        <v>42</v>
      </c>
      <c r="L2066" t="str">
        <f>IF(Table1[[#This Row],[Age]]&lt;30,"20-29",
IF(Table1[[#This Row],[Age]]&lt;40,"30-39",
IF(Table1[[#This Row],[Age]]&lt;50,"40-49",
IF(Table1[[#This Row],[Age]]&lt;60,"50-59","60+"))))</f>
        <v>40-49</v>
      </c>
      <c r="M2066" t="s">
        <v>13</v>
      </c>
      <c r="N2066" t="s">
        <v>33</v>
      </c>
    </row>
    <row r="2067" spans="1:14" x14ac:dyDescent="0.35">
      <c r="A2067">
        <v>2166</v>
      </c>
      <c r="B2067" t="s">
        <v>10</v>
      </c>
      <c r="C2067" s="6">
        <v>43717</v>
      </c>
      <c r="D2067">
        <f>YEAR(Table1[[#This Row],[Join Date]])</f>
        <v>2019</v>
      </c>
      <c r="E2067" s="6">
        <v>44677</v>
      </c>
      <c r="F2067">
        <f>IFERROR(YEAR(Table1[[#This Row],[Exit Date]]), " ")</f>
        <v>2022</v>
      </c>
      <c r="G2067">
        <f>IFERROR((Table1[[#This Row],[Exit Year]]-Table1[[#This Row],[Join Year]])+1," ")</f>
        <v>4</v>
      </c>
      <c r="H2067" t="s">
        <v>40</v>
      </c>
      <c r="I2067" t="s">
        <v>23</v>
      </c>
      <c r="J2067" t="s">
        <v>18</v>
      </c>
      <c r="K2067">
        <v>35</v>
      </c>
      <c r="L2067" t="str">
        <f>IF(Table1[[#This Row],[Age]]&lt;30,"20-29",
IF(Table1[[#This Row],[Age]]&lt;40,"30-39",
IF(Table1[[#This Row],[Age]]&lt;50,"40-49",
IF(Table1[[#This Row],[Age]]&lt;60,"50-59","60+"))))</f>
        <v>30-39</v>
      </c>
      <c r="M2067" t="s">
        <v>20</v>
      </c>
      <c r="N2067" t="s">
        <v>35</v>
      </c>
    </row>
    <row r="2068" spans="1:14" x14ac:dyDescent="0.35">
      <c r="A2068">
        <v>2167</v>
      </c>
      <c r="B2068" t="s">
        <v>29</v>
      </c>
      <c r="C2068" s="6">
        <v>43534</v>
      </c>
      <c r="D2068">
        <f>YEAR(Table1[[#This Row],[Join Date]])</f>
        <v>2019</v>
      </c>
      <c r="E2068" s="6">
        <v>44117</v>
      </c>
      <c r="F2068">
        <f>IFERROR(YEAR(Table1[[#This Row],[Exit Date]]), " ")</f>
        <v>2020</v>
      </c>
      <c r="G2068">
        <f>IFERROR((Table1[[#This Row],[Exit Year]]-Table1[[#This Row],[Join Year]])+1," ")</f>
        <v>2</v>
      </c>
      <c r="H2068" t="s">
        <v>38</v>
      </c>
      <c r="I2068" t="s">
        <v>23</v>
      </c>
      <c r="J2068" t="s">
        <v>12</v>
      </c>
      <c r="K2068">
        <v>31</v>
      </c>
      <c r="L2068" t="str">
        <f>IF(Table1[[#This Row],[Age]]&lt;30,"20-29",
IF(Table1[[#This Row],[Age]]&lt;40,"30-39",
IF(Table1[[#This Row],[Age]]&lt;50,"40-49",
IF(Table1[[#This Row],[Age]]&lt;60,"50-59","60+"))))</f>
        <v>30-39</v>
      </c>
      <c r="M2068" t="s">
        <v>44</v>
      </c>
      <c r="N2068" t="s">
        <v>37</v>
      </c>
    </row>
    <row r="2069" spans="1:14" x14ac:dyDescent="0.35">
      <c r="A2069">
        <v>2168</v>
      </c>
      <c r="B2069" t="s">
        <v>36</v>
      </c>
      <c r="C2069" s="6">
        <v>44619</v>
      </c>
      <c r="D2069">
        <f>YEAR(Table1[[#This Row],[Join Date]])</f>
        <v>2022</v>
      </c>
      <c r="E2069" s="6" t="s">
        <v>48</v>
      </c>
      <c r="F2069" t="str">
        <f>IFERROR(YEAR(Table1[[#This Row],[Exit Date]]), " ")</f>
        <v xml:space="preserve"> </v>
      </c>
      <c r="G2069" t="str">
        <f>IFERROR((Table1[[#This Row],[Exit Year]]-Table1[[#This Row],[Join Year]])+1," ")</f>
        <v xml:space="preserve"> </v>
      </c>
      <c r="H2069" t="s">
        <v>48</v>
      </c>
      <c r="I2069" t="s">
        <v>11</v>
      </c>
      <c r="J2069" t="s">
        <v>18</v>
      </c>
      <c r="K2069">
        <v>51</v>
      </c>
      <c r="L2069" t="str">
        <f>IF(Table1[[#This Row],[Age]]&lt;30,"20-29",
IF(Table1[[#This Row],[Age]]&lt;40,"30-39",
IF(Table1[[#This Row],[Age]]&lt;50,"40-49",
IF(Table1[[#This Row],[Age]]&lt;60,"50-59","60+"))))</f>
        <v>50-59</v>
      </c>
      <c r="M2069" t="s">
        <v>13</v>
      </c>
      <c r="N2069" t="s">
        <v>19</v>
      </c>
    </row>
    <row r="2070" spans="1:14" x14ac:dyDescent="0.35">
      <c r="A2070">
        <v>2169</v>
      </c>
      <c r="B2070" t="s">
        <v>10</v>
      </c>
      <c r="C2070" s="6">
        <v>45485</v>
      </c>
      <c r="D2070">
        <f>YEAR(Table1[[#This Row],[Join Date]])</f>
        <v>2024</v>
      </c>
      <c r="E2070" s="6" t="s">
        <v>48</v>
      </c>
      <c r="F2070" t="str">
        <f>IFERROR(YEAR(Table1[[#This Row],[Exit Date]]), " ")</f>
        <v xml:space="preserve"> </v>
      </c>
      <c r="G2070" t="str">
        <f>IFERROR((Table1[[#This Row],[Exit Year]]-Table1[[#This Row],[Join Year]])+1," ")</f>
        <v xml:space="preserve"> </v>
      </c>
      <c r="H2070" t="s">
        <v>48</v>
      </c>
      <c r="I2070" t="s">
        <v>11</v>
      </c>
      <c r="J2070" t="s">
        <v>18</v>
      </c>
      <c r="K2070">
        <v>48</v>
      </c>
      <c r="L2070" t="str">
        <f>IF(Table1[[#This Row],[Age]]&lt;30,"20-29",
IF(Table1[[#This Row],[Age]]&lt;40,"30-39",
IF(Table1[[#This Row],[Age]]&lt;50,"40-49",
IF(Table1[[#This Row],[Age]]&lt;60,"50-59","60+"))))</f>
        <v>40-49</v>
      </c>
      <c r="M2070" t="s">
        <v>16</v>
      </c>
      <c r="N2070" t="s">
        <v>25</v>
      </c>
    </row>
    <row r="2071" spans="1:14" x14ac:dyDescent="0.35">
      <c r="A2071">
        <v>2170</v>
      </c>
      <c r="B2071" t="s">
        <v>29</v>
      </c>
      <c r="C2071" s="6">
        <v>43588</v>
      </c>
      <c r="D2071">
        <f>YEAR(Table1[[#This Row],[Join Date]])</f>
        <v>2019</v>
      </c>
      <c r="E2071" s="6">
        <v>44896</v>
      </c>
      <c r="F2071">
        <f>IFERROR(YEAR(Table1[[#This Row],[Exit Date]]), " ")</f>
        <v>2022</v>
      </c>
      <c r="G2071">
        <f>IFERROR((Table1[[#This Row],[Exit Year]]-Table1[[#This Row],[Join Year]])+1," ")</f>
        <v>4</v>
      </c>
      <c r="H2071" t="s">
        <v>41</v>
      </c>
      <c r="I2071" t="s">
        <v>23</v>
      </c>
      <c r="J2071" t="s">
        <v>12</v>
      </c>
      <c r="K2071">
        <v>41</v>
      </c>
      <c r="L2071" t="str">
        <f>IF(Table1[[#This Row],[Age]]&lt;30,"20-29",
IF(Table1[[#This Row],[Age]]&lt;40,"30-39",
IF(Table1[[#This Row],[Age]]&lt;50,"40-49",
IF(Table1[[#This Row],[Age]]&lt;60,"50-59","60+"))))</f>
        <v>40-49</v>
      </c>
      <c r="M2071" t="s">
        <v>16</v>
      </c>
      <c r="N2071" t="s">
        <v>35</v>
      </c>
    </row>
    <row r="2072" spans="1:14" x14ac:dyDescent="0.35">
      <c r="A2072">
        <v>2171</v>
      </c>
      <c r="B2072" t="s">
        <v>36</v>
      </c>
      <c r="C2072" s="6">
        <v>44250</v>
      </c>
      <c r="D2072">
        <f>YEAR(Table1[[#This Row],[Join Date]])</f>
        <v>2021</v>
      </c>
      <c r="E2072" s="6">
        <v>45392</v>
      </c>
      <c r="F2072">
        <f>IFERROR(YEAR(Table1[[#This Row],[Exit Date]]), " ")</f>
        <v>2024</v>
      </c>
      <c r="G2072">
        <f>IFERROR((Table1[[#This Row],[Exit Year]]-Table1[[#This Row],[Join Year]])+1," ")</f>
        <v>4</v>
      </c>
      <c r="H2072" t="s">
        <v>46</v>
      </c>
      <c r="I2072" t="s">
        <v>23</v>
      </c>
      <c r="J2072" t="s">
        <v>18</v>
      </c>
      <c r="K2072">
        <v>35</v>
      </c>
      <c r="L2072" t="str">
        <f>IF(Table1[[#This Row],[Age]]&lt;30,"20-29",
IF(Table1[[#This Row],[Age]]&lt;40,"30-39",
IF(Table1[[#This Row],[Age]]&lt;50,"40-49",
IF(Table1[[#This Row],[Age]]&lt;60,"50-59","60+"))))</f>
        <v>30-39</v>
      </c>
      <c r="M2072" t="s">
        <v>20</v>
      </c>
      <c r="N2072" t="s">
        <v>17</v>
      </c>
    </row>
    <row r="2073" spans="1:14" x14ac:dyDescent="0.35">
      <c r="A2073">
        <v>2172</v>
      </c>
      <c r="B2073" t="s">
        <v>26</v>
      </c>
      <c r="C2073" s="6">
        <v>45244</v>
      </c>
      <c r="D2073">
        <f>YEAR(Table1[[#This Row],[Join Date]])</f>
        <v>2023</v>
      </c>
      <c r="E2073" s="6">
        <v>45446</v>
      </c>
      <c r="F2073">
        <f>IFERROR(YEAR(Table1[[#This Row],[Exit Date]]), " ")</f>
        <v>2024</v>
      </c>
      <c r="G2073">
        <f>IFERROR((Table1[[#This Row],[Exit Year]]-Table1[[#This Row],[Join Year]])+1," ")</f>
        <v>2</v>
      </c>
      <c r="H2073" t="s">
        <v>40</v>
      </c>
      <c r="I2073" t="s">
        <v>23</v>
      </c>
      <c r="J2073" t="s">
        <v>18</v>
      </c>
      <c r="K2073">
        <v>24</v>
      </c>
      <c r="L2073" t="str">
        <f>IF(Table1[[#This Row],[Age]]&lt;30,"20-29",
IF(Table1[[#This Row],[Age]]&lt;40,"30-39",
IF(Table1[[#This Row],[Age]]&lt;50,"40-49",
IF(Table1[[#This Row],[Age]]&lt;60,"50-59","60+"))))</f>
        <v>20-29</v>
      </c>
      <c r="M2073" t="s">
        <v>24</v>
      </c>
      <c r="N2073" t="s">
        <v>19</v>
      </c>
    </row>
    <row r="2074" spans="1:14" x14ac:dyDescent="0.35">
      <c r="A2074">
        <v>2173</v>
      </c>
      <c r="B2074" t="s">
        <v>15</v>
      </c>
      <c r="C2074" s="6">
        <v>45256</v>
      </c>
      <c r="D2074">
        <f>YEAR(Table1[[#This Row],[Join Date]])</f>
        <v>2023</v>
      </c>
      <c r="E2074" s="6" t="s">
        <v>48</v>
      </c>
      <c r="F2074" t="str">
        <f>IFERROR(YEAR(Table1[[#This Row],[Exit Date]]), " ")</f>
        <v xml:space="preserve"> </v>
      </c>
      <c r="G2074" t="str">
        <f>IFERROR((Table1[[#This Row],[Exit Year]]-Table1[[#This Row],[Join Year]])+1," ")</f>
        <v xml:space="preserve"> </v>
      </c>
      <c r="H2074" t="s">
        <v>48</v>
      </c>
      <c r="I2074" t="s">
        <v>11</v>
      </c>
      <c r="J2074" t="s">
        <v>12</v>
      </c>
      <c r="K2074">
        <v>41</v>
      </c>
      <c r="L2074" t="str">
        <f>IF(Table1[[#This Row],[Age]]&lt;30,"20-29",
IF(Table1[[#This Row],[Age]]&lt;40,"30-39",
IF(Table1[[#This Row],[Age]]&lt;50,"40-49",
IF(Table1[[#This Row],[Age]]&lt;60,"50-59","60+"))))</f>
        <v>40-49</v>
      </c>
      <c r="M2074" t="s">
        <v>13</v>
      </c>
      <c r="N2074" t="s">
        <v>21</v>
      </c>
    </row>
    <row r="2075" spans="1:14" x14ac:dyDescent="0.35">
      <c r="A2075">
        <v>2174</v>
      </c>
      <c r="B2075" t="s">
        <v>26</v>
      </c>
      <c r="C2075" s="6">
        <v>45465</v>
      </c>
      <c r="D2075">
        <f>YEAR(Table1[[#This Row],[Join Date]])</f>
        <v>2024</v>
      </c>
      <c r="E2075" s="6" t="s">
        <v>48</v>
      </c>
      <c r="F2075" t="str">
        <f>IFERROR(YEAR(Table1[[#This Row],[Exit Date]]), " ")</f>
        <v xml:space="preserve"> </v>
      </c>
      <c r="G2075" t="str">
        <f>IFERROR((Table1[[#This Row],[Exit Year]]-Table1[[#This Row],[Join Year]])+1," ")</f>
        <v xml:space="preserve"> </v>
      </c>
      <c r="H2075" t="s">
        <v>48</v>
      </c>
      <c r="I2075" t="s">
        <v>11</v>
      </c>
      <c r="J2075" t="s">
        <v>18</v>
      </c>
      <c r="K2075">
        <v>40</v>
      </c>
      <c r="L2075" t="str">
        <f>IF(Table1[[#This Row],[Age]]&lt;30,"20-29",
IF(Table1[[#This Row],[Age]]&lt;40,"30-39",
IF(Table1[[#This Row],[Age]]&lt;50,"40-49",
IF(Table1[[#This Row],[Age]]&lt;60,"50-59","60+"))))</f>
        <v>40-49</v>
      </c>
      <c r="M2075" t="s">
        <v>30</v>
      </c>
      <c r="N2075" t="s">
        <v>25</v>
      </c>
    </row>
    <row r="2076" spans="1:14" x14ac:dyDescent="0.35">
      <c r="A2076">
        <v>2175</v>
      </c>
      <c r="B2076" t="s">
        <v>10</v>
      </c>
      <c r="C2076" s="6">
        <v>43597</v>
      </c>
      <c r="D2076">
        <f>YEAR(Table1[[#This Row],[Join Date]])</f>
        <v>2019</v>
      </c>
      <c r="E2076" s="6" t="s">
        <v>48</v>
      </c>
      <c r="F2076" t="str">
        <f>IFERROR(YEAR(Table1[[#This Row],[Exit Date]]), " ")</f>
        <v xml:space="preserve"> </v>
      </c>
      <c r="G2076" t="str">
        <f>IFERROR((Table1[[#This Row],[Exit Year]]-Table1[[#This Row],[Join Year]])+1," ")</f>
        <v xml:space="preserve"> </v>
      </c>
      <c r="H2076" t="s">
        <v>48</v>
      </c>
      <c r="I2076" t="s">
        <v>11</v>
      </c>
      <c r="J2076" t="s">
        <v>18</v>
      </c>
      <c r="K2076">
        <v>48</v>
      </c>
      <c r="L2076" t="str">
        <f>IF(Table1[[#This Row],[Age]]&lt;30,"20-29",
IF(Table1[[#This Row],[Age]]&lt;40,"30-39",
IF(Table1[[#This Row],[Age]]&lt;50,"40-49",
IF(Table1[[#This Row],[Age]]&lt;60,"50-59","60+"))))</f>
        <v>40-49</v>
      </c>
      <c r="M2076" t="s">
        <v>13</v>
      </c>
      <c r="N2076" t="s">
        <v>35</v>
      </c>
    </row>
    <row r="2077" spans="1:14" x14ac:dyDescent="0.35">
      <c r="A2077">
        <v>2176</v>
      </c>
      <c r="B2077" t="s">
        <v>15</v>
      </c>
      <c r="C2077" s="6">
        <v>44866</v>
      </c>
      <c r="D2077">
        <f>YEAR(Table1[[#This Row],[Join Date]])</f>
        <v>2022</v>
      </c>
      <c r="E2077" s="6" t="s">
        <v>48</v>
      </c>
      <c r="F2077" t="str">
        <f>IFERROR(YEAR(Table1[[#This Row],[Exit Date]]), " ")</f>
        <v xml:space="preserve"> </v>
      </c>
      <c r="G2077" t="str">
        <f>IFERROR((Table1[[#This Row],[Exit Year]]-Table1[[#This Row],[Join Year]])+1," ")</f>
        <v xml:space="preserve"> </v>
      </c>
      <c r="H2077" t="s">
        <v>48</v>
      </c>
      <c r="I2077" t="s">
        <v>11</v>
      </c>
      <c r="J2077" t="s">
        <v>12</v>
      </c>
      <c r="K2077">
        <v>52</v>
      </c>
      <c r="L2077" t="str">
        <f>IF(Table1[[#This Row],[Age]]&lt;30,"20-29",
IF(Table1[[#This Row],[Age]]&lt;40,"30-39",
IF(Table1[[#This Row],[Age]]&lt;50,"40-49",
IF(Table1[[#This Row],[Age]]&lt;60,"50-59","60+"))))</f>
        <v>50-59</v>
      </c>
      <c r="M2077" t="s">
        <v>13</v>
      </c>
      <c r="N2077" t="s">
        <v>14</v>
      </c>
    </row>
    <row r="2078" spans="1:14" x14ac:dyDescent="0.35">
      <c r="A2078">
        <v>2177</v>
      </c>
      <c r="B2078" t="s">
        <v>34</v>
      </c>
      <c r="C2078" s="6">
        <v>44006</v>
      </c>
      <c r="D2078">
        <f>YEAR(Table1[[#This Row],[Join Date]])</f>
        <v>2020</v>
      </c>
      <c r="E2078" s="6">
        <v>44463</v>
      </c>
      <c r="F2078">
        <f>IFERROR(YEAR(Table1[[#This Row],[Exit Date]]), " ")</f>
        <v>2021</v>
      </c>
      <c r="G2078">
        <f>IFERROR((Table1[[#This Row],[Exit Year]]-Table1[[#This Row],[Join Year]])+1," ")</f>
        <v>2</v>
      </c>
      <c r="H2078" t="s">
        <v>43</v>
      </c>
      <c r="I2078" t="s">
        <v>23</v>
      </c>
      <c r="J2078" t="s">
        <v>18</v>
      </c>
      <c r="K2078">
        <v>33</v>
      </c>
      <c r="L2078" t="str">
        <f>IF(Table1[[#This Row],[Age]]&lt;30,"20-29",
IF(Table1[[#This Row],[Age]]&lt;40,"30-39",
IF(Table1[[#This Row],[Age]]&lt;50,"40-49",
IF(Table1[[#This Row],[Age]]&lt;60,"50-59","60+"))))</f>
        <v>30-39</v>
      </c>
      <c r="M2078" t="s">
        <v>16</v>
      </c>
      <c r="N2078" t="s">
        <v>19</v>
      </c>
    </row>
    <row r="2079" spans="1:14" x14ac:dyDescent="0.35">
      <c r="A2079">
        <v>2178</v>
      </c>
      <c r="B2079" t="s">
        <v>26</v>
      </c>
      <c r="C2079" s="6">
        <v>45095</v>
      </c>
      <c r="D2079">
        <f>YEAR(Table1[[#This Row],[Join Date]])</f>
        <v>2023</v>
      </c>
      <c r="E2079" s="6" t="s">
        <v>48</v>
      </c>
      <c r="F2079" t="str">
        <f>IFERROR(YEAR(Table1[[#This Row],[Exit Date]]), " ")</f>
        <v xml:space="preserve"> </v>
      </c>
      <c r="G2079" t="str">
        <f>IFERROR((Table1[[#This Row],[Exit Year]]-Table1[[#This Row],[Join Year]])+1," ")</f>
        <v xml:space="preserve"> </v>
      </c>
      <c r="H2079" t="s">
        <v>48</v>
      </c>
      <c r="I2079" t="s">
        <v>11</v>
      </c>
      <c r="J2079" t="s">
        <v>12</v>
      </c>
      <c r="K2079">
        <v>51</v>
      </c>
      <c r="L2079" t="str">
        <f>IF(Table1[[#This Row],[Age]]&lt;30,"20-29",
IF(Table1[[#This Row],[Age]]&lt;40,"30-39",
IF(Table1[[#This Row],[Age]]&lt;50,"40-49",
IF(Table1[[#This Row],[Age]]&lt;60,"50-59","60+"))))</f>
        <v>50-59</v>
      </c>
      <c r="M2079" t="s">
        <v>13</v>
      </c>
      <c r="N2079" t="s">
        <v>21</v>
      </c>
    </row>
    <row r="2080" spans="1:14" x14ac:dyDescent="0.35">
      <c r="A2080">
        <v>2179</v>
      </c>
      <c r="B2080" t="s">
        <v>10</v>
      </c>
      <c r="C2080" s="6">
        <v>44360</v>
      </c>
      <c r="D2080">
        <f>YEAR(Table1[[#This Row],[Join Date]])</f>
        <v>2021</v>
      </c>
      <c r="E2080" s="6">
        <v>44755</v>
      </c>
      <c r="F2080">
        <f>IFERROR(YEAR(Table1[[#This Row],[Exit Date]]), " ")</f>
        <v>2022</v>
      </c>
      <c r="G2080">
        <f>IFERROR((Table1[[#This Row],[Exit Year]]-Table1[[#This Row],[Join Year]])+1," ")</f>
        <v>2</v>
      </c>
      <c r="H2080" t="s">
        <v>46</v>
      </c>
      <c r="I2080" t="s">
        <v>23</v>
      </c>
      <c r="J2080" t="s">
        <v>12</v>
      </c>
      <c r="K2080">
        <v>46</v>
      </c>
      <c r="L2080" t="str">
        <f>IF(Table1[[#This Row],[Age]]&lt;30,"20-29",
IF(Table1[[#This Row],[Age]]&lt;40,"30-39",
IF(Table1[[#This Row],[Age]]&lt;50,"40-49",
IF(Table1[[#This Row],[Age]]&lt;60,"50-59","60+"))))</f>
        <v>40-49</v>
      </c>
      <c r="M2080" t="s">
        <v>20</v>
      </c>
      <c r="N2080" t="s">
        <v>37</v>
      </c>
    </row>
    <row r="2081" spans="1:14" x14ac:dyDescent="0.35">
      <c r="A2081">
        <v>2180</v>
      </c>
      <c r="B2081" t="s">
        <v>26</v>
      </c>
      <c r="C2081" s="6">
        <v>43419</v>
      </c>
      <c r="D2081">
        <f>YEAR(Table1[[#This Row],[Join Date]])</f>
        <v>2018</v>
      </c>
      <c r="E2081" s="6">
        <v>44303</v>
      </c>
      <c r="F2081">
        <f>IFERROR(YEAR(Table1[[#This Row],[Exit Date]]), " ")</f>
        <v>2021</v>
      </c>
      <c r="G2081">
        <f>IFERROR((Table1[[#This Row],[Exit Year]]-Table1[[#This Row],[Join Year]])+1," ")</f>
        <v>4</v>
      </c>
      <c r="H2081" t="s">
        <v>22</v>
      </c>
      <c r="I2081" t="s">
        <v>23</v>
      </c>
      <c r="J2081" t="s">
        <v>12</v>
      </c>
      <c r="K2081">
        <v>53</v>
      </c>
      <c r="L2081" t="str">
        <f>IF(Table1[[#This Row],[Age]]&lt;30,"20-29",
IF(Table1[[#This Row],[Age]]&lt;40,"30-39",
IF(Table1[[#This Row],[Age]]&lt;50,"40-49",
IF(Table1[[#This Row],[Age]]&lt;60,"50-59","60+"))))</f>
        <v>50-59</v>
      </c>
      <c r="M2081" t="s">
        <v>39</v>
      </c>
      <c r="N2081" t="s">
        <v>25</v>
      </c>
    </row>
    <row r="2082" spans="1:14" x14ac:dyDescent="0.35">
      <c r="A2082">
        <v>2181</v>
      </c>
      <c r="B2082" t="s">
        <v>36</v>
      </c>
      <c r="C2082" s="6">
        <v>44249</v>
      </c>
      <c r="D2082">
        <f>YEAR(Table1[[#This Row],[Join Date]])</f>
        <v>2021</v>
      </c>
      <c r="E2082" s="6" t="s">
        <v>48</v>
      </c>
      <c r="F2082" t="str">
        <f>IFERROR(YEAR(Table1[[#This Row],[Exit Date]]), " ")</f>
        <v xml:space="preserve"> </v>
      </c>
      <c r="G2082" t="str">
        <f>IFERROR((Table1[[#This Row],[Exit Year]]-Table1[[#This Row],[Join Year]])+1," ")</f>
        <v xml:space="preserve"> </v>
      </c>
      <c r="H2082" t="s">
        <v>48</v>
      </c>
      <c r="I2082" t="s">
        <v>11</v>
      </c>
      <c r="J2082" t="s">
        <v>18</v>
      </c>
      <c r="K2082">
        <v>35</v>
      </c>
      <c r="L2082" t="str">
        <f>IF(Table1[[#This Row],[Age]]&lt;30,"20-29",
IF(Table1[[#This Row],[Age]]&lt;40,"30-39",
IF(Table1[[#This Row],[Age]]&lt;50,"40-49",
IF(Table1[[#This Row],[Age]]&lt;60,"50-59","60+"))))</f>
        <v>30-39</v>
      </c>
      <c r="M2082" t="s">
        <v>13</v>
      </c>
      <c r="N2082" t="s">
        <v>35</v>
      </c>
    </row>
    <row r="2083" spans="1:14" x14ac:dyDescent="0.35">
      <c r="A2083">
        <v>2182</v>
      </c>
      <c r="B2083" t="s">
        <v>10</v>
      </c>
      <c r="C2083" s="6">
        <v>45533</v>
      </c>
      <c r="D2083">
        <f>YEAR(Table1[[#This Row],[Join Date]])</f>
        <v>2024</v>
      </c>
      <c r="E2083" s="6" t="s">
        <v>48</v>
      </c>
      <c r="F2083" t="str">
        <f>IFERROR(YEAR(Table1[[#This Row],[Exit Date]]), " ")</f>
        <v xml:space="preserve"> </v>
      </c>
      <c r="G2083" t="str">
        <f>IFERROR((Table1[[#This Row],[Exit Year]]-Table1[[#This Row],[Join Year]])+1," ")</f>
        <v xml:space="preserve"> </v>
      </c>
      <c r="H2083" t="s">
        <v>48</v>
      </c>
      <c r="I2083" t="s">
        <v>11</v>
      </c>
      <c r="J2083" t="s">
        <v>12</v>
      </c>
      <c r="K2083">
        <v>32</v>
      </c>
      <c r="L2083" t="str">
        <f>IF(Table1[[#This Row],[Age]]&lt;30,"20-29",
IF(Table1[[#This Row],[Age]]&lt;40,"30-39",
IF(Table1[[#This Row],[Age]]&lt;50,"40-49",
IF(Table1[[#This Row],[Age]]&lt;60,"50-59","60+"))))</f>
        <v>30-39</v>
      </c>
      <c r="M2083" t="s">
        <v>16</v>
      </c>
      <c r="N2083" t="s">
        <v>14</v>
      </c>
    </row>
    <row r="2084" spans="1:14" x14ac:dyDescent="0.35">
      <c r="A2084">
        <v>2183</v>
      </c>
      <c r="B2084" t="s">
        <v>36</v>
      </c>
      <c r="C2084" s="6">
        <v>44377</v>
      </c>
      <c r="D2084">
        <f>YEAR(Table1[[#This Row],[Join Date]])</f>
        <v>2021</v>
      </c>
      <c r="E2084" s="6" t="s">
        <v>48</v>
      </c>
      <c r="F2084" t="str">
        <f>IFERROR(YEAR(Table1[[#This Row],[Exit Date]]), " ")</f>
        <v xml:space="preserve"> </v>
      </c>
      <c r="G2084" t="str">
        <f>IFERROR((Table1[[#This Row],[Exit Year]]-Table1[[#This Row],[Join Year]])+1," ")</f>
        <v xml:space="preserve"> </v>
      </c>
      <c r="H2084" t="s">
        <v>48</v>
      </c>
      <c r="I2084" t="s">
        <v>11</v>
      </c>
      <c r="J2084" t="s">
        <v>18</v>
      </c>
      <c r="K2084">
        <v>46</v>
      </c>
      <c r="L2084" t="str">
        <f>IF(Table1[[#This Row],[Age]]&lt;30,"20-29",
IF(Table1[[#This Row],[Age]]&lt;40,"30-39",
IF(Table1[[#This Row],[Age]]&lt;50,"40-49",
IF(Table1[[#This Row],[Age]]&lt;60,"50-59","60+"))))</f>
        <v>40-49</v>
      </c>
      <c r="M2084" t="s">
        <v>16</v>
      </c>
      <c r="N2084" t="s">
        <v>17</v>
      </c>
    </row>
    <row r="2085" spans="1:14" x14ac:dyDescent="0.35">
      <c r="A2085">
        <v>2184</v>
      </c>
      <c r="B2085" t="s">
        <v>10</v>
      </c>
      <c r="C2085" s="6">
        <v>44088</v>
      </c>
      <c r="D2085">
        <f>YEAR(Table1[[#This Row],[Join Date]])</f>
        <v>2020</v>
      </c>
      <c r="E2085" s="6" t="s">
        <v>48</v>
      </c>
      <c r="F2085" t="str">
        <f>IFERROR(YEAR(Table1[[#This Row],[Exit Date]]), " ")</f>
        <v xml:space="preserve"> </v>
      </c>
      <c r="G2085" t="str">
        <f>IFERROR((Table1[[#This Row],[Exit Year]]-Table1[[#This Row],[Join Year]])+1," ")</f>
        <v xml:space="preserve"> </v>
      </c>
      <c r="H2085" t="s">
        <v>48</v>
      </c>
      <c r="I2085" t="s">
        <v>11</v>
      </c>
      <c r="J2085" t="s">
        <v>12</v>
      </c>
      <c r="K2085">
        <v>50</v>
      </c>
      <c r="L2085" t="str">
        <f>IF(Table1[[#This Row],[Age]]&lt;30,"20-29",
IF(Table1[[#This Row],[Age]]&lt;40,"30-39",
IF(Table1[[#This Row],[Age]]&lt;50,"40-49",
IF(Table1[[#This Row],[Age]]&lt;60,"50-59","60+"))))</f>
        <v>50-59</v>
      </c>
      <c r="M2085" t="s">
        <v>20</v>
      </c>
      <c r="N2085" t="s">
        <v>19</v>
      </c>
    </row>
    <row r="2086" spans="1:14" x14ac:dyDescent="0.35">
      <c r="A2086">
        <v>2185</v>
      </c>
      <c r="B2086" t="s">
        <v>26</v>
      </c>
      <c r="C2086" s="6">
        <v>43373</v>
      </c>
      <c r="D2086">
        <f>YEAR(Table1[[#This Row],[Join Date]])</f>
        <v>2018</v>
      </c>
      <c r="E2086" s="6">
        <v>44825</v>
      </c>
      <c r="F2086">
        <f>IFERROR(YEAR(Table1[[#This Row],[Exit Date]]), " ")</f>
        <v>2022</v>
      </c>
      <c r="G2086">
        <f>IFERROR((Table1[[#This Row],[Exit Year]]-Table1[[#This Row],[Join Year]])+1," ")</f>
        <v>5</v>
      </c>
      <c r="H2086" t="s">
        <v>27</v>
      </c>
      <c r="I2086" t="s">
        <v>23</v>
      </c>
      <c r="J2086" t="s">
        <v>18</v>
      </c>
      <c r="K2086">
        <v>61</v>
      </c>
      <c r="L2086" t="str">
        <f>IF(Table1[[#This Row],[Age]]&lt;30,"20-29",
IF(Table1[[#This Row],[Age]]&lt;40,"30-39",
IF(Table1[[#This Row],[Age]]&lt;50,"40-49",
IF(Table1[[#This Row],[Age]]&lt;60,"50-59","60+"))))</f>
        <v>60+</v>
      </c>
      <c r="M2086" t="s">
        <v>24</v>
      </c>
      <c r="N2086" t="s">
        <v>21</v>
      </c>
    </row>
    <row r="2087" spans="1:14" x14ac:dyDescent="0.35">
      <c r="A2087">
        <v>2186</v>
      </c>
      <c r="B2087" t="s">
        <v>26</v>
      </c>
      <c r="C2087" s="6">
        <v>43314</v>
      </c>
      <c r="D2087">
        <f>YEAR(Table1[[#This Row],[Join Date]])</f>
        <v>2018</v>
      </c>
      <c r="E2087" s="6" t="s">
        <v>48</v>
      </c>
      <c r="F2087" t="str">
        <f>IFERROR(YEAR(Table1[[#This Row],[Exit Date]]), " ")</f>
        <v xml:space="preserve"> </v>
      </c>
      <c r="G2087" t="str">
        <f>IFERROR((Table1[[#This Row],[Exit Year]]-Table1[[#This Row],[Join Year]])+1," ")</f>
        <v xml:space="preserve"> </v>
      </c>
      <c r="H2087" t="s">
        <v>48</v>
      </c>
      <c r="I2087" t="s">
        <v>11</v>
      </c>
      <c r="J2087" t="s">
        <v>18</v>
      </c>
      <c r="K2087">
        <v>29</v>
      </c>
      <c r="L2087" t="str">
        <f>IF(Table1[[#This Row],[Age]]&lt;30,"20-29",
IF(Table1[[#This Row],[Age]]&lt;40,"30-39",
IF(Table1[[#This Row],[Age]]&lt;50,"40-49",
IF(Table1[[#This Row],[Age]]&lt;60,"50-59","60+"))))</f>
        <v>20-29</v>
      </c>
      <c r="M2087" t="s">
        <v>13</v>
      </c>
      <c r="N2087" t="s">
        <v>25</v>
      </c>
    </row>
    <row r="2088" spans="1:14" x14ac:dyDescent="0.35">
      <c r="A2088">
        <v>2187</v>
      </c>
      <c r="B2088" t="s">
        <v>26</v>
      </c>
      <c r="C2088" s="6">
        <v>44418</v>
      </c>
      <c r="D2088">
        <f>YEAR(Table1[[#This Row],[Join Date]])</f>
        <v>2021</v>
      </c>
      <c r="E2088" s="6">
        <v>45628</v>
      </c>
      <c r="F2088">
        <f>IFERROR(YEAR(Table1[[#This Row],[Exit Date]]), " ")</f>
        <v>2024</v>
      </c>
      <c r="G2088">
        <f>IFERROR((Table1[[#This Row],[Exit Year]]-Table1[[#This Row],[Join Year]])+1," ")</f>
        <v>4</v>
      </c>
      <c r="H2088" t="s">
        <v>22</v>
      </c>
      <c r="I2088" t="s">
        <v>23</v>
      </c>
      <c r="J2088" t="s">
        <v>12</v>
      </c>
      <c r="K2088">
        <v>27</v>
      </c>
      <c r="L2088" t="str">
        <f>IF(Table1[[#This Row],[Age]]&lt;30,"20-29",
IF(Table1[[#This Row],[Age]]&lt;40,"30-39",
IF(Table1[[#This Row],[Age]]&lt;50,"40-49",
IF(Table1[[#This Row],[Age]]&lt;60,"50-59","60+"))))</f>
        <v>20-29</v>
      </c>
      <c r="M2088" t="s">
        <v>44</v>
      </c>
      <c r="N2088" t="s">
        <v>28</v>
      </c>
    </row>
    <row r="2089" spans="1:14" x14ac:dyDescent="0.35">
      <c r="A2089">
        <v>2188</v>
      </c>
      <c r="B2089" t="s">
        <v>34</v>
      </c>
      <c r="C2089" s="6">
        <v>44324</v>
      </c>
      <c r="D2089">
        <f>YEAR(Table1[[#This Row],[Join Date]])</f>
        <v>2021</v>
      </c>
      <c r="E2089" s="6">
        <v>45076</v>
      </c>
      <c r="F2089">
        <f>IFERROR(YEAR(Table1[[#This Row],[Exit Date]]), " ")</f>
        <v>2023</v>
      </c>
      <c r="G2089">
        <f>IFERROR((Table1[[#This Row],[Exit Year]]-Table1[[#This Row],[Join Year]])+1," ")</f>
        <v>3</v>
      </c>
      <c r="H2089" t="s">
        <v>40</v>
      </c>
      <c r="I2089" t="s">
        <v>23</v>
      </c>
      <c r="J2089" t="s">
        <v>18</v>
      </c>
      <c r="K2089">
        <v>31</v>
      </c>
      <c r="L2089" t="str">
        <f>IF(Table1[[#This Row],[Age]]&lt;30,"20-29",
IF(Table1[[#This Row],[Age]]&lt;40,"30-39",
IF(Table1[[#This Row],[Age]]&lt;50,"40-49",
IF(Table1[[#This Row],[Age]]&lt;60,"50-59","60+"))))</f>
        <v>30-39</v>
      </c>
      <c r="M2089" t="s">
        <v>13</v>
      </c>
      <c r="N2089" t="s">
        <v>31</v>
      </c>
    </row>
    <row r="2090" spans="1:14" x14ac:dyDescent="0.35">
      <c r="A2090">
        <v>2189</v>
      </c>
      <c r="B2090" t="s">
        <v>10</v>
      </c>
      <c r="C2090" s="6">
        <v>43513</v>
      </c>
      <c r="D2090">
        <f>YEAR(Table1[[#This Row],[Join Date]])</f>
        <v>2019</v>
      </c>
      <c r="E2090" s="6">
        <v>44923</v>
      </c>
      <c r="F2090">
        <f>IFERROR(YEAR(Table1[[#This Row],[Exit Date]]), " ")</f>
        <v>2022</v>
      </c>
      <c r="G2090">
        <f>IFERROR((Table1[[#This Row],[Exit Year]]-Table1[[#This Row],[Join Year]])+1," ")</f>
        <v>4</v>
      </c>
      <c r="H2090" t="s">
        <v>46</v>
      </c>
      <c r="I2090" t="s">
        <v>23</v>
      </c>
      <c r="J2090" t="s">
        <v>18</v>
      </c>
      <c r="K2090">
        <v>24</v>
      </c>
      <c r="L2090" t="str">
        <f>IF(Table1[[#This Row],[Age]]&lt;30,"20-29",
IF(Table1[[#This Row],[Age]]&lt;40,"30-39",
IF(Table1[[#This Row],[Age]]&lt;50,"40-49",
IF(Table1[[#This Row],[Age]]&lt;60,"50-59","60+"))))</f>
        <v>20-29</v>
      </c>
      <c r="M2090" t="s">
        <v>13</v>
      </c>
      <c r="N2090" t="s">
        <v>32</v>
      </c>
    </row>
    <row r="2091" spans="1:14" x14ac:dyDescent="0.35">
      <c r="A2091">
        <v>2190</v>
      </c>
      <c r="B2091" t="s">
        <v>36</v>
      </c>
      <c r="C2091" s="6">
        <v>44180</v>
      </c>
      <c r="D2091">
        <f>YEAR(Table1[[#This Row],[Join Date]])</f>
        <v>2020</v>
      </c>
      <c r="E2091" s="6" t="s">
        <v>48</v>
      </c>
      <c r="F2091" t="str">
        <f>IFERROR(YEAR(Table1[[#This Row],[Exit Date]]), " ")</f>
        <v xml:space="preserve"> </v>
      </c>
      <c r="G2091" t="str">
        <f>IFERROR((Table1[[#This Row],[Exit Year]]-Table1[[#This Row],[Join Year]])+1," ")</f>
        <v xml:space="preserve"> </v>
      </c>
      <c r="H2091" t="s">
        <v>48</v>
      </c>
      <c r="I2091" t="s">
        <v>11</v>
      </c>
      <c r="J2091" t="s">
        <v>12</v>
      </c>
      <c r="K2091">
        <v>37</v>
      </c>
      <c r="L2091" t="str">
        <f>IF(Table1[[#This Row],[Age]]&lt;30,"20-29",
IF(Table1[[#This Row],[Age]]&lt;40,"30-39",
IF(Table1[[#This Row],[Age]]&lt;50,"40-49",
IF(Table1[[#This Row],[Age]]&lt;60,"50-59","60+"))))</f>
        <v>30-39</v>
      </c>
      <c r="M2091" t="s">
        <v>16</v>
      </c>
      <c r="N2091" t="s">
        <v>33</v>
      </c>
    </row>
    <row r="2092" spans="1:14" x14ac:dyDescent="0.35">
      <c r="A2092">
        <v>2191</v>
      </c>
      <c r="B2092" t="s">
        <v>34</v>
      </c>
      <c r="C2092" s="6">
        <v>44099</v>
      </c>
      <c r="D2092">
        <f>YEAR(Table1[[#This Row],[Join Date]])</f>
        <v>2020</v>
      </c>
      <c r="E2092" s="6" t="s">
        <v>48</v>
      </c>
      <c r="F2092" t="str">
        <f>IFERROR(YEAR(Table1[[#This Row],[Exit Date]]), " ")</f>
        <v xml:space="preserve"> </v>
      </c>
      <c r="G2092" t="str">
        <f>IFERROR((Table1[[#This Row],[Exit Year]]-Table1[[#This Row],[Join Year]])+1," ")</f>
        <v xml:space="preserve"> </v>
      </c>
      <c r="H2092" t="s">
        <v>48</v>
      </c>
      <c r="I2092" t="s">
        <v>11</v>
      </c>
      <c r="J2092" t="s">
        <v>18</v>
      </c>
      <c r="K2092">
        <v>23</v>
      </c>
      <c r="L2092" t="str">
        <f>IF(Table1[[#This Row],[Age]]&lt;30,"20-29",
IF(Table1[[#This Row],[Age]]&lt;40,"30-39",
IF(Table1[[#This Row],[Age]]&lt;50,"40-49",
IF(Table1[[#This Row],[Age]]&lt;60,"50-59","60+"))))</f>
        <v>20-29</v>
      </c>
      <c r="M2092" t="s">
        <v>13</v>
      </c>
      <c r="N2092" t="s">
        <v>35</v>
      </c>
    </row>
    <row r="2093" spans="1:14" x14ac:dyDescent="0.35">
      <c r="A2093">
        <v>2192</v>
      </c>
      <c r="B2093" t="s">
        <v>34</v>
      </c>
      <c r="C2093" s="6">
        <v>45632</v>
      </c>
      <c r="D2093">
        <f>YEAR(Table1[[#This Row],[Join Date]])</f>
        <v>2024</v>
      </c>
      <c r="E2093" s="6" t="s">
        <v>48</v>
      </c>
      <c r="F2093" t="str">
        <f>IFERROR(YEAR(Table1[[#This Row],[Exit Date]]), " ")</f>
        <v xml:space="preserve"> </v>
      </c>
      <c r="G2093" t="str">
        <f>IFERROR((Table1[[#This Row],[Exit Year]]-Table1[[#This Row],[Join Year]])+1," ")</f>
        <v xml:space="preserve"> </v>
      </c>
      <c r="H2093" t="s">
        <v>48</v>
      </c>
      <c r="I2093" t="s">
        <v>11</v>
      </c>
      <c r="J2093" t="s">
        <v>18</v>
      </c>
      <c r="K2093">
        <v>31</v>
      </c>
      <c r="L2093" t="str">
        <f>IF(Table1[[#This Row],[Age]]&lt;30,"20-29",
IF(Table1[[#This Row],[Age]]&lt;40,"30-39",
IF(Table1[[#This Row],[Age]]&lt;50,"40-49",
IF(Table1[[#This Row],[Age]]&lt;60,"50-59","60+"))))</f>
        <v>30-39</v>
      </c>
      <c r="M2093" t="s">
        <v>20</v>
      </c>
      <c r="N2093" t="s">
        <v>37</v>
      </c>
    </row>
    <row r="2094" spans="1:14" x14ac:dyDescent="0.35">
      <c r="A2094">
        <v>2193</v>
      </c>
      <c r="B2094" t="s">
        <v>36</v>
      </c>
      <c r="C2094" s="6">
        <v>45294</v>
      </c>
      <c r="D2094">
        <f>YEAR(Table1[[#This Row],[Join Date]])</f>
        <v>2024</v>
      </c>
      <c r="E2094" s="6" t="s">
        <v>48</v>
      </c>
      <c r="F2094" t="str">
        <f>IFERROR(YEAR(Table1[[#This Row],[Exit Date]]), " ")</f>
        <v xml:space="preserve"> </v>
      </c>
      <c r="G2094" t="str">
        <f>IFERROR((Table1[[#This Row],[Exit Year]]-Table1[[#This Row],[Join Year]])+1," ")</f>
        <v xml:space="preserve"> </v>
      </c>
      <c r="H2094" t="s">
        <v>48</v>
      </c>
      <c r="I2094" t="s">
        <v>11</v>
      </c>
      <c r="J2094" t="s">
        <v>18</v>
      </c>
      <c r="K2094">
        <v>52</v>
      </c>
      <c r="L2094" t="str">
        <f>IF(Table1[[#This Row],[Age]]&lt;30,"20-29",
IF(Table1[[#This Row],[Age]]&lt;40,"30-39",
IF(Table1[[#This Row],[Age]]&lt;50,"40-49",
IF(Table1[[#This Row],[Age]]&lt;60,"50-59","60+"))))</f>
        <v>50-59</v>
      </c>
      <c r="M2094" t="s">
        <v>39</v>
      </c>
      <c r="N2094" t="s">
        <v>19</v>
      </c>
    </row>
    <row r="2095" spans="1:14" x14ac:dyDescent="0.35">
      <c r="A2095">
        <v>2194</v>
      </c>
      <c r="B2095" t="s">
        <v>26</v>
      </c>
      <c r="C2095" s="6">
        <v>44590</v>
      </c>
      <c r="D2095">
        <f>YEAR(Table1[[#This Row],[Join Date]])</f>
        <v>2022</v>
      </c>
      <c r="E2095" s="6" t="s">
        <v>48</v>
      </c>
      <c r="F2095" t="str">
        <f>IFERROR(YEAR(Table1[[#This Row],[Exit Date]]), " ")</f>
        <v xml:space="preserve"> </v>
      </c>
      <c r="G2095" t="str">
        <f>IFERROR((Table1[[#This Row],[Exit Year]]-Table1[[#This Row],[Join Year]])+1," ")</f>
        <v xml:space="preserve"> </v>
      </c>
      <c r="H2095" t="s">
        <v>48</v>
      </c>
      <c r="I2095" t="s">
        <v>11</v>
      </c>
      <c r="J2095" t="s">
        <v>12</v>
      </c>
      <c r="K2095">
        <v>25</v>
      </c>
      <c r="L2095" t="str">
        <f>IF(Table1[[#This Row],[Age]]&lt;30,"20-29",
IF(Table1[[#This Row],[Age]]&lt;40,"30-39",
IF(Table1[[#This Row],[Age]]&lt;50,"40-49",
IF(Table1[[#This Row],[Age]]&lt;60,"50-59","60+"))))</f>
        <v>20-29</v>
      </c>
      <c r="M2095" t="s">
        <v>13</v>
      </c>
      <c r="N2095" t="s">
        <v>25</v>
      </c>
    </row>
    <row r="2096" spans="1:14" x14ac:dyDescent="0.35">
      <c r="A2096">
        <v>2195</v>
      </c>
      <c r="B2096" t="s">
        <v>15</v>
      </c>
      <c r="C2096" s="6">
        <v>45215</v>
      </c>
      <c r="D2096">
        <f>YEAR(Table1[[#This Row],[Join Date]])</f>
        <v>2023</v>
      </c>
      <c r="E2096" s="6" t="s">
        <v>48</v>
      </c>
      <c r="F2096" t="str">
        <f>IFERROR(YEAR(Table1[[#This Row],[Exit Date]]), " ")</f>
        <v xml:space="preserve"> </v>
      </c>
      <c r="G2096" t="str">
        <f>IFERROR((Table1[[#This Row],[Exit Year]]-Table1[[#This Row],[Join Year]])+1," ")</f>
        <v xml:space="preserve"> </v>
      </c>
      <c r="H2096" t="s">
        <v>48</v>
      </c>
      <c r="I2096" t="s">
        <v>11</v>
      </c>
      <c r="J2096" t="s">
        <v>18</v>
      </c>
      <c r="K2096">
        <v>46</v>
      </c>
      <c r="L2096" t="str">
        <f>IF(Table1[[#This Row],[Age]]&lt;30,"20-29",
IF(Table1[[#This Row],[Age]]&lt;40,"30-39",
IF(Table1[[#This Row],[Age]]&lt;50,"40-49",
IF(Table1[[#This Row],[Age]]&lt;60,"50-59","60+"))))</f>
        <v>40-49</v>
      </c>
      <c r="M2096" t="s">
        <v>16</v>
      </c>
      <c r="N2096" t="s">
        <v>35</v>
      </c>
    </row>
    <row r="2097" spans="1:14" x14ac:dyDescent="0.35">
      <c r="A2097">
        <v>2196</v>
      </c>
      <c r="B2097" t="s">
        <v>15</v>
      </c>
      <c r="C2097" s="6">
        <v>43624</v>
      </c>
      <c r="D2097">
        <f>YEAR(Table1[[#This Row],[Join Date]])</f>
        <v>2019</v>
      </c>
      <c r="E2097" s="6">
        <v>44228</v>
      </c>
      <c r="F2097">
        <f>IFERROR(YEAR(Table1[[#This Row],[Exit Date]]), " ")</f>
        <v>2021</v>
      </c>
      <c r="G2097">
        <f>IFERROR((Table1[[#This Row],[Exit Year]]-Table1[[#This Row],[Join Year]])+1," ")</f>
        <v>3</v>
      </c>
      <c r="H2097" t="s">
        <v>41</v>
      </c>
      <c r="I2097" t="s">
        <v>23</v>
      </c>
      <c r="J2097" t="s">
        <v>12</v>
      </c>
      <c r="K2097">
        <v>24</v>
      </c>
      <c r="L2097" t="str">
        <f>IF(Table1[[#This Row],[Age]]&lt;30,"20-29",
IF(Table1[[#This Row],[Age]]&lt;40,"30-39",
IF(Table1[[#This Row],[Age]]&lt;50,"40-49",
IF(Table1[[#This Row],[Age]]&lt;60,"50-59","60+"))))</f>
        <v>20-29</v>
      </c>
      <c r="M2097" t="s">
        <v>16</v>
      </c>
      <c r="N2097" t="s">
        <v>17</v>
      </c>
    </row>
    <row r="2098" spans="1:14" x14ac:dyDescent="0.35">
      <c r="A2098">
        <v>2197</v>
      </c>
      <c r="B2098" t="s">
        <v>15</v>
      </c>
      <c r="C2098" s="6">
        <v>44514</v>
      </c>
      <c r="D2098">
        <f>YEAR(Table1[[#This Row],[Join Date]])</f>
        <v>2021</v>
      </c>
      <c r="E2098" s="6">
        <v>45529</v>
      </c>
      <c r="F2098">
        <f>IFERROR(YEAR(Table1[[#This Row],[Exit Date]]), " ")</f>
        <v>2024</v>
      </c>
      <c r="G2098">
        <f>IFERROR((Table1[[#This Row],[Exit Year]]-Table1[[#This Row],[Join Year]])+1," ")</f>
        <v>4</v>
      </c>
      <c r="H2098" t="s">
        <v>41</v>
      </c>
      <c r="I2098" t="s">
        <v>23</v>
      </c>
      <c r="J2098" t="s">
        <v>12</v>
      </c>
      <c r="K2098">
        <v>38</v>
      </c>
      <c r="L2098" t="str">
        <f>IF(Table1[[#This Row],[Age]]&lt;30,"20-29",
IF(Table1[[#This Row],[Age]]&lt;40,"30-39",
IF(Table1[[#This Row],[Age]]&lt;50,"40-49",
IF(Table1[[#This Row],[Age]]&lt;60,"50-59","60+"))))</f>
        <v>30-39</v>
      </c>
      <c r="M2098" t="s">
        <v>20</v>
      </c>
      <c r="N2098" t="s">
        <v>19</v>
      </c>
    </row>
    <row r="2099" spans="1:14" x14ac:dyDescent="0.35">
      <c r="A2099">
        <v>2198</v>
      </c>
      <c r="B2099" t="s">
        <v>29</v>
      </c>
      <c r="C2099" s="6">
        <v>43700</v>
      </c>
      <c r="D2099">
        <f>YEAR(Table1[[#This Row],[Join Date]])</f>
        <v>2019</v>
      </c>
      <c r="E2099" s="6" t="s">
        <v>48</v>
      </c>
      <c r="F2099" t="str">
        <f>IFERROR(YEAR(Table1[[#This Row],[Exit Date]]), " ")</f>
        <v xml:space="preserve"> </v>
      </c>
      <c r="G2099" t="str">
        <f>IFERROR((Table1[[#This Row],[Exit Year]]-Table1[[#This Row],[Join Year]])+1," ")</f>
        <v xml:space="preserve"> </v>
      </c>
      <c r="H2099" t="s">
        <v>48</v>
      </c>
      <c r="I2099" t="s">
        <v>11</v>
      </c>
      <c r="J2099" t="s">
        <v>12</v>
      </c>
      <c r="K2099">
        <v>49</v>
      </c>
      <c r="L2099" t="str">
        <f>IF(Table1[[#This Row],[Age]]&lt;30,"20-29",
IF(Table1[[#This Row],[Age]]&lt;40,"30-39",
IF(Table1[[#This Row],[Age]]&lt;50,"40-49",
IF(Table1[[#This Row],[Age]]&lt;60,"50-59","60+"))))</f>
        <v>40-49</v>
      </c>
      <c r="M2099" t="s">
        <v>24</v>
      </c>
      <c r="N2099" t="s">
        <v>21</v>
      </c>
    </row>
    <row r="2100" spans="1:14" x14ac:dyDescent="0.35">
      <c r="A2100">
        <v>2199</v>
      </c>
      <c r="B2100" t="s">
        <v>34</v>
      </c>
      <c r="C2100" s="6">
        <v>45540</v>
      </c>
      <c r="D2100">
        <f>YEAR(Table1[[#This Row],[Join Date]])</f>
        <v>2024</v>
      </c>
      <c r="E2100" s="6" t="s">
        <v>48</v>
      </c>
      <c r="F2100" t="str">
        <f>IFERROR(YEAR(Table1[[#This Row],[Exit Date]]), " ")</f>
        <v xml:space="preserve"> </v>
      </c>
      <c r="G2100" t="str">
        <f>IFERROR((Table1[[#This Row],[Exit Year]]-Table1[[#This Row],[Join Year]])+1," ")</f>
        <v xml:space="preserve"> </v>
      </c>
      <c r="H2100" t="s">
        <v>48</v>
      </c>
      <c r="I2100" t="s">
        <v>11</v>
      </c>
      <c r="J2100" t="s">
        <v>18</v>
      </c>
      <c r="K2100">
        <v>31</v>
      </c>
      <c r="L2100" t="str">
        <f>IF(Table1[[#This Row],[Age]]&lt;30,"20-29",
IF(Table1[[#This Row],[Age]]&lt;40,"30-39",
IF(Table1[[#This Row],[Age]]&lt;50,"40-49",
IF(Table1[[#This Row],[Age]]&lt;60,"50-59","60+"))))</f>
        <v>30-39</v>
      </c>
      <c r="M2100" t="s">
        <v>13</v>
      </c>
      <c r="N2100" t="s">
        <v>25</v>
      </c>
    </row>
    <row r="2101" spans="1:14" x14ac:dyDescent="0.35">
      <c r="A2101">
        <v>2200</v>
      </c>
      <c r="B2101" t="s">
        <v>10</v>
      </c>
      <c r="C2101" s="6">
        <v>43297</v>
      </c>
      <c r="D2101">
        <f>YEAR(Table1[[#This Row],[Join Date]])</f>
        <v>2018</v>
      </c>
      <c r="E2101" s="6">
        <v>44682</v>
      </c>
      <c r="F2101">
        <f>IFERROR(YEAR(Table1[[#This Row],[Exit Date]]), " ")</f>
        <v>2022</v>
      </c>
      <c r="G2101">
        <f>IFERROR((Table1[[#This Row],[Exit Year]]-Table1[[#This Row],[Join Year]])+1," ")</f>
        <v>5</v>
      </c>
      <c r="H2101" t="s">
        <v>40</v>
      </c>
      <c r="I2101" t="s">
        <v>23</v>
      </c>
      <c r="J2101" t="s">
        <v>12</v>
      </c>
      <c r="K2101">
        <v>51</v>
      </c>
      <c r="L2101" t="str">
        <f>IF(Table1[[#This Row],[Age]]&lt;30,"20-29",
IF(Table1[[#This Row],[Age]]&lt;40,"30-39",
IF(Table1[[#This Row],[Age]]&lt;50,"40-49",
IF(Table1[[#This Row],[Age]]&lt;60,"50-59","60+"))))</f>
        <v>50-59</v>
      </c>
      <c r="M2101" t="s">
        <v>42</v>
      </c>
      <c r="N2101" t="s">
        <v>35</v>
      </c>
    </row>
    <row r="2102" spans="1:14" x14ac:dyDescent="0.35">
      <c r="A2102">
        <v>2201</v>
      </c>
      <c r="B2102" t="s">
        <v>10</v>
      </c>
      <c r="C2102" s="6">
        <v>43407</v>
      </c>
      <c r="D2102">
        <f>YEAR(Table1[[#This Row],[Join Date]])</f>
        <v>2018</v>
      </c>
      <c r="E2102" s="6" t="s">
        <v>48</v>
      </c>
      <c r="F2102" t="str">
        <f>IFERROR(YEAR(Table1[[#This Row],[Exit Date]]), " ")</f>
        <v xml:space="preserve"> </v>
      </c>
      <c r="G2102" t="str">
        <f>IFERROR((Table1[[#This Row],[Exit Year]]-Table1[[#This Row],[Join Year]])+1," ")</f>
        <v xml:space="preserve"> </v>
      </c>
      <c r="H2102" t="s">
        <v>48</v>
      </c>
      <c r="I2102" t="s">
        <v>11</v>
      </c>
      <c r="J2102" t="s">
        <v>18</v>
      </c>
      <c r="K2102">
        <v>27</v>
      </c>
      <c r="L2102" t="str">
        <f>IF(Table1[[#This Row],[Age]]&lt;30,"20-29",
IF(Table1[[#This Row],[Age]]&lt;40,"30-39",
IF(Table1[[#This Row],[Age]]&lt;50,"40-49",
IF(Table1[[#This Row],[Age]]&lt;60,"50-59","60+"))))</f>
        <v>20-29</v>
      </c>
      <c r="M2102" t="s">
        <v>13</v>
      </c>
      <c r="N2102" t="s">
        <v>14</v>
      </c>
    </row>
    <row r="2103" spans="1:14" x14ac:dyDescent="0.35">
      <c r="A2103">
        <v>2202</v>
      </c>
      <c r="B2103" t="s">
        <v>15</v>
      </c>
      <c r="C2103" s="6">
        <v>44121</v>
      </c>
      <c r="D2103">
        <f>YEAR(Table1[[#This Row],[Join Date]])</f>
        <v>2020</v>
      </c>
      <c r="E2103" s="6" t="s">
        <v>48</v>
      </c>
      <c r="F2103" t="str">
        <f>IFERROR(YEAR(Table1[[#This Row],[Exit Date]]), " ")</f>
        <v xml:space="preserve"> </v>
      </c>
      <c r="G2103" t="str">
        <f>IFERROR((Table1[[#This Row],[Exit Year]]-Table1[[#This Row],[Join Year]])+1," ")</f>
        <v xml:space="preserve"> </v>
      </c>
      <c r="H2103" t="s">
        <v>48</v>
      </c>
      <c r="I2103" t="s">
        <v>11</v>
      </c>
      <c r="J2103" t="s">
        <v>12</v>
      </c>
      <c r="K2103">
        <v>22</v>
      </c>
      <c r="L2103" t="str">
        <f>IF(Table1[[#This Row],[Age]]&lt;30,"20-29",
IF(Table1[[#This Row],[Age]]&lt;40,"30-39",
IF(Table1[[#This Row],[Age]]&lt;50,"40-49",
IF(Table1[[#This Row],[Age]]&lt;60,"50-59","60+"))))</f>
        <v>20-29</v>
      </c>
      <c r="M2103" t="s">
        <v>13</v>
      </c>
      <c r="N2103" t="s">
        <v>19</v>
      </c>
    </row>
    <row r="2104" spans="1:14" x14ac:dyDescent="0.35">
      <c r="A2104">
        <v>2203</v>
      </c>
      <c r="B2104" t="s">
        <v>15</v>
      </c>
      <c r="C2104" s="6">
        <v>44423</v>
      </c>
      <c r="D2104">
        <f>YEAR(Table1[[#This Row],[Join Date]])</f>
        <v>2021</v>
      </c>
      <c r="E2104" s="6" t="s">
        <v>48</v>
      </c>
      <c r="F2104" t="str">
        <f>IFERROR(YEAR(Table1[[#This Row],[Exit Date]]), " ")</f>
        <v xml:space="preserve"> </v>
      </c>
      <c r="G2104" t="str">
        <f>IFERROR((Table1[[#This Row],[Exit Year]]-Table1[[#This Row],[Join Year]])+1," ")</f>
        <v xml:space="preserve"> </v>
      </c>
      <c r="H2104" t="s">
        <v>48</v>
      </c>
      <c r="I2104" t="s">
        <v>11</v>
      </c>
      <c r="J2104" t="s">
        <v>18</v>
      </c>
      <c r="K2104">
        <v>50</v>
      </c>
      <c r="L2104" t="str">
        <f>IF(Table1[[#This Row],[Age]]&lt;30,"20-29",
IF(Table1[[#This Row],[Age]]&lt;40,"30-39",
IF(Table1[[#This Row],[Age]]&lt;50,"40-49",
IF(Table1[[#This Row],[Age]]&lt;60,"50-59","60+"))))</f>
        <v>50-59</v>
      </c>
      <c r="M2104" t="s">
        <v>16</v>
      </c>
      <c r="N2104" t="s">
        <v>21</v>
      </c>
    </row>
    <row r="2105" spans="1:14" x14ac:dyDescent="0.35">
      <c r="A2105">
        <v>2204</v>
      </c>
      <c r="B2105" t="s">
        <v>15</v>
      </c>
      <c r="C2105" s="6">
        <v>45087</v>
      </c>
      <c r="D2105">
        <f>YEAR(Table1[[#This Row],[Join Date]])</f>
        <v>2023</v>
      </c>
      <c r="E2105" s="6" t="s">
        <v>48</v>
      </c>
      <c r="F2105" t="str">
        <f>IFERROR(YEAR(Table1[[#This Row],[Exit Date]]), " ")</f>
        <v xml:space="preserve"> </v>
      </c>
      <c r="G2105" t="str">
        <f>IFERROR((Table1[[#This Row],[Exit Year]]-Table1[[#This Row],[Join Year]])+1," ")</f>
        <v xml:space="preserve"> </v>
      </c>
      <c r="H2105" t="s">
        <v>48</v>
      </c>
      <c r="I2105" t="s">
        <v>11</v>
      </c>
      <c r="J2105" t="s">
        <v>18</v>
      </c>
      <c r="K2105">
        <v>24</v>
      </c>
      <c r="L2105" t="str">
        <f>IF(Table1[[#This Row],[Age]]&lt;30,"20-29",
IF(Table1[[#This Row],[Age]]&lt;40,"30-39",
IF(Table1[[#This Row],[Age]]&lt;50,"40-49",
IF(Table1[[#This Row],[Age]]&lt;60,"50-59","60+"))))</f>
        <v>20-29</v>
      </c>
      <c r="M2105" t="s">
        <v>13</v>
      </c>
      <c r="N2105" t="s">
        <v>37</v>
      </c>
    </row>
    <row r="2106" spans="1:14" x14ac:dyDescent="0.35">
      <c r="A2106">
        <v>2205</v>
      </c>
      <c r="B2106" t="s">
        <v>15</v>
      </c>
      <c r="C2106" s="6">
        <v>43479</v>
      </c>
      <c r="D2106">
        <f>YEAR(Table1[[#This Row],[Join Date]])</f>
        <v>2019</v>
      </c>
      <c r="E2106" s="6">
        <v>44449</v>
      </c>
      <c r="F2106">
        <f>IFERROR(YEAR(Table1[[#This Row],[Exit Date]]), " ")</f>
        <v>2021</v>
      </c>
      <c r="G2106">
        <f>IFERROR((Table1[[#This Row],[Exit Year]]-Table1[[#This Row],[Join Year]])+1," ")</f>
        <v>3</v>
      </c>
      <c r="H2106" t="s">
        <v>46</v>
      </c>
      <c r="I2106" t="s">
        <v>23</v>
      </c>
      <c r="J2106" t="s">
        <v>12</v>
      </c>
      <c r="K2106">
        <v>50</v>
      </c>
      <c r="L2106" t="str">
        <f>IF(Table1[[#This Row],[Age]]&lt;30,"20-29",
IF(Table1[[#This Row],[Age]]&lt;40,"30-39",
IF(Table1[[#This Row],[Age]]&lt;50,"40-49",
IF(Table1[[#This Row],[Age]]&lt;60,"50-59","60+"))))</f>
        <v>50-59</v>
      </c>
      <c r="M2106" t="s">
        <v>20</v>
      </c>
      <c r="N2106" t="s">
        <v>25</v>
      </c>
    </row>
    <row r="2107" spans="1:14" x14ac:dyDescent="0.35">
      <c r="A2107">
        <v>2206</v>
      </c>
      <c r="B2107" t="s">
        <v>26</v>
      </c>
      <c r="C2107" s="6">
        <v>44749</v>
      </c>
      <c r="D2107">
        <f>YEAR(Table1[[#This Row],[Join Date]])</f>
        <v>2022</v>
      </c>
      <c r="E2107" s="6">
        <v>44972</v>
      </c>
      <c r="F2107">
        <f>IFERROR(YEAR(Table1[[#This Row],[Exit Date]]), " ")</f>
        <v>2023</v>
      </c>
      <c r="G2107">
        <f>IFERROR((Table1[[#This Row],[Exit Year]]-Table1[[#This Row],[Join Year]])+1," ")</f>
        <v>2</v>
      </c>
      <c r="H2107" t="s">
        <v>46</v>
      </c>
      <c r="I2107" t="s">
        <v>23</v>
      </c>
      <c r="J2107" t="s">
        <v>18</v>
      </c>
      <c r="K2107">
        <v>28</v>
      </c>
      <c r="L2107" t="str">
        <f>IF(Table1[[#This Row],[Age]]&lt;30,"20-29",
IF(Table1[[#This Row],[Age]]&lt;40,"30-39",
IF(Table1[[#This Row],[Age]]&lt;50,"40-49",
IF(Table1[[#This Row],[Age]]&lt;60,"50-59","60+"))))</f>
        <v>20-29</v>
      </c>
      <c r="M2107" t="s">
        <v>39</v>
      </c>
      <c r="N2107" t="s">
        <v>35</v>
      </c>
    </row>
    <row r="2108" spans="1:14" x14ac:dyDescent="0.35">
      <c r="A2108">
        <v>2207</v>
      </c>
      <c r="B2108" t="s">
        <v>29</v>
      </c>
      <c r="C2108" s="6">
        <v>45457</v>
      </c>
      <c r="D2108">
        <f>YEAR(Table1[[#This Row],[Join Date]])</f>
        <v>2024</v>
      </c>
      <c r="E2108" s="6" t="s">
        <v>48</v>
      </c>
      <c r="F2108" t="str">
        <f>IFERROR(YEAR(Table1[[#This Row],[Exit Date]]), " ")</f>
        <v xml:space="preserve"> </v>
      </c>
      <c r="G2108" t="str">
        <f>IFERROR((Table1[[#This Row],[Exit Year]]-Table1[[#This Row],[Join Year]])+1," ")</f>
        <v xml:space="preserve"> </v>
      </c>
      <c r="H2108" t="s">
        <v>48</v>
      </c>
      <c r="I2108" t="s">
        <v>11</v>
      </c>
      <c r="J2108" t="s">
        <v>18</v>
      </c>
      <c r="K2108">
        <v>40</v>
      </c>
      <c r="L2108" t="str">
        <f>IF(Table1[[#This Row],[Age]]&lt;30,"20-29",
IF(Table1[[#This Row],[Age]]&lt;40,"30-39",
IF(Table1[[#This Row],[Age]]&lt;50,"40-49",
IF(Table1[[#This Row],[Age]]&lt;60,"50-59","60+"))))</f>
        <v>40-49</v>
      </c>
      <c r="M2108" t="s">
        <v>13</v>
      </c>
      <c r="N2108" t="s">
        <v>19</v>
      </c>
    </row>
    <row r="2109" spans="1:14" x14ac:dyDescent="0.35">
      <c r="A2109">
        <v>2208</v>
      </c>
      <c r="B2109" t="s">
        <v>10</v>
      </c>
      <c r="C2109" s="6">
        <v>43304</v>
      </c>
      <c r="D2109">
        <f>YEAR(Table1[[#This Row],[Join Date]])</f>
        <v>2018</v>
      </c>
      <c r="E2109" s="6" t="s">
        <v>48</v>
      </c>
      <c r="F2109" t="str">
        <f>IFERROR(YEAR(Table1[[#This Row],[Exit Date]]), " ")</f>
        <v xml:space="preserve"> </v>
      </c>
      <c r="G2109" t="str">
        <f>IFERROR((Table1[[#This Row],[Exit Year]]-Table1[[#This Row],[Join Year]])+1," ")</f>
        <v xml:space="preserve"> </v>
      </c>
      <c r="H2109" t="s">
        <v>48</v>
      </c>
      <c r="I2109" t="s">
        <v>11</v>
      </c>
      <c r="J2109" t="s">
        <v>12</v>
      </c>
      <c r="K2109">
        <v>32</v>
      </c>
      <c r="L2109" t="str">
        <f>IF(Table1[[#This Row],[Age]]&lt;30,"20-29",
IF(Table1[[#This Row],[Age]]&lt;40,"30-39",
IF(Table1[[#This Row],[Age]]&lt;50,"40-49",
IF(Table1[[#This Row],[Age]]&lt;60,"50-59","60+"))))</f>
        <v>30-39</v>
      </c>
      <c r="M2109" t="s">
        <v>16</v>
      </c>
      <c r="N2109" t="s">
        <v>21</v>
      </c>
    </row>
    <row r="2110" spans="1:14" x14ac:dyDescent="0.35">
      <c r="A2110">
        <v>2209</v>
      </c>
      <c r="B2110" t="s">
        <v>15</v>
      </c>
      <c r="C2110" s="6">
        <v>44987</v>
      </c>
      <c r="D2110">
        <f>YEAR(Table1[[#This Row],[Join Date]])</f>
        <v>2023</v>
      </c>
      <c r="E2110" s="6" t="s">
        <v>48</v>
      </c>
      <c r="F2110" t="str">
        <f>IFERROR(YEAR(Table1[[#This Row],[Exit Date]]), " ")</f>
        <v xml:space="preserve"> </v>
      </c>
      <c r="G2110" t="str">
        <f>IFERROR((Table1[[#This Row],[Exit Year]]-Table1[[#This Row],[Join Year]])+1," ")</f>
        <v xml:space="preserve"> </v>
      </c>
      <c r="H2110" t="s">
        <v>48</v>
      </c>
      <c r="I2110" t="s">
        <v>11</v>
      </c>
      <c r="J2110" t="s">
        <v>18</v>
      </c>
      <c r="K2110">
        <v>50</v>
      </c>
      <c r="L2110" t="str">
        <f>IF(Table1[[#This Row],[Age]]&lt;30,"20-29",
IF(Table1[[#This Row],[Age]]&lt;40,"30-39",
IF(Table1[[#This Row],[Age]]&lt;50,"40-49",
IF(Table1[[#This Row],[Age]]&lt;60,"50-59","60+"))))</f>
        <v>50-59</v>
      </c>
      <c r="M2110" t="s">
        <v>16</v>
      </c>
      <c r="N2110" t="s">
        <v>25</v>
      </c>
    </row>
    <row r="2111" spans="1:14" x14ac:dyDescent="0.35">
      <c r="A2111">
        <v>2210</v>
      </c>
      <c r="B2111" t="s">
        <v>34</v>
      </c>
      <c r="C2111" s="6">
        <v>45326</v>
      </c>
      <c r="D2111">
        <f>YEAR(Table1[[#This Row],[Join Date]])</f>
        <v>2024</v>
      </c>
      <c r="E2111" s="6" t="s">
        <v>48</v>
      </c>
      <c r="F2111" t="str">
        <f>IFERROR(YEAR(Table1[[#This Row],[Exit Date]]), " ")</f>
        <v xml:space="preserve"> </v>
      </c>
      <c r="G2111" t="str">
        <f>IFERROR((Table1[[#This Row],[Exit Year]]-Table1[[#This Row],[Join Year]])+1," ")</f>
        <v xml:space="preserve"> </v>
      </c>
      <c r="H2111" t="s">
        <v>48</v>
      </c>
      <c r="I2111" t="s">
        <v>11</v>
      </c>
      <c r="J2111" t="s">
        <v>18</v>
      </c>
      <c r="K2111">
        <v>24</v>
      </c>
      <c r="L2111" t="str">
        <f>IF(Table1[[#This Row],[Age]]&lt;30,"20-29",
IF(Table1[[#This Row],[Age]]&lt;40,"30-39",
IF(Table1[[#This Row],[Age]]&lt;50,"40-49",
IF(Table1[[#This Row],[Age]]&lt;60,"50-59","60+"))))</f>
        <v>20-29</v>
      </c>
      <c r="M2111" t="s">
        <v>20</v>
      </c>
      <c r="N2111" t="s">
        <v>28</v>
      </c>
    </row>
    <row r="2112" spans="1:14" x14ac:dyDescent="0.35">
      <c r="A2112">
        <v>2211</v>
      </c>
      <c r="B2112" t="s">
        <v>36</v>
      </c>
      <c r="C2112" s="6">
        <v>45474</v>
      </c>
      <c r="D2112">
        <f>YEAR(Table1[[#This Row],[Join Date]])</f>
        <v>2024</v>
      </c>
      <c r="E2112" s="6" t="s">
        <v>48</v>
      </c>
      <c r="F2112" t="str">
        <f>IFERROR(YEAR(Table1[[#This Row],[Exit Date]]), " ")</f>
        <v xml:space="preserve"> </v>
      </c>
      <c r="G2112" t="str">
        <f>IFERROR((Table1[[#This Row],[Exit Year]]-Table1[[#This Row],[Join Year]])+1," ")</f>
        <v xml:space="preserve"> </v>
      </c>
      <c r="H2112" t="s">
        <v>48</v>
      </c>
      <c r="I2112" t="s">
        <v>11</v>
      </c>
      <c r="J2112" t="s">
        <v>18</v>
      </c>
      <c r="K2112">
        <v>36</v>
      </c>
      <c r="L2112" t="str">
        <f>IF(Table1[[#This Row],[Age]]&lt;30,"20-29",
IF(Table1[[#This Row],[Age]]&lt;40,"30-39",
IF(Table1[[#This Row],[Age]]&lt;50,"40-49",
IF(Table1[[#This Row],[Age]]&lt;60,"50-59","60+"))))</f>
        <v>30-39</v>
      </c>
      <c r="M2112" t="s">
        <v>24</v>
      </c>
      <c r="N2112" t="s">
        <v>31</v>
      </c>
    </row>
    <row r="2113" spans="1:14" x14ac:dyDescent="0.35">
      <c r="A2113">
        <v>2212</v>
      </c>
      <c r="B2113" t="s">
        <v>29</v>
      </c>
      <c r="C2113" s="6">
        <v>44227</v>
      </c>
      <c r="D2113">
        <f>YEAR(Table1[[#This Row],[Join Date]])</f>
        <v>2021</v>
      </c>
      <c r="E2113" s="6">
        <v>45322</v>
      </c>
      <c r="F2113">
        <f>IFERROR(YEAR(Table1[[#This Row],[Exit Date]]), " ")</f>
        <v>2024</v>
      </c>
      <c r="G2113">
        <f>IFERROR((Table1[[#This Row],[Exit Year]]-Table1[[#This Row],[Join Year]])+1," ")</f>
        <v>4</v>
      </c>
      <c r="H2113" t="s">
        <v>46</v>
      </c>
      <c r="I2113" t="s">
        <v>23</v>
      </c>
      <c r="J2113" t="s">
        <v>12</v>
      </c>
      <c r="K2113">
        <v>49</v>
      </c>
      <c r="L2113" t="str">
        <f>IF(Table1[[#This Row],[Age]]&lt;30,"20-29",
IF(Table1[[#This Row],[Age]]&lt;40,"30-39",
IF(Table1[[#This Row],[Age]]&lt;50,"40-49",
IF(Table1[[#This Row],[Age]]&lt;60,"50-59","60+"))))</f>
        <v>40-49</v>
      </c>
      <c r="M2113" t="s">
        <v>13</v>
      </c>
      <c r="N2113" t="s">
        <v>32</v>
      </c>
    </row>
    <row r="2114" spans="1:14" x14ac:dyDescent="0.35">
      <c r="A2114">
        <v>2213</v>
      </c>
      <c r="B2114" t="s">
        <v>10</v>
      </c>
      <c r="C2114" s="6">
        <v>43446</v>
      </c>
      <c r="D2114">
        <f>YEAR(Table1[[#This Row],[Join Date]])</f>
        <v>2018</v>
      </c>
      <c r="E2114" s="6">
        <v>43936</v>
      </c>
      <c r="F2114">
        <f>IFERROR(YEAR(Table1[[#This Row],[Exit Date]]), " ")</f>
        <v>2020</v>
      </c>
      <c r="G2114">
        <f>IFERROR((Table1[[#This Row],[Exit Year]]-Table1[[#This Row],[Join Year]])+1," ")</f>
        <v>3</v>
      </c>
      <c r="H2114" t="s">
        <v>38</v>
      </c>
      <c r="I2114" t="s">
        <v>23</v>
      </c>
      <c r="J2114" t="s">
        <v>18</v>
      </c>
      <c r="K2114">
        <v>43</v>
      </c>
      <c r="L2114" t="str">
        <f>IF(Table1[[#This Row],[Age]]&lt;30,"20-29",
IF(Table1[[#This Row],[Age]]&lt;40,"30-39",
IF(Table1[[#This Row],[Age]]&lt;50,"40-49",
IF(Table1[[#This Row],[Age]]&lt;60,"50-59","60+"))))</f>
        <v>40-49</v>
      </c>
      <c r="M2114" t="s">
        <v>42</v>
      </c>
      <c r="N2114" t="s">
        <v>33</v>
      </c>
    </row>
    <row r="2115" spans="1:14" x14ac:dyDescent="0.35">
      <c r="A2115">
        <v>2214</v>
      </c>
      <c r="B2115" t="s">
        <v>15</v>
      </c>
      <c r="C2115" s="6">
        <v>45314</v>
      </c>
      <c r="D2115">
        <f>YEAR(Table1[[#This Row],[Join Date]])</f>
        <v>2024</v>
      </c>
      <c r="E2115" s="6" t="s">
        <v>48</v>
      </c>
      <c r="F2115" t="str">
        <f>IFERROR(YEAR(Table1[[#This Row],[Exit Date]]), " ")</f>
        <v xml:space="preserve"> </v>
      </c>
      <c r="G2115" t="str">
        <f>IFERROR((Table1[[#This Row],[Exit Year]]-Table1[[#This Row],[Join Year]])+1," ")</f>
        <v xml:space="preserve"> </v>
      </c>
      <c r="H2115" t="s">
        <v>48</v>
      </c>
      <c r="I2115" t="s">
        <v>11</v>
      </c>
      <c r="J2115" t="s">
        <v>12</v>
      </c>
      <c r="K2115">
        <v>40</v>
      </c>
      <c r="L2115" t="str">
        <f>IF(Table1[[#This Row],[Age]]&lt;30,"20-29",
IF(Table1[[#This Row],[Age]]&lt;40,"30-39",
IF(Table1[[#This Row],[Age]]&lt;50,"40-49",
IF(Table1[[#This Row],[Age]]&lt;60,"50-59","60+"))))</f>
        <v>40-49</v>
      </c>
      <c r="M2115" t="s">
        <v>13</v>
      </c>
      <c r="N2115" t="s">
        <v>35</v>
      </c>
    </row>
    <row r="2116" spans="1:14" x14ac:dyDescent="0.35">
      <c r="A2116">
        <v>2215</v>
      </c>
      <c r="B2116" t="s">
        <v>15</v>
      </c>
      <c r="C2116" s="6">
        <v>43123</v>
      </c>
      <c r="D2116">
        <f>YEAR(Table1[[#This Row],[Join Date]])</f>
        <v>2018</v>
      </c>
      <c r="E2116" s="6" t="s">
        <v>48</v>
      </c>
      <c r="F2116" t="str">
        <f>IFERROR(YEAR(Table1[[#This Row],[Exit Date]]), " ")</f>
        <v xml:space="preserve"> </v>
      </c>
      <c r="G2116" t="str">
        <f>IFERROR((Table1[[#This Row],[Exit Year]]-Table1[[#This Row],[Join Year]])+1," ")</f>
        <v xml:space="preserve"> </v>
      </c>
      <c r="H2116" t="s">
        <v>48</v>
      </c>
      <c r="I2116" t="s">
        <v>11</v>
      </c>
      <c r="J2116" t="s">
        <v>12</v>
      </c>
      <c r="K2116">
        <v>42</v>
      </c>
      <c r="L2116" t="str">
        <f>IF(Table1[[#This Row],[Age]]&lt;30,"20-29",
IF(Table1[[#This Row],[Age]]&lt;40,"30-39",
IF(Table1[[#This Row],[Age]]&lt;50,"40-49",
IF(Table1[[#This Row],[Age]]&lt;60,"50-59","60+"))))</f>
        <v>40-49</v>
      </c>
      <c r="M2116" t="s">
        <v>13</v>
      </c>
      <c r="N2116" t="s">
        <v>37</v>
      </c>
    </row>
    <row r="2117" spans="1:14" x14ac:dyDescent="0.35">
      <c r="A2117">
        <v>2216</v>
      </c>
      <c r="B2117" t="s">
        <v>10</v>
      </c>
      <c r="C2117" s="6">
        <v>43717</v>
      </c>
      <c r="D2117">
        <f>YEAR(Table1[[#This Row],[Join Date]])</f>
        <v>2019</v>
      </c>
      <c r="E2117" s="6">
        <v>44677</v>
      </c>
      <c r="F2117">
        <f>IFERROR(YEAR(Table1[[#This Row],[Exit Date]]), " ")</f>
        <v>2022</v>
      </c>
      <c r="G2117">
        <f>IFERROR((Table1[[#This Row],[Exit Year]]-Table1[[#This Row],[Join Year]])+1," ")</f>
        <v>4</v>
      </c>
      <c r="H2117" t="s">
        <v>40</v>
      </c>
      <c r="I2117" t="s">
        <v>23</v>
      </c>
      <c r="J2117" t="s">
        <v>12</v>
      </c>
      <c r="K2117">
        <v>35</v>
      </c>
      <c r="L2117" t="str">
        <f>IF(Table1[[#This Row],[Age]]&lt;30,"20-29",
IF(Table1[[#This Row],[Age]]&lt;40,"30-39",
IF(Table1[[#This Row],[Age]]&lt;50,"40-49",
IF(Table1[[#This Row],[Age]]&lt;60,"50-59","60+"))))</f>
        <v>30-39</v>
      </c>
      <c r="M2117" t="s">
        <v>16</v>
      </c>
      <c r="N2117" t="s">
        <v>19</v>
      </c>
    </row>
    <row r="2118" spans="1:14" x14ac:dyDescent="0.35">
      <c r="A2118">
        <v>2217</v>
      </c>
      <c r="B2118" t="s">
        <v>29</v>
      </c>
      <c r="C2118" s="6">
        <v>43534</v>
      </c>
      <c r="D2118">
        <f>YEAR(Table1[[#This Row],[Join Date]])</f>
        <v>2019</v>
      </c>
      <c r="E2118" s="6">
        <v>44117</v>
      </c>
      <c r="F2118">
        <f>IFERROR(YEAR(Table1[[#This Row],[Exit Date]]), " ")</f>
        <v>2020</v>
      </c>
      <c r="G2118">
        <f>IFERROR((Table1[[#This Row],[Exit Year]]-Table1[[#This Row],[Join Year]])+1," ")</f>
        <v>2</v>
      </c>
      <c r="H2118" t="s">
        <v>38</v>
      </c>
      <c r="I2118" t="s">
        <v>23</v>
      </c>
      <c r="J2118" t="s">
        <v>12</v>
      </c>
      <c r="K2118">
        <v>31</v>
      </c>
      <c r="L2118" t="str">
        <f>IF(Table1[[#This Row],[Age]]&lt;30,"20-29",
IF(Table1[[#This Row],[Age]]&lt;40,"30-39",
IF(Table1[[#This Row],[Age]]&lt;50,"40-49",
IF(Table1[[#This Row],[Age]]&lt;60,"50-59","60+"))))</f>
        <v>30-39</v>
      </c>
      <c r="M2118" t="s">
        <v>13</v>
      </c>
      <c r="N2118" t="s">
        <v>25</v>
      </c>
    </row>
    <row r="2119" spans="1:14" x14ac:dyDescent="0.35">
      <c r="A2119">
        <v>2218</v>
      </c>
      <c r="B2119" t="s">
        <v>36</v>
      </c>
      <c r="C2119" s="6">
        <v>44619</v>
      </c>
      <c r="D2119">
        <f>YEAR(Table1[[#This Row],[Join Date]])</f>
        <v>2022</v>
      </c>
      <c r="E2119" s="6" t="s">
        <v>48</v>
      </c>
      <c r="F2119" t="str">
        <f>IFERROR(YEAR(Table1[[#This Row],[Exit Date]]), " ")</f>
        <v xml:space="preserve"> </v>
      </c>
      <c r="G2119" t="str">
        <f>IFERROR((Table1[[#This Row],[Exit Year]]-Table1[[#This Row],[Join Year]])+1," ")</f>
        <v xml:space="preserve"> </v>
      </c>
      <c r="H2119" t="s">
        <v>48</v>
      </c>
      <c r="I2119" t="s">
        <v>11</v>
      </c>
      <c r="J2119" t="s">
        <v>18</v>
      </c>
      <c r="K2119">
        <v>51</v>
      </c>
      <c r="L2119" t="str">
        <f>IF(Table1[[#This Row],[Age]]&lt;30,"20-29",
IF(Table1[[#This Row],[Age]]&lt;40,"30-39",
IF(Table1[[#This Row],[Age]]&lt;50,"40-49",
IF(Table1[[#This Row],[Age]]&lt;60,"50-59","60+"))))</f>
        <v>50-59</v>
      </c>
      <c r="M2119" t="s">
        <v>20</v>
      </c>
      <c r="N2119" t="s">
        <v>35</v>
      </c>
    </row>
    <row r="2120" spans="1:14" x14ac:dyDescent="0.35">
      <c r="A2120">
        <v>2219</v>
      </c>
      <c r="B2120" t="s">
        <v>10</v>
      </c>
      <c r="C2120" s="6">
        <v>45485</v>
      </c>
      <c r="D2120">
        <f>YEAR(Table1[[#This Row],[Join Date]])</f>
        <v>2024</v>
      </c>
      <c r="E2120" s="6" t="s">
        <v>48</v>
      </c>
      <c r="F2120" t="str">
        <f>IFERROR(YEAR(Table1[[#This Row],[Exit Date]]), " ")</f>
        <v xml:space="preserve"> </v>
      </c>
      <c r="G2120" t="str">
        <f>IFERROR((Table1[[#This Row],[Exit Year]]-Table1[[#This Row],[Join Year]])+1," ")</f>
        <v xml:space="preserve"> </v>
      </c>
      <c r="H2120" t="s">
        <v>48</v>
      </c>
      <c r="I2120" t="s">
        <v>11</v>
      </c>
      <c r="J2120" t="s">
        <v>18</v>
      </c>
      <c r="K2120">
        <v>48</v>
      </c>
      <c r="L2120" t="str">
        <f>IF(Table1[[#This Row],[Age]]&lt;30,"20-29",
IF(Table1[[#This Row],[Age]]&lt;40,"30-39",
IF(Table1[[#This Row],[Age]]&lt;50,"40-49",
IF(Table1[[#This Row],[Age]]&lt;60,"50-59","60+"))))</f>
        <v>40-49</v>
      </c>
      <c r="M2120" t="s">
        <v>39</v>
      </c>
      <c r="N2120" t="s">
        <v>17</v>
      </c>
    </row>
    <row r="2121" spans="1:14" x14ac:dyDescent="0.35">
      <c r="A2121">
        <v>2220</v>
      </c>
      <c r="B2121" t="s">
        <v>29</v>
      </c>
      <c r="C2121" s="6">
        <v>43588</v>
      </c>
      <c r="D2121">
        <f>YEAR(Table1[[#This Row],[Join Date]])</f>
        <v>2019</v>
      </c>
      <c r="E2121" s="6">
        <v>44896</v>
      </c>
      <c r="F2121">
        <f>IFERROR(YEAR(Table1[[#This Row],[Exit Date]]), " ")</f>
        <v>2022</v>
      </c>
      <c r="G2121">
        <f>IFERROR((Table1[[#This Row],[Exit Year]]-Table1[[#This Row],[Join Year]])+1," ")</f>
        <v>4</v>
      </c>
      <c r="H2121" t="s">
        <v>41</v>
      </c>
      <c r="I2121" t="s">
        <v>23</v>
      </c>
      <c r="J2121" t="s">
        <v>12</v>
      </c>
      <c r="K2121">
        <v>41</v>
      </c>
      <c r="L2121" t="str">
        <f>IF(Table1[[#This Row],[Age]]&lt;30,"20-29",
IF(Table1[[#This Row],[Age]]&lt;40,"30-39",
IF(Table1[[#This Row],[Age]]&lt;50,"40-49",
IF(Table1[[#This Row],[Age]]&lt;60,"50-59","60+"))))</f>
        <v>40-49</v>
      </c>
      <c r="M2121" t="s">
        <v>13</v>
      </c>
      <c r="N2121" t="s">
        <v>19</v>
      </c>
    </row>
    <row r="2122" spans="1:14" x14ac:dyDescent="0.35">
      <c r="A2122">
        <v>2221</v>
      </c>
      <c r="B2122" t="s">
        <v>36</v>
      </c>
      <c r="C2122" s="6">
        <v>44250</v>
      </c>
      <c r="D2122">
        <f>YEAR(Table1[[#This Row],[Join Date]])</f>
        <v>2021</v>
      </c>
      <c r="E2122" s="6">
        <v>45392</v>
      </c>
      <c r="F2122">
        <f>IFERROR(YEAR(Table1[[#This Row],[Exit Date]]), " ")</f>
        <v>2024</v>
      </c>
      <c r="G2122">
        <f>IFERROR((Table1[[#This Row],[Exit Year]]-Table1[[#This Row],[Join Year]])+1," ")</f>
        <v>4</v>
      </c>
      <c r="H2122" t="s">
        <v>46</v>
      </c>
      <c r="I2122" t="s">
        <v>23</v>
      </c>
      <c r="J2122" t="s">
        <v>12</v>
      </c>
      <c r="K2122">
        <v>35</v>
      </c>
      <c r="L2122" t="str">
        <f>IF(Table1[[#This Row],[Age]]&lt;30,"20-29",
IF(Table1[[#This Row],[Age]]&lt;40,"30-39",
IF(Table1[[#This Row],[Age]]&lt;50,"40-49",
IF(Table1[[#This Row],[Age]]&lt;60,"50-59","60+"))))</f>
        <v>30-39</v>
      </c>
      <c r="M2122" t="s">
        <v>16</v>
      </c>
      <c r="N2122" t="s">
        <v>21</v>
      </c>
    </row>
    <row r="2123" spans="1:14" x14ac:dyDescent="0.35">
      <c r="A2123">
        <v>2222</v>
      </c>
      <c r="B2123" t="s">
        <v>26</v>
      </c>
      <c r="C2123" s="6">
        <v>45244</v>
      </c>
      <c r="D2123">
        <f>YEAR(Table1[[#This Row],[Join Date]])</f>
        <v>2023</v>
      </c>
      <c r="E2123" s="6">
        <v>45446</v>
      </c>
      <c r="F2123">
        <f>IFERROR(YEAR(Table1[[#This Row],[Exit Date]]), " ")</f>
        <v>2024</v>
      </c>
      <c r="G2123">
        <f>IFERROR((Table1[[#This Row],[Exit Year]]-Table1[[#This Row],[Join Year]])+1," ")</f>
        <v>2</v>
      </c>
      <c r="H2123" t="s">
        <v>40</v>
      </c>
      <c r="I2123" t="s">
        <v>23</v>
      </c>
      <c r="J2123" t="s">
        <v>12</v>
      </c>
      <c r="K2123">
        <v>24</v>
      </c>
      <c r="L2123" t="str">
        <f>IF(Table1[[#This Row],[Age]]&lt;30,"20-29",
IF(Table1[[#This Row],[Age]]&lt;40,"30-39",
IF(Table1[[#This Row],[Age]]&lt;50,"40-49",
IF(Table1[[#This Row],[Age]]&lt;60,"50-59","60+"))))</f>
        <v>20-29</v>
      </c>
      <c r="M2123" t="s">
        <v>16</v>
      </c>
      <c r="N2123" t="s">
        <v>25</v>
      </c>
    </row>
    <row r="2124" spans="1:14" x14ac:dyDescent="0.35">
      <c r="A2124">
        <v>2223</v>
      </c>
      <c r="B2124" t="s">
        <v>15</v>
      </c>
      <c r="C2124" s="6">
        <v>45256</v>
      </c>
      <c r="D2124">
        <f>YEAR(Table1[[#This Row],[Join Date]])</f>
        <v>2023</v>
      </c>
      <c r="E2124" s="6" t="s">
        <v>48</v>
      </c>
      <c r="F2124" t="str">
        <f>IFERROR(YEAR(Table1[[#This Row],[Exit Date]]), " ")</f>
        <v xml:space="preserve"> </v>
      </c>
      <c r="G2124" t="str">
        <f>IFERROR((Table1[[#This Row],[Exit Year]]-Table1[[#This Row],[Join Year]])+1," ")</f>
        <v xml:space="preserve"> </v>
      </c>
      <c r="H2124" t="s">
        <v>48</v>
      </c>
      <c r="I2124" t="s">
        <v>11</v>
      </c>
      <c r="J2124" t="s">
        <v>18</v>
      </c>
      <c r="K2124">
        <v>41</v>
      </c>
      <c r="L2124" t="str">
        <f>IF(Table1[[#This Row],[Age]]&lt;30,"20-29",
IF(Table1[[#This Row],[Age]]&lt;40,"30-39",
IF(Table1[[#This Row],[Age]]&lt;50,"40-49",
IF(Table1[[#This Row],[Age]]&lt;60,"50-59","60+"))))</f>
        <v>40-49</v>
      </c>
      <c r="M2124" t="s">
        <v>20</v>
      </c>
      <c r="N2124" t="s">
        <v>35</v>
      </c>
    </row>
    <row r="2125" spans="1:14" x14ac:dyDescent="0.35">
      <c r="A2125">
        <v>2224</v>
      </c>
      <c r="B2125" t="s">
        <v>26</v>
      </c>
      <c r="C2125" s="6">
        <v>45465</v>
      </c>
      <c r="D2125">
        <f>YEAR(Table1[[#This Row],[Join Date]])</f>
        <v>2024</v>
      </c>
      <c r="E2125" s="6" t="s">
        <v>48</v>
      </c>
      <c r="F2125" t="str">
        <f>IFERROR(YEAR(Table1[[#This Row],[Exit Date]]), " ")</f>
        <v xml:space="preserve"> </v>
      </c>
      <c r="G2125" t="str">
        <f>IFERROR((Table1[[#This Row],[Exit Year]]-Table1[[#This Row],[Join Year]])+1," ")</f>
        <v xml:space="preserve"> </v>
      </c>
      <c r="H2125" t="s">
        <v>48</v>
      </c>
      <c r="I2125" t="s">
        <v>11</v>
      </c>
      <c r="J2125" t="s">
        <v>12</v>
      </c>
      <c r="K2125">
        <v>40</v>
      </c>
      <c r="L2125" t="str">
        <f>IF(Table1[[#This Row],[Age]]&lt;30,"20-29",
IF(Table1[[#This Row],[Age]]&lt;40,"30-39",
IF(Table1[[#This Row],[Age]]&lt;50,"40-49",
IF(Table1[[#This Row],[Age]]&lt;60,"50-59","60+"))))</f>
        <v>40-49</v>
      </c>
      <c r="M2125" t="s">
        <v>24</v>
      </c>
      <c r="N2125" t="s">
        <v>14</v>
      </c>
    </row>
    <row r="2126" spans="1:14" x14ac:dyDescent="0.35">
      <c r="A2126">
        <v>2225</v>
      </c>
      <c r="B2126" t="s">
        <v>10</v>
      </c>
      <c r="C2126" s="6">
        <v>43597</v>
      </c>
      <c r="D2126">
        <f>YEAR(Table1[[#This Row],[Join Date]])</f>
        <v>2019</v>
      </c>
      <c r="E2126" s="6" t="s">
        <v>48</v>
      </c>
      <c r="F2126" t="str">
        <f>IFERROR(YEAR(Table1[[#This Row],[Exit Date]]), " ")</f>
        <v xml:space="preserve"> </v>
      </c>
      <c r="G2126" t="str">
        <f>IFERROR((Table1[[#This Row],[Exit Year]]-Table1[[#This Row],[Join Year]])+1," ")</f>
        <v xml:space="preserve"> </v>
      </c>
      <c r="H2126" t="s">
        <v>48</v>
      </c>
      <c r="I2126" t="s">
        <v>11</v>
      </c>
      <c r="J2126" t="s">
        <v>12</v>
      </c>
      <c r="K2126">
        <v>48</v>
      </c>
      <c r="L2126" t="str">
        <f>IF(Table1[[#This Row],[Age]]&lt;30,"20-29",
IF(Table1[[#This Row],[Age]]&lt;40,"30-39",
IF(Table1[[#This Row],[Age]]&lt;50,"40-49",
IF(Table1[[#This Row],[Age]]&lt;60,"50-59","60+"))))</f>
        <v>40-49</v>
      </c>
      <c r="M2126" t="s">
        <v>13</v>
      </c>
      <c r="N2126" t="s">
        <v>19</v>
      </c>
    </row>
    <row r="2127" spans="1:14" x14ac:dyDescent="0.35">
      <c r="A2127">
        <v>2226</v>
      </c>
      <c r="B2127" t="s">
        <v>15</v>
      </c>
      <c r="C2127" s="6">
        <v>44866</v>
      </c>
      <c r="D2127">
        <f>YEAR(Table1[[#This Row],[Join Date]])</f>
        <v>2022</v>
      </c>
      <c r="E2127" s="6" t="s">
        <v>48</v>
      </c>
      <c r="F2127" t="str">
        <f>IFERROR(YEAR(Table1[[#This Row],[Exit Date]]), " ")</f>
        <v xml:space="preserve"> </v>
      </c>
      <c r="G2127" t="str">
        <f>IFERROR((Table1[[#This Row],[Exit Year]]-Table1[[#This Row],[Join Year]])+1," ")</f>
        <v xml:space="preserve"> </v>
      </c>
      <c r="H2127" t="s">
        <v>48</v>
      </c>
      <c r="I2127" t="s">
        <v>11</v>
      </c>
      <c r="J2127" t="s">
        <v>18</v>
      </c>
      <c r="K2127">
        <v>52</v>
      </c>
      <c r="L2127" t="str">
        <f>IF(Table1[[#This Row],[Age]]&lt;30,"20-29",
IF(Table1[[#This Row],[Age]]&lt;40,"30-39",
IF(Table1[[#This Row],[Age]]&lt;50,"40-49",
IF(Table1[[#This Row],[Age]]&lt;60,"50-59","60+"))))</f>
        <v>50-59</v>
      </c>
      <c r="M2127" t="s">
        <v>42</v>
      </c>
      <c r="N2127" t="s">
        <v>21</v>
      </c>
    </row>
    <row r="2128" spans="1:14" x14ac:dyDescent="0.35">
      <c r="A2128">
        <v>2227</v>
      </c>
      <c r="B2128" t="s">
        <v>34</v>
      </c>
      <c r="C2128" s="6">
        <v>44006</v>
      </c>
      <c r="D2128">
        <f>YEAR(Table1[[#This Row],[Join Date]])</f>
        <v>2020</v>
      </c>
      <c r="E2128" s="6">
        <v>44463</v>
      </c>
      <c r="F2128">
        <f>IFERROR(YEAR(Table1[[#This Row],[Exit Date]]), " ")</f>
        <v>2021</v>
      </c>
      <c r="G2128">
        <f>IFERROR((Table1[[#This Row],[Exit Year]]-Table1[[#This Row],[Join Year]])+1," ")</f>
        <v>2</v>
      </c>
      <c r="H2128" t="s">
        <v>46</v>
      </c>
      <c r="I2128" t="s">
        <v>23</v>
      </c>
      <c r="J2128" t="s">
        <v>12</v>
      </c>
      <c r="K2128">
        <v>33</v>
      </c>
      <c r="L2128" t="str">
        <f>IF(Table1[[#This Row],[Age]]&lt;30,"20-29",
IF(Table1[[#This Row],[Age]]&lt;40,"30-39",
IF(Table1[[#This Row],[Age]]&lt;50,"40-49",
IF(Table1[[#This Row],[Age]]&lt;60,"50-59","60+"))))</f>
        <v>30-39</v>
      </c>
      <c r="M2128" t="s">
        <v>13</v>
      </c>
      <c r="N2128" t="s">
        <v>37</v>
      </c>
    </row>
    <row r="2129" spans="1:14" x14ac:dyDescent="0.35">
      <c r="A2129">
        <v>2228</v>
      </c>
      <c r="B2129" t="s">
        <v>26</v>
      </c>
      <c r="C2129" s="6">
        <v>45095</v>
      </c>
      <c r="D2129">
        <f>YEAR(Table1[[#This Row],[Join Date]])</f>
        <v>2023</v>
      </c>
      <c r="E2129" s="6" t="s">
        <v>48</v>
      </c>
      <c r="F2129" t="str">
        <f>IFERROR(YEAR(Table1[[#This Row],[Exit Date]]), " ")</f>
        <v xml:space="preserve"> </v>
      </c>
      <c r="G2129" t="str">
        <f>IFERROR((Table1[[#This Row],[Exit Year]]-Table1[[#This Row],[Join Year]])+1," ")</f>
        <v xml:space="preserve"> </v>
      </c>
      <c r="H2129" t="s">
        <v>48</v>
      </c>
      <c r="I2129" t="s">
        <v>11</v>
      </c>
      <c r="J2129" t="s">
        <v>18</v>
      </c>
      <c r="K2129">
        <v>51</v>
      </c>
      <c r="L2129" t="str">
        <f>IF(Table1[[#This Row],[Age]]&lt;30,"20-29",
IF(Table1[[#This Row],[Age]]&lt;40,"30-39",
IF(Table1[[#This Row],[Age]]&lt;50,"40-49",
IF(Table1[[#This Row],[Age]]&lt;60,"50-59","60+"))))</f>
        <v>50-59</v>
      </c>
      <c r="M2129" t="s">
        <v>13</v>
      </c>
      <c r="N2129" t="s">
        <v>25</v>
      </c>
    </row>
    <row r="2130" spans="1:14" x14ac:dyDescent="0.35">
      <c r="A2130">
        <v>2229</v>
      </c>
      <c r="B2130" t="s">
        <v>10</v>
      </c>
      <c r="C2130" s="6">
        <v>44360</v>
      </c>
      <c r="D2130">
        <f>YEAR(Table1[[#This Row],[Join Date]])</f>
        <v>2021</v>
      </c>
      <c r="E2130" s="6">
        <v>44755</v>
      </c>
      <c r="F2130">
        <f>IFERROR(YEAR(Table1[[#This Row],[Exit Date]]), " ")</f>
        <v>2022</v>
      </c>
      <c r="G2130">
        <f>IFERROR((Table1[[#This Row],[Exit Year]]-Table1[[#This Row],[Join Year]])+1," ")</f>
        <v>2</v>
      </c>
      <c r="H2130" t="s">
        <v>38</v>
      </c>
      <c r="I2130" t="s">
        <v>23</v>
      </c>
      <c r="J2130" t="s">
        <v>18</v>
      </c>
      <c r="K2130">
        <v>46</v>
      </c>
      <c r="L2130" t="str">
        <f>IF(Table1[[#This Row],[Age]]&lt;30,"20-29",
IF(Table1[[#This Row],[Age]]&lt;40,"30-39",
IF(Table1[[#This Row],[Age]]&lt;50,"40-49",
IF(Table1[[#This Row],[Age]]&lt;60,"50-59","60+"))))</f>
        <v>40-49</v>
      </c>
      <c r="M2130" t="s">
        <v>16</v>
      </c>
      <c r="N2130" t="s">
        <v>35</v>
      </c>
    </row>
    <row r="2131" spans="1:14" x14ac:dyDescent="0.35">
      <c r="A2131">
        <v>2230</v>
      </c>
      <c r="B2131" t="s">
        <v>26</v>
      </c>
      <c r="C2131" s="6">
        <v>43419</v>
      </c>
      <c r="D2131">
        <f>YEAR(Table1[[#This Row],[Join Date]])</f>
        <v>2018</v>
      </c>
      <c r="E2131" s="6">
        <v>44303</v>
      </c>
      <c r="F2131">
        <f>IFERROR(YEAR(Table1[[#This Row],[Exit Date]]), " ")</f>
        <v>2021</v>
      </c>
      <c r="G2131">
        <f>IFERROR((Table1[[#This Row],[Exit Year]]-Table1[[#This Row],[Join Year]])+1," ")</f>
        <v>4</v>
      </c>
      <c r="H2131" t="s">
        <v>22</v>
      </c>
      <c r="I2131" t="s">
        <v>23</v>
      </c>
      <c r="J2131" t="s">
        <v>12</v>
      </c>
      <c r="K2131">
        <v>53</v>
      </c>
      <c r="L2131" t="str">
        <f>IF(Table1[[#This Row],[Age]]&lt;30,"20-29",
IF(Table1[[#This Row],[Age]]&lt;40,"30-39",
IF(Table1[[#This Row],[Age]]&lt;50,"40-49",
IF(Table1[[#This Row],[Age]]&lt;60,"50-59","60+"))))</f>
        <v>50-59</v>
      </c>
      <c r="M2131" t="s">
        <v>13</v>
      </c>
      <c r="N2131" t="s">
        <v>14</v>
      </c>
    </row>
    <row r="2132" spans="1:14" x14ac:dyDescent="0.35">
      <c r="A2132">
        <v>2231</v>
      </c>
      <c r="B2132" t="s">
        <v>36</v>
      </c>
      <c r="C2132" s="6">
        <v>44249</v>
      </c>
      <c r="D2132">
        <f>YEAR(Table1[[#This Row],[Join Date]])</f>
        <v>2021</v>
      </c>
      <c r="E2132" s="6" t="s">
        <v>48</v>
      </c>
      <c r="F2132" t="str">
        <f>IFERROR(YEAR(Table1[[#This Row],[Exit Date]]), " ")</f>
        <v xml:space="preserve"> </v>
      </c>
      <c r="G2132" t="str">
        <f>IFERROR((Table1[[#This Row],[Exit Year]]-Table1[[#This Row],[Join Year]])+1," ")</f>
        <v xml:space="preserve"> </v>
      </c>
      <c r="H2132" t="s">
        <v>48</v>
      </c>
      <c r="I2132" t="s">
        <v>11</v>
      </c>
      <c r="J2132" t="s">
        <v>12</v>
      </c>
      <c r="K2132">
        <v>35</v>
      </c>
      <c r="L2132" t="str">
        <f>IF(Table1[[#This Row],[Age]]&lt;30,"20-29",
IF(Table1[[#This Row],[Age]]&lt;40,"30-39",
IF(Table1[[#This Row],[Age]]&lt;50,"40-49",
IF(Table1[[#This Row],[Age]]&lt;60,"50-59","60+"))))</f>
        <v>30-39</v>
      </c>
      <c r="M2132" t="s">
        <v>20</v>
      </c>
      <c r="N2132" t="s">
        <v>17</v>
      </c>
    </row>
    <row r="2133" spans="1:14" x14ac:dyDescent="0.35">
      <c r="A2133">
        <v>2232</v>
      </c>
      <c r="B2133" t="s">
        <v>10</v>
      </c>
      <c r="C2133" s="6">
        <v>45533</v>
      </c>
      <c r="D2133">
        <f>YEAR(Table1[[#This Row],[Join Date]])</f>
        <v>2024</v>
      </c>
      <c r="E2133" s="6" t="s">
        <v>48</v>
      </c>
      <c r="F2133" t="str">
        <f>IFERROR(YEAR(Table1[[#This Row],[Exit Date]]), " ")</f>
        <v xml:space="preserve"> </v>
      </c>
      <c r="G2133" t="str">
        <f>IFERROR((Table1[[#This Row],[Exit Year]]-Table1[[#This Row],[Join Year]])+1," ")</f>
        <v xml:space="preserve"> </v>
      </c>
      <c r="H2133" t="s">
        <v>48</v>
      </c>
      <c r="I2133" t="s">
        <v>11</v>
      </c>
      <c r="J2133" t="s">
        <v>12</v>
      </c>
      <c r="K2133">
        <v>32</v>
      </c>
      <c r="L2133" t="str">
        <f>IF(Table1[[#This Row],[Age]]&lt;30,"20-29",
IF(Table1[[#This Row],[Age]]&lt;40,"30-39",
IF(Table1[[#This Row],[Age]]&lt;50,"40-49",
IF(Table1[[#This Row],[Age]]&lt;60,"50-59","60+"))))</f>
        <v>30-39</v>
      </c>
      <c r="M2133" t="s">
        <v>44</v>
      </c>
      <c r="N2133" t="s">
        <v>19</v>
      </c>
    </row>
    <row r="2134" spans="1:14" x14ac:dyDescent="0.35">
      <c r="A2134">
        <v>2233</v>
      </c>
      <c r="B2134" t="s">
        <v>36</v>
      </c>
      <c r="C2134" s="6">
        <v>44377</v>
      </c>
      <c r="D2134">
        <f>YEAR(Table1[[#This Row],[Join Date]])</f>
        <v>2021</v>
      </c>
      <c r="E2134" s="6" t="s">
        <v>48</v>
      </c>
      <c r="F2134" t="str">
        <f>IFERROR(YEAR(Table1[[#This Row],[Exit Date]]), " ")</f>
        <v xml:space="preserve"> </v>
      </c>
      <c r="G2134" t="str">
        <f>IFERROR((Table1[[#This Row],[Exit Year]]-Table1[[#This Row],[Join Year]])+1," ")</f>
        <v xml:space="preserve"> </v>
      </c>
      <c r="H2134" t="s">
        <v>48</v>
      </c>
      <c r="I2134" t="s">
        <v>11</v>
      </c>
      <c r="J2134" t="s">
        <v>18</v>
      </c>
      <c r="K2134">
        <v>46</v>
      </c>
      <c r="L2134" t="str">
        <f>IF(Table1[[#This Row],[Age]]&lt;30,"20-29",
IF(Table1[[#This Row],[Age]]&lt;40,"30-39",
IF(Table1[[#This Row],[Age]]&lt;50,"40-49",
IF(Table1[[#This Row],[Age]]&lt;60,"50-59","60+"))))</f>
        <v>40-49</v>
      </c>
      <c r="M2134" t="s">
        <v>13</v>
      </c>
      <c r="N2134" t="s">
        <v>21</v>
      </c>
    </row>
    <row r="2135" spans="1:14" x14ac:dyDescent="0.35">
      <c r="A2135">
        <v>2234</v>
      </c>
      <c r="B2135" t="s">
        <v>10</v>
      </c>
      <c r="C2135" s="6">
        <v>44088</v>
      </c>
      <c r="D2135">
        <f>YEAR(Table1[[#This Row],[Join Date]])</f>
        <v>2020</v>
      </c>
      <c r="E2135" s="6" t="s">
        <v>48</v>
      </c>
      <c r="F2135" t="str">
        <f>IFERROR(YEAR(Table1[[#This Row],[Exit Date]]), " ")</f>
        <v xml:space="preserve"> </v>
      </c>
      <c r="G2135" t="str">
        <f>IFERROR((Table1[[#This Row],[Exit Year]]-Table1[[#This Row],[Join Year]])+1," ")</f>
        <v xml:space="preserve"> </v>
      </c>
      <c r="H2135" t="s">
        <v>48</v>
      </c>
      <c r="I2135" t="s">
        <v>11</v>
      </c>
      <c r="J2135" t="s">
        <v>18</v>
      </c>
      <c r="K2135">
        <v>50</v>
      </c>
      <c r="L2135" t="str">
        <f>IF(Table1[[#This Row],[Age]]&lt;30,"20-29",
IF(Table1[[#This Row],[Age]]&lt;40,"30-39",
IF(Table1[[#This Row],[Age]]&lt;50,"40-49",
IF(Table1[[#This Row],[Age]]&lt;60,"50-59","60+"))))</f>
        <v>50-59</v>
      </c>
      <c r="M2135" t="s">
        <v>16</v>
      </c>
      <c r="N2135" t="s">
        <v>25</v>
      </c>
    </row>
    <row r="2136" spans="1:14" x14ac:dyDescent="0.35">
      <c r="A2136">
        <v>2235</v>
      </c>
      <c r="B2136" t="s">
        <v>26</v>
      </c>
      <c r="C2136" s="6">
        <v>43373</v>
      </c>
      <c r="D2136">
        <f>YEAR(Table1[[#This Row],[Join Date]])</f>
        <v>2018</v>
      </c>
      <c r="E2136" s="6">
        <v>44825</v>
      </c>
      <c r="F2136">
        <f>IFERROR(YEAR(Table1[[#This Row],[Exit Date]]), " ")</f>
        <v>2022</v>
      </c>
      <c r="G2136">
        <f>IFERROR((Table1[[#This Row],[Exit Year]]-Table1[[#This Row],[Join Year]])+1," ")</f>
        <v>5</v>
      </c>
      <c r="H2136" t="s">
        <v>27</v>
      </c>
      <c r="I2136" t="s">
        <v>23</v>
      </c>
      <c r="J2136" t="s">
        <v>12</v>
      </c>
      <c r="K2136">
        <v>60</v>
      </c>
      <c r="L2136" t="str">
        <f>IF(Table1[[#This Row],[Age]]&lt;30,"20-29",
IF(Table1[[#This Row],[Age]]&lt;40,"30-39",
IF(Table1[[#This Row],[Age]]&lt;50,"40-49",
IF(Table1[[#This Row],[Age]]&lt;60,"50-59","60+"))))</f>
        <v>60+</v>
      </c>
      <c r="M2136" t="s">
        <v>16</v>
      </c>
      <c r="N2136" t="s">
        <v>28</v>
      </c>
    </row>
    <row r="2137" spans="1:14" x14ac:dyDescent="0.35">
      <c r="A2137">
        <v>2236</v>
      </c>
      <c r="B2137" t="s">
        <v>26</v>
      </c>
      <c r="C2137" s="6">
        <v>43314</v>
      </c>
      <c r="D2137">
        <f>YEAR(Table1[[#This Row],[Join Date]])</f>
        <v>2018</v>
      </c>
      <c r="E2137" s="6" t="s">
        <v>48</v>
      </c>
      <c r="F2137" t="str">
        <f>IFERROR(YEAR(Table1[[#This Row],[Exit Date]]), " ")</f>
        <v xml:space="preserve"> </v>
      </c>
      <c r="G2137" t="str">
        <f>IFERROR((Table1[[#This Row],[Exit Year]]-Table1[[#This Row],[Join Year]])+1," ")</f>
        <v xml:space="preserve"> </v>
      </c>
      <c r="H2137" t="s">
        <v>48</v>
      </c>
      <c r="I2137" t="s">
        <v>11</v>
      </c>
      <c r="J2137" t="s">
        <v>18</v>
      </c>
      <c r="K2137">
        <v>29</v>
      </c>
      <c r="L2137" t="str">
        <f>IF(Table1[[#This Row],[Age]]&lt;30,"20-29",
IF(Table1[[#This Row],[Age]]&lt;40,"30-39",
IF(Table1[[#This Row],[Age]]&lt;50,"40-49",
IF(Table1[[#This Row],[Age]]&lt;60,"50-59","60+"))))</f>
        <v>20-29</v>
      </c>
      <c r="M2137" t="s">
        <v>20</v>
      </c>
      <c r="N2137" t="s">
        <v>31</v>
      </c>
    </row>
    <row r="2138" spans="1:14" x14ac:dyDescent="0.35">
      <c r="A2138">
        <v>2237</v>
      </c>
      <c r="B2138" t="s">
        <v>26</v>
      </c>
      <c r="C2138" s="6">
        <v>44418</v>
      </c>
      <c r="D2138">
        <f>YEAR(Table1[[#This Row],[Join Date]])</f>
        <v>2021</v>
      </c>
      <c r="E2138" s="6">
        <v>45628</v>
      </c>
      <c r="F2138">
        <f>IFERROR(YEAR(Table1[[#This Row],[Exit Date]]), " ")</f>
        <v>2024</v>
      </c>
      <c r="G2138">
        <f>IFERROR((Table1[[#This Row],[Exit Year]]-Table1[[#This Row],[Join Year]])+1," ")</f>
        <v>4</v>
      </c>
      <c r="H2138" t="s">
        <v>46</v>
      </c>
      <c r="I2138" t="s">
        <v>23</v>
      </c>
      <c r="J2138" t="s">
        <v>18</v>
      </c>
      <c r="K2138">
        <v>27</v>
      </c>
      <c r="L2138" t="str">
        <f>IF(Table1[[#This Row],[Age]]&lt;30,"20-29",
IF(Table1[[#This Row],[Age]]&lt;40,"30-39",
IF(Table1[[#This Row],[Age]]&lt;50,"40-49",
IF(Table1[[#This Row],[Age]]&lt;60,"50-59","60+"))))</f>
        <v>20-29</v>
      </c>
      <c r="M2138" t="s">
        <v>24</v>
      </c>
      <c r="N2138" t="s">
        <v>32</v>
      </c>
    </row>
    <row r="2139" spans="1:14" x14ac:dyDescent="0.35">
      <c r="A2139">
        <v>2238</v>
      </c>
      <c r="B2139" t="s">
        <v>34</v>
      </c>
      <c r="C2139" s="6">
        <v>44324</v>
      </c>
      <c r="D2139">
        <f>YEAR(Table1[[#This Row],[Join Date]])</f>
        <v>2021</v>
      </c>
      <c r="E2139" s="6">
        <v>45076</v>
      </c>
      <c r="F2139">
        <f>IFERROR(YEAR(Table1[[#This Row],[Exit Date]]), " ")</f>
        <v>2023</v>
      </c>
      <c r="G2139">
        <f>IFERROR((Table1[[#This Row],[Exit Year]]-Table1[[#This Row],[Join Year]])+1," ")</f>
        <v>3</v>
      </c>
      <c r="H2139" t="s">
        <v>40</v>
      </c>
      <c r="I2139" t="s">
        <v>23</v>
      </c>
      <c r="J2139" t="s">
        <v>12</v>
      </c>
      <c r="K2139">
        <v>31</v>
      </c>
      <c r="L2139" t="str">
        <f>IF(Table1[[#This Row],[Age]]&lt;30,"20-29",
IF(Table1[[#This Row],[Age]]&lt;40,"30-39",
IF(Table1[[#This Row],[Age]]&lt;50,"40-49",
IF(Table1[[#This Row],[Age]]&lt;60,"50-59","60+"))))</f>
        <v>30-39</v>
      </c>
      <c r="M2139" t="s">
        <v>13</v>
      </c>
      <c r="N2139" t="s">
        <v>33</v>
      </c>
    </row>
    <row r="2140" spans="1:14" x14ac:dyDescent="0.35">
      <c r="A2140">
        <v>2239</v>
      </c>
      <c r="B2140" t="s">
        <v>10</v>
      </c>
      <c r="C2140" s="6">
        <v>43513</v>
      </c>
      <c r="D2140">
        <f>YEAR(Table1[[#This Row],[Join Date]])</f>
        <v>2019</v>
      </c>
      <c r="E2140" s="6">
        <v>44923</v>
      </c>
      <c r="F2140">
        <f>IFERROR(YEAR(Table1[[#This Row],[Exit Date]]), " ")</f>
        <v>2022</v>
      </c>
      <c r="G2140">
        <f>IFERROR((Table1[[#This Row],[Exit Year]]-Table1[[#This Row],[Join Year]])+1," ")</f>
        <v>4</v>
      </c>
      <c r="H2140" t="s">
        <v>38</v>
      </c>
      <c r="I2140" t="s">
        <v>23</v>
      </c>
      <c r="J2140" t="s">
        <v>12</v>
      </c>
      <c r="K2140">
        <v>24</v>
      </c>
      <c r="L2140" t="str">
        <f>IF(Table1[[#This Row],[Age]]&lt;30,"20-29",
IF(Table1[[#This Row],[Age]]&lt;40,"30-39",
IF(Table1[[#This Row],[Age]]&lt;50,"40-49",
IF(Table1[[#This Row],[Age]]&lt;60,"50-59","60+"))))</f>
        <v>20-29</v>
      </c>
      <c r="M2140" t="s">
        <v>44</v>
      </c>
      <c r="N2140" t="s">
        <v>35</v>
      </c>
    </row>
    <row r="2141" spans="1:14" x14ac:dyDescent="0.35">
      <c r="A2141">
        <v>2240</v>
      </c>
      <c r="B2141" t="s">
        <v>36</v>
      </c>
      <c r="C2141" s="6">
        <v>44180</v>
      </c>
      <c r="D2141">
        <f>YEAR(Table1[[#This Row],[Join Date]])</f>
        <v>2020</v>
      </c>
      <c r="E2141" s="6" t="s">
        <v>48</v>
      </c>
      <c r="F2141" t="str">
        <f>IFERROR(YEAR(Table1[[#This Row],[Exit Date]]), " ")</f>
        <v xml:space="preserve"> </v>
      </c>
      <c r="G2141" t="str">
        <f>IFERROR((Table1[[#This Row],[Exit Year]]-Table1[[#This Row],[Join Year]])+1," ")</f>
        <v xml:space="preserve"> </v>
      </c>
      <c r="H2141" t="s">
        <v>48</v>
      </c>
      <c r="I2141" t="s">
        <v>11</v>
      </c>
      <c r="J2141" t="s">
        <v>12</v>
      </c>
      <c r="K2141">
        <v>37</v>
      </c>
      <c r="L2141" t="str">
        <f>IF(Table1[[#This Row],[Age]]&lt;30,"20-29",
IF(Table1[[#This Row],[Age]]&lt;40,"30-39",
IF(Table1[[#This Row],[Age]]&lt;50,"40-49",
IF(Table1[[#This Row],[Age]]&lt;60,"50-59","60+"))))</f>
        <v>30-39</v>
      </c>
      <c r="M2141" t="s">
        <v>13</v>
      </c>
      <c r="N2141" t="s">
        <v>37</v>
      </c>
    </row>
    <row r="2142" spans="1:14" x14ac:dyDescent="0.35">
      <c r="A2142">
        <v>2241</v>
      </c>
      <c r="B2142" t="s">
        <v>34</v>
      </c>
      <c r="C2142" s="6">
        <v>44099</v>
      </c>
      <c r="D2142">
        <f>YEAR(Table1[[#This Row],[Join Date]])</f>
        <v>2020</v>
      </c>
      <c r="E2142" s="6" t="s">
        <v>48</v>
      </c>
      <c r="F2142" t="str">
        <f>IFERROR(YEAR(Table1[[#This Row],[Exit Date]]), " ")</f>
        <v xml:space="preserve"> </v>
      </c>
      <c r="G2142" t="str">
        <f>IFERROR((Table1[[#This Row],[Exit Year]]-Table1[[#This Row],[Join Year]])+1," ")</f>
        <v xml:space="preserve"> </v>
      </c>
      <c r="H2142" t="s">
        <v>48</v>
      </c>
      <c r="I2142" t="s">
        <v>11</v>
      </c>
      <c r="J2142" t="s">
        <v>12</v>
      </c>
      <c r="K2142">
        <v>23</v>
      </c>
      <c r="L2142" t="str">
        <f>IF(Table1[[#This Row],[Age]]&lt;30,"20-29",
IF(Table1[[#This Row],[Age]]&lt;40,"30-39",
IF(Table1[[#This Row],[Age]]&lt;50,"40-49",
IF(Table1[[#This Row],[Age]]&lt;60,"50-59","60+"))))</f>
        <v>20-29</v>
      </c>
      <c r="M2142" t="s">
        <v>13</v>
      </c>
      <c r="N2142" t="s">
        <v>19</v>
      </c>
    </row>
    <row r="2143" spans="1:14" x14ac:dyDescent="0.35">
      <c r="A2143">
        <v>2242</v>
      </c>
      <c r="B2143" t="s">
        <v>34</v>
      </c>
      <c r="C2143" s="6">
        <v>45632</v>
      </c>
      <c r="D2143">
        <f>YEAR(Table1[[#This Row],[Join Date]])</f>
        <v>2024</v>
      </c>
      <c r="E2143" s="6" t="s">
        <v>48</v>
      </c>
      <c r="F2143" t="str">
        <f>IFERROR(YEAR(Table1[[#This Row],[Exit Date]]), " ")</f>
        <v xml:space="preserve"> </v>
      </c>
      <c r="G2143" t="str">
        <f>IFERROR((Table1[[#This Row],[Exit Year]]-Table1[[#This Row],[Join Year]])+1," ")</f>
        <v xml:space="preserve"> </v>
      </c>
      <c r="H2143" t="s">
        <v>48</v>
      </c>
      <c r="I2143" t="s">
        <v>11</v>
      </c>
      <c r="J2143" t="s">
        <v>18</v>
      </c>
      <c r="K2143">
        <v>31</v>
      </c>
      <c r="L2143" t="str">
        <f>IF(Table1[[#This Row],[Age]]&lt;30,"20-29",
IF(Table1[[#This Row],[Age]]&lt;40,"30-39",
IF(Table1[[#This Row],[Age]]&lt;50,"40-49",
IF(Table1[[#This Row],[Age]]&lt;60,"50-59","60+"))))</f>
        <v>30-39</v>
      </c>
      <c r="M2143" t="s">
        <v>16</v>
      </c>
      <c r="N2143" t="s">
        <v>25</v>
      </c>
    </row>
    <row r="2144" spans="1:14" x14ac:dyDescent="0.35">
      <c r="A2144">
        <v>2243</v>
      </c>
      <c r="B2144" t="s">
        <v>36</v>
      </c>
      <c r="C2144" s="6">
        <v>45294</v>
      </c>
      <c r="D2144">
        <f>YEAR(Table1[[#This Row],[Join Date]])</f>
        <v>2024</v>
      </c>
      <c r="E2144" s="6" t="s">
        <v>48</v>
      </c>
      <c r="F2144" t="str">
        <f>IFERROR(YEAR(Table1[[#This Row],[Exit Date]]), " ")</f>
        <v xml:space="preserve"> </v>
      </c>
      <c r="G2144" t="str">
        <f>IFERROR((Table1[[#This Row],[Exit Year]]-Table1[[#This Row],[Join Year]])+1," ")</f>
        <v xml:space="preserve"> </v>
      </c>
      <c r="H2144" t="s">
        <v>48</v>
      </c>
      <c r="I2144" t="s">
        <v>11</v>
      </c>
      <c r="J2144" t="s">
        <v>18</v>
      </c>
      <c r="K2144">
        <v>52</v>
      </c>
      <c r="L2144" t="str">
        <f>IF(Table1[[#This Row],[Age]]&lt;30,"20-29",
IF(Table1[[#This Row],[Age]]&lt;40,"30-39",
IF(Table1[[#This Row],[Age]]&lt;50,"40-49",
IF(Table1[[#This Row],[Age]]&lt;60,"50-59","60+"))))</f>
        <v>50-59</v>
      </c>
      <c r="M2144" t="s">
        <v>13</v>
      </c>
      <c r="N2144" t="s">
        <v>35</v>
      </c>
    </row>
    <row r="2145" spans="1:14" x14ac:dyDescent="0.35">
      <c r="A2145">
        <v>2244</v>
      </c>
      <c r="B2145" t="s">
        <v>26</v>
      </c>
      <c r="C2145" s="6">
        <v>44590</v>
      </c>
      <c r="D2145">
        <f>YEAR(Table1[[#This Row],[Join Date]])</f>
        <v>2022</v>
      </c>
      <c r="E2145" s="6" t="s">
        <v>48</v>
      </c>
      <c r="F2145" t="str">
        <f>IFERROR(YEAR(Table1[[#This Row],[Exit Date]]), " ")</f>
        <v xml:space="preserve"> </v>
      </c>
      <c r="G2145" t="str">
        <f>IFERROR((Table1[[#This Row],[Exit Year]]-Table1[[#This Row],[Join Year]])+1," ")</f>
        <v xml:space="preserve"> </v>
      </c>
      <c r="H2145" t="s">
        <v>48</v>
      </c>
      <c r="I2145" t="s">
        <v>11</v>
      </c>
      <c r="J2145" t="s">
        <v>18</v>
      </c>
      <c r="K2145">
        <v>25</v>
      </c>
      <c r="L2145" t="str">
        <f>IF(Table1[[#This Row],[Age]]&lt;30,"20-29",
IF(Table1[[#This Row],[Age]]&lt;40,"30-39",
IF(Table1[[#This Row],[Age]]&lt;50,"40-49",
IF(Table1[[#This Row],[Age]]&lt;60,"50-59","60+"))))</f>
        <v>20-29</v>
      </c>
      <c r="M2145" t="s">
        <v>20</v>
      </c>
      <c r="N2145" t="s">
        <v>17</v>
      </c>
    </row>
    <row r="2146" spans="1:14" x14ac:dyDescent="0.35">
      <c r="A2146">
        <v>2245</v>
      </c>
      <c r="B2146" t="s">
        <v>15</v>
      </c>
      <c r="C2146" s="6">
        <v>45215</v>
      </c>
      <c r="D2146">
        <f>YEAR(Table1[[#This Row],[Join Date]])</f>
        <v>2023</v>
      </c>
      <c r="E2146" s="6" t="s">
        <v>48</v>
      </c>
      <c r="F2146" t="str">
        <f>IFERROR(YEAR(Table1[[#This Row],[Exit Date]]), " ")</f>
        <v xml:space="preserve"> </v>
      </c>
      <c r="G2146" t="str">
        <f>IFERROR((Table1[[#This Row],[Exit Year]]-Table1[[#This Row],[Join Year]])+1," ")</f>
        <v xml:space="preserve"> </v>
      </c>
      <c r="H2146" t="s">
        <v>48</v>
      </c>
      <c r="I2146" t="s">
        <v>11</v>
      </c>
      <c r="J2146" t="s">
        <v>12</v>
      </c>
      <c r="K2146">
        <v>46</v>
      </c>
      <c r="L2146" t="str">
        <f>IF(Table1[[#This Row],[Age]]&lt;30,"20-29",
IF(Table1[[#This Row],[Age]]&lt;40,"30-39",
IF(Table1[[#This Row],[Age]]&lt;50,"40-49",
IF(Table1[[#This Row],[Age]]&lt;60,"50-59","60+"))))</f>
        <v>40-49</v>
      </c>
      <c r="M2146" t="s">
        <v>39</v>
      </c>
      <c r="N2146" t="s">
        <v>19</v>
      </c>
    </row>
    <row r="2147" spans="1:14" x14ac:dyDescent="0.35">
      <c r="A2147">
        <v>2246</v>
      </c>
      <c r="B2147" t="s">
        <v>15</v>
      </c>
      <c r="C2147" s="6">
        <v>43624</v>
      </c>
      <c r="D2147">
        <f>YEAR(Table1[[#This Row],[Join Date]])</f>
        <v>2019</v>
      </c>
      <c r="E2147" s="6">
        <v>44228</v>
      </c>
      <c r="F2147">
        <f>IFERROR(YEAR(Table1[[#This Row],[Exit Date]]), " ")</f>
        <v>2021</v>
      </c>
      <c r="G2147">
        <f>IFERROR((Table1[[#This Row],[Exit Year]]-Table1[[#This Row],[Join Year]])+1," ")</f>
        <v>3</v>
      </c>
      <c r="H2147" t="s">
        <v>41</v>
      </c>
      <c r="I2147" t="s">
        <v>23</v>
      </c>
      <c r="J2147" t="s">
        <v>18</v>
      </c>
      <c r="K2147">
        <v>24</v>
      </c>
      <c r="L2147" t="str">
        <f>IF(Table1[[#This Row],[Age]]&lt;30,"20-29",
IF(Table1[[#This Row],[Age]]&lt;40,"30-39",
IF(Table1[[#This Row],[Age]]&lt;50,"40-49",
IF(Table1[[#This Row],[Age]]&lt;60,"50-59","60+"))))</f>
        <v>20-29</v>
      </c>
      <c r="M2147" t="s">
        <v>13</v>
      </c>
      <c r="N2147" t="s">
        <v>21</v>
      </c>
    </row>
    <row r="2148" spans="1:14" x14ac:dyDescent="0.35">
      <c r="A2148">
        <v>2247</v>
      </c>
      <c r="B2148" t="s">
        <v>15</v>
      </c>
      <c r="C2148" s="6">
        <v>44514</v>
      </c>
      <c r="D2148">
        <f>YEAR(Table1[[#This Row],[Join Date]])</f>
        <v>2021</v>
      </c>
      <c r="E2148" s="6">
        <v>45529</v>
      </c>
      <c r="F2148">
        <f>IFERROR(YEAR(Table1[[#This Row],[Exit Date]]), " ")</f>
        <v>2024</v>
      </c>
      <c r="G2148">
        <f>IFERROR((Table1[[#This Row],[Exit Year]]-Table1[[#This Row],[Join Year]])+1," ")</f>
        <v>4</v>
      </c>
      <c r="H2148" t="s">
        <v>41</v>
      </c>
      <c r="I2148" t="s">
        <v>23</v>
      </c>
      <c r="J2148" t="s">
        <v>18</v>
      </c>
      <c r="K2148">
        <v>38</v>
      </c>
      <c r="L2148" t="str">
        <f>IF(Table1[[#This Row],[Age]]&lt;30,"20-29",
IF(Table1[[#This Row],[Age]]&lt;40,"30-39",
IF(Table1[[#This Row],[Age]]&lt;50,"40-49",
IF(Table1[[#This Row],[Age]]&lt;60,"50-59","60+"))))</f>
        <v>30-39</v>
      </c>
      <c r="M2148" t="s">
        <v>16</v>
      </c>
      <c r="N2148" t="s">
        <v>25</v>
      </c>
    </row>
    <row r="2149" spans="1:14" x14ac:dyDescent="0.35">
      <c r="A2149">
        <v>2248</v>
      </c>
      <c r="B2149" t="s">
        <v>29</v>
      </c>
      <c r="C2149" s="6">
        <v>43700</v>
      </c>
      <c r="D2149">
        <f>YEAR(Table1[[#This Row],[Join Date]])</f>
        <v>2019</v>
      </c>
      <c r="E2149" s="6" t="s">
        <v>48</v>
      </c>
      <c r="F2149" t="str">
        <f>IFERROR(YEAR(Table1[[#This Row],[Exit Date]]), " ")</f>
        <v xml:space="preserve"> </v>
      </c>
      <c r="G2149" t="str">
        <f>IFERROR((Table1[[#This Row],[Exit Year]]-Table1[[#This Row],[Join Year]])+1," ")</f>
        <v xml:space="preserve"> </v>
      </c>
      <c r="H2149" t="s">
        <v>48</v>
      </c>
      <c r="I2149" t="s">
        <v>11</v>
      </c>
      <c r="J2149" t="s">
        <v>12</v>
      </c>
      <c r="K2149">
        <v>49</v>
      </c>
      <c r="L2149" t="str">
        <f>IF(Table1[[#This Row],[Age]]&lt;30,"20-29",
IF(Table1[[#This Row],[Age]]&lt;40,"30-39",
IF(Table1[[#This Row],[Age]]&lt;50,"40-49",
IF(Table1[[#This Row],[Age]]&lt;60,"50-59","60+"))))</f>
        <v>40-49</v>
      </c>
      <c r="M2149" t="s">
        <v>16</v>
      </c>
      <c r="N2149" t="s">
        <v>35</v>
      </c>
    </row>
    <row r="2150" spans="1:14" x14ac:dyDescent="0.35">
      <c r="A2150">
        <v>2249</v>
      </c>
      <c r="B2150" t="s">
        <v>34</v>
      </c>
      <c r="C2150" s="6">
        <v>45540</v>
      </c>
      <c r="D2150">
        <f>YEAR(Table1[[#This Row],[Join Date]])</f>
        <v>2024</v>
      </c>
      <c r="E2150" s="6" t="s">
        <v>48</v>
      </c>
      <c r="F2150" t="str">
        <f>IFERROR(YEAR(Table1[[#This Row],[Exit Date]]), " ")</f>
        <v xml:space="preserve"> </v>
      </c>
      <c r="G2150" t="str">
        <f>IFERROR((Table1[[#This Row],[Exit Year]]-Table1[[#This Row],[Join Year]])+1," ")</f>
        <v xml:space="preserve"> </v>
      </c>
      <c r="H2150" t="s">
        <v>48</v>
      </c>
      <c r="I2150" t="s">
        <v>11</v>
      </c>
      <c r="J2150" t="s">
        <v>18</v>
      </c>
      <c r="K2150">
        <v>31</v>
      </c>
      <c r="L2150" t="str">
        <f>IF(Table1[[#This Row],[Age]]&lt;30,"20-29",
IF(Table1[[#This Row],[Age]]&lt;40,"30-39",
IF(Table1[[#This Row],[Age]]&lt;50,"40-49",
IF(Table1[[#This Row],[Age]]&lt;60,"50-59","60+"))))</f>
        <v>30-39</v>
      </c>
      <c r="M2150" t="s">
        <v>20</v>
      </c>
      <c r="N2150" t="s">
        <v>14</v>
      </c>
    </row>
    <row r="2151" spans="1:14" x14ac:dyDescent="0.35">
      <c r="A2151">
        <v>2250</v>
      </c>
      <c r="B2151" t="s">
        <v>10</v>
      </c>
      <c r="C2151" s="6">
        <v>43297</v>
      </c>
      <c r="D2151">
        <f>YEAR(Table1[[#This Row],[Join Date]])</f>
        <v>2018</v>
      </c>
      <c r="E2151" s="6">
        <v>44682</v>
      </c>
      <c r="F2151">
        <f>IFERROR(YEAR(Table1[[#This Row],[Exit Date]]), " ")</f>
        <v>2022</v>
      </c>
      <c r="G2151">
        <f>IFERROR((Table1[[#This Row],[Exit Year]]-Table1[[#This Row],[Join Year]])+1," ")</f>
        <v>5</v>
      </c>
      <c r="H2151" t="s">
        <v>40</v>
      </c>
      <c r="I2151" t="s">
        <v>23</v>
      </c>
      <c r="J2151" t="s">
        <v>18</v>
      </c>
      <c r="K2151">
        <v>51</v>
      </c>
      <c r="L2151" t="str">
        <f>IF(Table1[[#This Row],[Age]]&lt;30,"20-29",
IF(Table1[[#This Row],[Age]]&lt;40,"30-39",
IF(Table1[[#This Row],[Age]]&lt;50,"40-49",
IF(Table1[[#This Row],[Age]]&lt;60,"50-59","60+"))))</f>
        <v>50-59</v>
      </c>
      <c r="M2151" t="s">
        <v>24</v>
      </c>
      <c r="N2151" t="s">
        <v>19</v>
      </c>
    </row>
    <row r="2152" spans="1:14" x14ac:dyDescent="0.35">
      <c r="A2152">
        <v>2251</v>
      </c>
      <c r="B2152" t="s">
        <v>10</v>
      </c>
      <c r="C2152" s="6">
        <v>43407</v>
      </c>
      <c r="D2152">
        <f>YEAR(Table1[[#This Row],[Join Date]])</f>
        <v>2018</v>
      </c>
      <c r="E2152" s="6" t="s">
        <v>48</v>
      </c>
      <c r="F2152" t="str">
        <f>IFERROR(YEAR(Table1[[#This Row],[Exit Date]]), " ")</f>
        <v xml:space="preserve"> </v>
      </c>
      <c r="G2152" t="str">
        <f>IFERROR((Table1[[#This Row],[Exit Year]]-Table1[[#This Row],[Join Year]])+1," ")</f>
        <v xml:space="preserve"> </v>
      </c>
      <c r="H2152" t="s">
        <v>48</v>
      </c>
      <c r="I2152" t="s">
        <v>11</v>
      </c>
      <c r="J2152" t="s">
        <v>18</v>
      </c>
      <c r="K2152">
        <v>27</v>
      </c>
      <c r="L2152" t="str">
        <f>IF(Table1[[#This Row],[Age]]&lt;30,"20-29",
IF(Table1[[#This Row],[Age]]&lt;40,"30-39",
IF(Table1[[#This Row],[Age]]&lt;50,"40-49",
IF(Table1[[#This Row],[Age]]&lt;60,"50-59","60+"))))</f>
        <v>20-29</v>
      </c>
      <c r="M2152" t="s">
        <v>13</v>
      </c>
      <c r="N2152" t="s">
        <v>21</v>
      </c>
    </row>
    <row r="2153" spans="1:14" x14ac:dyDescent="0.35">
      <c r="A2153">
        <v>2252</v>
      </c>
      <c r="B2153" t="s">
        <v>15</v>
      </c>
      <c r="C2153" s="6">
        <v>44121</v>
      </c>
      <c r="D2153">
        <f>YEAR(Table1[[#This Row],[Join Date]])</f>
        <v>2020</v>
      </c>
      <c r="E2153" s="6" t="s">
        <v>48</v>
      </c>
      <c r="F2153" t="str">
        <f>IFERROR(YEAR(Table1[[#This Row],[Exit Date]]), " ")</f>
        <v xml:space="preserve"> </v>
      </c>
      <c r="G2153" t="str">
        <f>IFERROR((Table1[[#This Row],[Exit Year]]-Table1[[#This Row],[Join Year]])+1," ")</f>
        <v xml:space="preserve"> </v>
      </c>
      <c r="H2153" t="s">
        <v>48</v>
      </c>
      <c r="I2153" t="s">
        <v>11</v>
      </c>
      <c r="J2153" t="s">
        <v>12</v>
      </c>
      <c r="K2153">
        <v>22</v>
      </c>
      <c r="L2153" t="str">
        <f>IF(Table1[[#This Row],[Age]]&lt;30,"20-29",
IF(Table1[[#This Row],[Age]]&lt;40,"30-39",
IF(Table1[[#This Row],[Age]]&lt;50,"40-49",
IF(Table1[[#This Row],[Age]]&lt;60,"50-59","60+"))))</f>
        <v>20-29</v>
      </c>
      <c r="M2153" t="s">
        <v>30</v>
      </c>
      <c r="N2153" t="s">
        <v>37</v>
      </c>
    </row>
    <row r="2154" spans="1:14" x14ac:dyDescent="0.35">
      <c r="A2154">
        <v>2253</v>
      </c>
      <c r="B2154" t="s">
        <v>15</v>
      </c>
      <c r="C2154" s="6">
        <v>44423</v>
      </c>
      <c r="D2154">
        <f>YEAR(Table1[[#This Row],[Join Date]])</f>
        <v>2021</v>
      </c>
      <c r="E2154" s="6" t="s">
        <v>48</v>
      </c>
      <c r="F2154" t="str">
        <f>IFERROR(YEAR(Table1[[#This Row],[Exit Date]]), " ")</f>
        <v xml:space="preserve"> </v>
      </c>
      <c r="G2154" t="str">
        <f>IFERROR((Table1[[#This Row],[Exit Year]]-Table1[[#This Row],[Join Year]])+1," ")</f>
        <v xml:space="preserve"> </v>
      </c>
      <c r="H2154" t="s">
        <v>48</v>
      </c>
      <c r="I2154" t="s">
        <v>11</v>
      </c>
      <c r="J2154" t="s">
        <v>12</v>
      </c>
      <c r="K2154">
        <v>50</v>
      </c>
      <c r="L2154" t="str">
        <f>IF(Table1[[#This Row],[Age]]&lt;30,"20-29",
IF(Table1[[#This Row],[Age]]&lt;40,"30-39",
IF(Table1[[#This Row],[Age]]&lt;50,"40-49",
IF(Table1[[#This Row],[Age]]&lt;60,"50-59","60+"))))</f>
        <v>50-59</v>
      </c>
      <c r="M2154" t="s">
        <v>13</v>
      </c>
      <c r="N2154" t="s">
        <v>25</v>
      </c>
    </row>
    <row r="2155" spans="1:14" x14ac:dyDescent="0.35">
      <c r="A2155">
        <v>2254</v>
      </c>
      <c r="B2155" t="s">
        <v>15</v>
      </c>
      <c r="C2155" s="6">
        <v>45087</v>
      </c>
      <c r="D2155">
        <f>YEAR(Table1[[#This Row],[Join Date]])</f>
        <v>2023</v>
      </c>
      <c r="E2155" s="6" t="s">
        <v>48</v>
      </c>
      <c r="F2155" t="str">
        <f>IFERROR(YEAR(Table1[[#This Row],[Exit Date]]), " ")</f>
        <v xml:space="preserve"> </v>
      </c>
      <c r="G2155" t="str">
        <f>IFERROR((Table1[[#This Row],[Exit Year]]-Table1[[#This Row],[Join Year]])+1," ")</f>
        <v xml:space="preserve"> </v>
      </c>
      <c r="H2155" t="s">
        <v>48</v>
      </c>
      <c r="I2155" t="s">
        <v>11</v>
      </c>
      <c r="J2155" t="s">
        <v>18</v>
      </c>
      <c r="K2155">
        <v>24</v>
      </c>
      <c r="L2155" t="str">
        <f>IF(Table1[[#This Row],[Age]]&lt;30,"20-29",
IF(Table1[[#This Row],[Age]]&lt;40,"30-39",
IF(Table1[[#This Row],[Age]]&lt;50,"40-49",
IF(Table1[[#This Row],[Age]]&lt;60,"50-59","60+"))))</f>
        <v>20-29</v>
      </c>
      <c r="M2155" t="s">
        <v>13</v>
      </c>
      <c r="N2155" t="s">
        <v>35</v>
      </c>
    </row>
    <row r="2156" spans="1:14" x14ac:dyDescent="0.35">
      <c r="A2156">
        <v>2255</v>
      </c>
      <c r="B2156" t="s">
        <v>15</v>
      </c>
      <c r="C2156" s="6">
        <v>43479</v>
      </c>
      <c r="D2156">
        <f>YEAR(Table1[[#This Row],[Join Date]])</f>
        <v>2019</v>
      </c>
      <c r="E2156" s="6">
        <v>44449</v>
      </c>
      <c r="F2156">
        <f>IFERROR(YEAR(Table1[[#This Row],[Exit Date]]), " ")</f>
        <v>2021</v>
      </c>
      <c r="G2156">
        <f>IFERROR((Table1[[#This Row],[Exit Year]]-Table1[[#This Row],[Join Year]])+1," ")</f>
        <v>3</v>
      </c>
      <c r="H2156" t="s">
        <v>22</v>
      </c>
      <c r="I2156" t="s">
        <v>23</v>
      </c>
      <c r="J2156" t="s">
        <v>18</v>
      </c>
      <c r="K2156">
        <v>50</v>
      </c>
      <c r="L2156" t="str">
        <f>IF(Table1[[#This Row],[Age]]&lt;30,"20-29",
IF(Table1[[#This Row],[Age]]&lt;40,"30-39",
IF(Table1[[#This Row],[Age]]&lt;50,"40-49",
IF(Table1[[#This Row],[Age]]&lt;60,"50-59","60+"))))</f>
        <v>50-59</v>
      </c>
      <c r="M2156" t="s">
        <v>16</v>
      </c>
      <c r="N2156" t="s">
        <v>19</v>
      </c>
    </row>
    <row r="2157" spans="1:14" x14ac:dyDescent="0.35">
      <c r="A2157">
        <v>2256</v>
      </c>
      <c r="B2157" t="s">
        <v>26</v>
      </c>
      <c r="C2157" s="6">
        <v>44749</v>
      </c>
      <c r="D2157">
        <f>YEAR(Table1[[#This Row],[Join Date]])</f>
        <v>2022</v>
      </c>
      <c r="E2157" s="6">
        <v>44972</v>
      </c>
      <c r="F2157">
        <f>IFERROR(YEAR(Table1[[#This Row],[Exit Date]]), " ")</f>
        <v>2023</v>
      </c>
      <c r="G2157">
        <f>IFERROR((Table1[[#This Row],[Exit Year]]-Table1[[#This Row],[Join Year]])+1," ")</f>
        <v>2</v>
      </c>
      <c r="H2157" t="s">
        <v>46</v>
      </c>
      <c r="I2157" t="s">
        <v>23</v>
      </c>
      <c r="J2157" t="s">
        <v>12</v>
      </c>
      <c r="K2157">
        <v>28</v>
      </c>
      <c r="L2157" t="str">
        <f>IF(Table1[[#This Row],[Age]]&lt;30,"20-29",
IF(Table1[[#This Row],[Age]]&lt;40,"30-39",
IF(Table1[[#This Row],[Age]]&lt;50,"40-49",
IF(Table1[[#This Row],[Age]]&lt;60,"50-59","60+"))))</f>
        <v>20-29</v>
      </c>
      <c r="M2157" t="s">
        <v>13</v>
      </c>
      <c r="N2157" t="s">
        <v>21</v>
      </c>
    </row>
    <row r="2158" spans="1:14" x14ac:dyDescent="0.35">
      <c r="A2158">
        <v>2257</v>
      </c>
      <c r="B2158" t="s">
        <v>29</v>
      </c>
      <c r="C2158" s="6">
        <v>45457</v>
      </c>
      <c r="D2158">
        <f>YEAR(Table1[[#This Row],[Join Date]])</f>
        <v>2024</v>
      </c>
      <c r="E2158" s="6" t="s">
        <v>48</v>
      </c>
      <c r="F2158" t="str">
        <f>IFERROR(YEAR(Table1[[#This Row],[Exit Date]]), " ")</f>
        <v xml:space="preserve"> </v>
      </c>
      <c r="G2158" t="str">
        <f>IFERROR((Table1[[#This Row],[Exit Year]]-Table1[[#This Row],[Join Year]])+1," ")</f>
        <v xml:space="preserve"> </v>
      </c>
      <c r="H2158" t="s">
        <v>48</v>
      </c>
      <c r="I2158" t="s">
        <v>11</v>
      </c>
      <c r="J2158" t="s">
        <v>18</v>
      </c>
      <c r="K2158">
        <v>40</v>
      </c>
      <c r="L2158" t="str">
        <f>IF(Table1[[#This Row],[Age]]&lt;30,"20-29",
IF(Table1[[#This Row],[Age]]&lt;40,"30-39",
IF(Table1[[#This Row],[Age]]&lt;50,"40-49",
IF(Table1[[#This Row],[Age]]&lt;60,"50-59","60+"))))</f>
        <v>40-49</v>
      </c>
      <c r="M2158" t="s">
        <v>20</v>
      </c>
      <c r="N2158" t="s">
        <v>25</v>
      </c>
    </row>
    <row r="2159" spans="1:14" x14ac:dyDescent="0.35">
      <c r="A2159">
        <v>2258</v>
      </c>
      <c r="B2159" t="s">
        <v>10</v>
      </c>
      <c r="C2159" s="6">
        <v>43304</v>
      </c>
      <c r="D2159">
        <f>YEAR(Table1[[#This Row],[Join Date]])</f>
        <v>2018</v>
      </c>
      <c r="E2159" s="6" t="s">
        <v>48</v>
      </c>
      <c r="F2159" t="str">
        <f>IFERROR(YEAR(Table1[[#This Row],[Exit Date]]), " ")</f>
        <v xml:space="preserve"> </v>
      </c>
      <c r="G2159" t="str">
        <f>IFERROR((Table1[[#This Row],[Exit Year]]-Table1[[#This Row],[Join Year]])+1," ")</f>
        <v xml:space="preserve"> </v>
      </c>
      <c r="H2159" t="s">
        <v>48</v>
      </c>
      <c r="I2159" t="s">
        <v>11</v>
      </c>
      <c r="J2159" t="s">
        <v>18</v>
      </c>
      <c r="K2159">
        <v>32</v>
      </c>
      <c r="L2159" t="str">
        <f>IF(Table1[[#This Row],[Age]]&lt;30,"20-29",
IF(Table1[[#This Row],[Age]]&lt;40,"30-39",
IF(Table1[[#This Row],[Age]]&lt;50,"40-49",
IF(Table1[[#This Row],[Age]]&lt;60,"50-59","60+"))))</f>
        <v>30-39</v>
      </c>
      <c r="M2159" t="s">
        <v>44</v>
      </c>
      <c r="N2159" t="s">
        <v>28</v>
      </c>
    </row>
    <row r="2160" spans="1:14" x14ac:dyDescent="0.35">
      <c r="A2160">
        <v>2259</v>
      </c>
      <c r="B2160" t="s">
        <v>15</v>
      </c>
      <c r="C2160" s="6">
        <v>44987</v>
      </c>
      <c r="D2160">
        <f>YEAR(Table1[[#This Row],[Join Date]])</f>
        <v>2023</v>
      </c>
      <c r="E2160" s="6" t="s">
        <v>48</v>
      </c>
      <c r="F2160" t="str">
        <f>IFERROR(YEAR(Table1[[#This Row],[Exit Date]]), " ")</f>
        <v xml:space="preserve"> </v>
      </c>
      <c r="G2160" t="str">
        <f>IFERROR((Table1[[#This Row],[Exit Year]]-Table1[[#This Row],[Join Year]])+1," ")</f>
        <v xml:space="preserve"> </v>
      </c>
      <c r="H2160" t="s">
        <v>48</v>
      </c>
      <c r="I2160" t="s">
        <v>11</v>
      </c>
      <c r="J2160" t="s">
        <v>18</v>
      </c>
      <c r="K2160">
        <v>50</v>
      </c>
      <c r="L2160" t="str">
        <f>IF(Table1[[#This Row],[Age]]&lt;30,"20-29",
IF(Table1[[#This Row],[Age]]&lt;40,"30-39",
IF(Table1[[#This Row],[Age]]&lt;50,"40-49",
IF(Table1[[#This Row],[Age]]&lt;60,"50-59","60+"))))</f>
        <v>50-59</v>
      </c>
      <c r="M2160" t="s">
        <v>13</v>
      </c>
      <c r="N2160" t="s">
        <v>31</v>
      </c>
    </row>
    <row r="2161" spans="1:14" x14ac:dyDescent="0.35">
      <c r="A2161">
        <v>2260</v>
      </c>
      <c r="B2161" t="s">
        <v>34</v>
      </c>
      <c r="C2161" s="6">
        <v>45326</v>
      </c>
      <c r="D2161">
        <f>YEAR(Table1[[#This Row],[Join Date]])</f>
        <v>2024</v>
      </c>
      <c r="E2161" s="6" t="s">
        <v>48</v>
      </c>
      <c r="F2161" t="str">
        <f>IFERROR(YEAR(Table1[[#This Row],[Exit Date]]), " ")</f>
        <v xml:space="preserve"> </v>
      </c>
      <c r="G2161" t="str">
        <f>IFERROR((Table1[[#This Row],[Exit Year]]-Table1[[#This Row],[Join Year]])+1," ")</f>
        <v xml:space="preserve"> </v>
      </c>
      <c r="H2161" t="s">
        <v>48</v>
      </c>
      <c r="I2161" t="s">
        <v>11</v>
      </c>
      <c r="J2161" t="s">
        <v>12</v>
      </c>
      <c r="K2161">
        <v>24</v>
      </c>
      <c r="L2161" t="str">
        <f>IF(Table1[[#This Row],[Age]]&lt;30,"20-29",
IF(Table1[[#This Row],[Age]]&lt;40,"30-39",
IF(Table1[[#This Row],[Age]]&lt;50,"40-49",
IF(Table1[[#This Row],[Age]]&lt;60,"50-59","60+"))))</f>
        <v>20-29</v>
      </c>
      <c r="M2161" t="s">
        <v>16</v>
      </c>
      <c r="N2161" t="s">
        <v>32</v>
      </c>
    </row>
    <row r="2162" spans="1:14" x14ac:dyDescent="0.35">
      <c r="A2162">
        <v>2261</v>
      </c>
      <c r="B2162" t="s">
        <v>36</v>
      </c>
      <c r="C2162" s="6">
        <v>45474</v>
      </c>
      <c r="D2162">
        <f>YEAR(Table1[[#This Row],[Join Date]])</f>
        <v>2024</v>
      </c>
      <c r="E2162" s="6" t="s">
        <v>48</v>
      </c>
      <c r="F2162" t="str">
        <f>IFERROR(YEAR(Table1[[#This Row],[Exit Date]]), " ")</f>
        <v xml:space="preserve"> </v>
      </c>
      <c r="G2162" t="str">
        <f>IFERROR((Table1[[#This Row],[Exit Year]]-Table1[[#This Row],[Join Year]])+1," ")</f>
        <v xml:space="preserve"> </v>
      </c>
      <c r="H2162" t="s">
        <v>48</v>
      </c>
      <c r="I2162" t="s">
        <v>11</v>
      </c>
      <c r="J2162" t="s">
        <v>12</v>
      </c>
      <c r="K2162">
        <v>36</v>
      </c>
      <c r="L2162" t="str">
        <f>IF(Table1[[#This Row],[Age]]&lt;30,"20-29",
IF(Table1[[#This Row],[Age]]&lt;40,"30-39",
IF(Table1[[#This Row],[Age]]&lt;50,"40-49",
IF(Table1[[#This Row],[Age]]&lt;60,"50-59","60+"))))</f>
        <v>30-39</v>
      </c>
      <c r="M2162" t="s">
        <v>16</v>
      </c>
      <c r="N2162" t="s">
        <v>33</v>
      </c>
    </row>
    <row r="2163" spans="1:14" x14ac:dyDescent="0.35">
      <c r="A2163">
        <v>2262</v>
      </c>
      <c r="B2163" t="s">
        <v>29</v>
      </c>
      <c r="C2163" s="6">
        <v>44227</v>
      </c>
      <c r="D2163">
        <f>YEAR(Table1[[#This Row],[Join Date]])</f>
        <v>2021</v>
      </c>
      <c r="E2163" s="6">
        <v>45322</v>
      </c>
      <c r="F2163">
        <f>IFERROR(YEAR(Table1[[#This Row],[Exit Date]]), " ")</f>
        <v>2024</v>
      </c>
      <c r="G2163">
        <f>IFERROR((Table1[[#This Row],[Exit Year]]-Table1[[#This Row],[Join Year]])+1," ")</f>
        <v>4</v>
      </c>
      <c r="H2163" t="s">
        <v>46</v>
      </c>
      <c r="I2163" t="s">
        <v>23</v>
      </c>
      <c r="J2163" t="s">
        <v>18</v>
      </c>
      <c r="K2163">
        <v>49</v>
      </c>
      <c r="L2163" t="str">
        <f>IF(Table1[[#This Row],[Age]]&lt;30,"20-29",
IF(Table1[[#This Row],[Age]]&lt;40,"30-39",
IF(Table1[[#This Row],[Age]]&lt;50,"40-49",
IF(Table1[[#This Row],[Age]]&lt;60,"50-59","60+"))))</f>
        <v>40-49</v>
      </c>
      <c r="M2163" t="s">
        <v>20</v>
      </c>
      <c r="N2163" t="s">
        <v>35</v>
      </c>
    </row>
    <row r="2164" spans="1:14" x14ac:dyDescent="0.35">
      <c r="A2164">
        <v>2263</v>
      </c>
      <c r="B2164" t="s">
        <v>10</v>
      </c>
      <c r="C2164" s="6">
        <v>43446</v>
      </c>
      <c r="D2164">
        <f>YEAR(Table1[[#This Row],[Join Date]])</f>
        <v>2018</v>
      </c>
      <c r="E2164" s="6">
        <v>43936</v>
      </c>
      <c r="F2164">
        <f>IFERROR(YEAR(Table1[[#This Row],[Exit Date]]), " ")</f>
        <v>2020</v>
      </c>
      <c r="G2164">
        <f>IFERROR((Table1[[#This Row],[Exit Year]]-Table1[[#This Row],[Join Year]])+1," ")</f>
        <v>3</v>
      </c>
      <c r="H2164" t="s">
        <v>38</v>
      </c>
      <c r="I2164" t="s">
        <v>23</v>
      </c>
      <c r="J2164" t="s">
        <v>18</v>
      </c>
      <c r="K2164">
        <v>43</v>
      </c>
      <c r="L2164" t="str">
        <f>IF(Table1[[#This Row],[Age]]&lt;30,"20-29",
IF(Table1[[#This Row],[Age]]&lt;40,"30-39",
IF(Table1[[#This Row],[Age]]&lt;50,"40-49",
IF(Table1[[#This Row],[Age]]&lt;60,"50-59","60+"))))</f>
        <v>40-49</v>
      </c>
      <c r="M2164" t="s">
        <v>24</v>
      </c>
      <c r="N2164" t="s">
        <v>37</v>
      </c>
    </row>
    <row r="2165" spans="1:14" x14ac:dyDescent="0.35">
      <c r="A2165">
        <v>2264</v>
      </c>
      <c r="B2165" t="s">
        <v>15</v>
      </c>
      <c r="C2165" s="6">
        <v>45314</v>
      </c>
      <c r="D2165">
        <f>YEAR(Table1[[#This Row],[Join Date]])</f>
        <v>2024</v>
      </c>
      <c r="E2165" s="6" t="s">
        <v>48</v>
      </c>
      <c r="F2165" t="str">
        <f>IFERROR(YEAR(Table1[[#This Row],[Exit Date]]), " ")</f>
        <v xml:space="preserve"> </v>
      </c>
      <c r="G2165" t="str">
        <f>IFERROR((Table1[[#This Row],[Exit Year]]-Table1[[#This Row],[Join Year]])+1," ")</f>
        <v xml:space="preserve"> </v>
      </c>
      <c r="H2165" t="s">
        <v>48</v>
      </c>
      <c r="I2165" t="s">
        <v>11</v>
      </c>
      <c r="J2165" t="s">
        <v>18</v>
      </c>
      <c r="K2165">
        <v>40</v>
      </c>
      <c r="L2165" t="str">
        <f>IF(Table1[[#This Row],[Age]]&lt;30,"20-29",
IF(Table1[[#This Row],[Age]]&lt;40,"30-39",
IF(Table1[[#This Row],[Age]]&lt;50,"40-49",
IF(Table1[[#This Row],[Age]]&lt;60,"50-59","60+"))))</f>
        <v>40-49</v>
      </c>
      <c r="M2165" t="s">
        <v>13</v>
      </c>
      <c r="N2165" t="s">
        <v>19</v>
      </c>
    </row>
    <row r="2166" spans="1:14" x14ac:dyDescent="0.35">
      <c r="A2166">
        <v>2265</v>
      </c>
      <c r="B2166" t="s">
        <v>15</v>
      </c>
      <c r="C2166" s="6">
        <v>43123</v>
      </c>
      <c r="D2166">
        <f>YEAR(Table1[[#This Row],[Join Date]])</f>
        <v>2018</v>
      </c>
      <c r="E2166" s="6" t="s">
        <v>48</v>
      </c>
      <c r="F2166" t="str">
        <f>IFERROR(YEAR(Table1[[#This Row],[Exit Date]]), " ")</f>
        <v xml:space="preserve"> </v>
      </c>
      <c r="G2166" t="str">
        <f>IFERROR((Table1[[#This Row],[Exit Year]]-Table1[[#This Row],[Join Year]])+1," ")</f>
        <v xml:space="preserve"> </v>
      </c>
      <c r="H2166" t="s">
        <v>48</v>
      </c>
      <c r="I2166" t="s">
        <v>11</v>
      </c>
      <c r="J2166" t="s">
        <v>12</v>
      </c>
      <c r="K2166">
        <v>42</v>
      </c>
      <c r="L2166" t="str">
        <f>IF(Table1[[#This Row],[Age]]&lt;30,"20-29",
IF(Table1[[#This Row],[Age]]&lt;40,"30-39",
IF(Table1[[#This Row],[Age]]&lt;50,"40-49",
IF(Table1[[#This Row],[Age]]&lt;60,"50-59","60+"))))</f>
        <v>40-49</v>
      </c>
      <c r="M2166" t="s">
        <v>30</v>
      </c>
      <c r="N2166" t="s">
        <v>25</v>
      </c>
    </row>
    <row r="2167" spans="1:14" x14ac:dyDescent="0.35">
      <c r="A2167">
        <v>2266</v>
      </c>
      <c r="B2167" t="s">
        <v>10</v>
      </c>
      <c r="C2167" s="6">
        <v>43717</v>
      </c>
      <c r="D2167">
        <f>YEAR(Table1[[#This Row],[Join Date]])</f>
        <v>2019</v>
      </c>
      <c r="E2167" s="6">
        <v>44677</v>
      </c>
      <c r="F2167">
        <f>IFERROR(YEAR(Table1[[#This Row],[Exit Date]]), " ")</f>
        <v>2022</v>
      </c>
      <c r="G2167">
        <f>IFERROR((Table1[[#This Row],[Exit Year]]-Table1[[#This Row],[Join Year]])+1," ")</f>
        <v>4</v>
      </c>
      <c r="H2167" t="s">
        <v>40</v>
      </c>
      <c r="I2167" t="s">
        <v>23</v>
      </c>
      <c r="J2167" t="s">
        <v>12</v>
      </c>
      <c r="K2167">
        <v>35</v>
      </c>
      <c r="L2167" t="str">
        <f>IF(Table1[[#This Row],[Age]]&lt;30,"20-29",
IF(Table1[[#This Row],[Age]]&lt;40,"30-39",
IF(Table1[[#This Row],[Age]]&lt;50,"40-49",
IF(Table1[[#This Row],[Age]]&lt;60,"50-59","60+"))))</f>
        <v>30-39</v>
      </c>
      <c r="M2167" t="s">
        <v>13</v>
      </c>
      <c r="N2167" t="s">
        <v>35</v>
      </c>
    </row>
    <row r="2168" spans="1:14" x14ac:dyDescent="0.35">
      <c r="A2168">
        <v>2267</v>
      </c>
      <c r="B2168" t="s">
        <v>29</v>
      </c>
      <c r="C2168" s="6">
        <v>43534</v>
      </c>
      <c r="D2168">
        <f>YEAR(Table1[[#This Row],[Join Date]])</f>
        <v>2019</v>
      </c>
      <c r="E2168" s="6">
        <v>44117</v>
      </c>
      <c r="F2168">
        <f>IFERROR(YEAR(Table1[[#This Row],[Exit Date]]), " ")</f>
        <v>2020</v>
      </c>
      <c r="G2168">
        <f>IFERROR((Table1[[#This Row],[Exit Year]]-Table1[[#This Row],[Join Year]])+1," ")</f>
        <v>2</v>
      </c>
      <c r="H2168" t="s">
        <v>38</v>
      </c>
      <c r="I2168" t="s">
        <v>23</v>
      </c>
      <c r="J2168" t="s">
        <v>12</v>
      </c>
      <c r="K2168">
        <v>31</v>
      </c>
      <c r="L2168" t="str">
        <f>IF(Table1[[#This Row],[Age]]&lt;30,"20-29",
IF(Table1[[#This Row],[Age]]&lt;40,"30-39",
IF(Table1[[#This Row],[Age]]&lt;50,"40-49",
IF(Table1[[#This Row],[Age]]&lt;60,"50-59","60+"))))</f>
        <v>30-39</v>
      </c>
      <c r="M2168" t="s">
        <v>13</v>
      </c>
      <c r="N2168" t="s">
        <v>17</v>
      </c>
    </row>
    <row r="2169" spans="1:14" x14ac:dyDescent="0.35">
      <c r="A2169">
        <v>2268</v>
      </c>
      <c r="B2169" t="s">
        <v>36</v>
      </c>
      <c r="C2169" s="6">
        <v>44619</v>
      </c>
      <c r="D2169">
        <f>YEAR(Table1[[#This Row],[Join Date]])</f>
        <v>2022</v>
      </c>
      <c r="E2169" s="6" t="s">
        <v>48</v>
      </c>
      <c r="F2169" t="str">
        <f>IFERROR(YEAR(Table1[[#This Row],[Exit Date]]), " ")</f>
        <v xml:space="preserve"> </v>
      </c>
      <c r="G2169" t="str">
        <f>IFERROR((Table1[[#This Row],[Exit Year]]-Table1[[#This Row],[Join Year]])+1," ")</f>
        <v xml:space="preserve"> </v>
      </c>
      <c r="H2169" t="s">
        <v>48</v>
      </c>
      <c r="I2169" t="s">
        <v>11</v>
      </c>
      <c r="J2169" t="s">
        <v>18</v>
      </c>
      <c r="K2169">
        <v>51</v>
      </c>
      <c r="L2169" t="str">
        <f>IF(Table1[[#This Row],[Age]]&lt;30,"20-29",
IF(Table1[[#This Row],[Age]]&lt;40,"30-39",
IF(Table1[[#This Row],[Age]]&lt;50,"40-49",
IF(Table1[[#This Row],[Age]]&lt;60,"50-59","60+"))))</f>
        <v>50-59</v>
      </c>
      <c r="M2169" t="s">
        <v>16</v>
      </c>
      <c r="N2169" t="s">
        <v>19</v>
      </c>
    </row>
    <row r="2170" spans="1:14" x14ac:dyDescent="0.35">
      <c r="A2170">
        <v>2269</v>
      </c>
      <c r="B2170" t="s">
        <v>10</v>
      </c>
      <c r="C2170" s="6">
        <v>45485</v>
      </c>
      <c r="D2170">
        <f>YEAR(Table1[[#This Row],[Join Date]])</f>
        <v>2024</v>
      </c>
      <c r="E2170" s="6" t="s">
        <v>48</v>
      </c>
      <c r="F2170" t="str">
        <f>IFERROR(YEAR(Table1[[#This Row],[Exit Date]]), " ")</f>
        <v xml:space="preserve"> </v>
      </c>
      <c r="G2170" t="str">
        <f>IFERROR((Table1[[#This Row],[Exit Year]]-Table1[[#This Row],[Join Year]])+1," ")</f>
        <v xml:space="preserve"> </v>
      </c>
      <c r="H2170" t="s">
        <v>48</v>
      </c>
      <c r="I2170" t="s">
        <v>11</v>
      </c>
      <c r="J2170" t="s">
        <v>18</v>
      </c>
      <c r="K2170">
        <v>48</v>
      </c>
      <c r="L2170" t="str">
        <f>IF(Table1[[#This Row],[Age]]&lt;30,"20-29",
IF(Table1[[#This Row],[Age]]&lt;40,"30-39",
IF(Table1[[#This Row],[Age]]&lt;50,"40-49",
IF(Table1[[#This Row],[Age]]&lt;60,"50-59","60+"))))</f>
        <v>40-49</v>
      </c>
      <c r="M2170" t="s">
        <v>13</v>
      </c>
      <c r="N2170" t="s">
        <v>21</v>
      </c>
    </row>
    <row r="2171" spans="1:14" x14ac:dyDescent="0.35">
      <c r="A2171">
        <v>2270</v>
      </c>
      <c r="B2171" t="s">
        <v>29</v>
      </c>
      <c r="C2171" s="6">
        <v>43588</v>
      </c>
      <c r="D2171">
        <f>YEAR(Table1[[#This Row],[Join Date]])</f>
        <v>2019</v>
      </c>
      <c r="E2171" s="6">
        <v>44896</v>
      </c>
      <c r="F2171">
        <f>IFERROR(YEAR(Table1[[#This Row],[Exit Date]]), " ")</f>
        <v>2022</v>
      </c>
      <c r="G2171">
        <f>IFERROR((Table1[[#This Row],[Exit Year]]-Table1[[#This Row],[Join Year]])+1," ")</f>
        <v>4</v>
      </c>
      <c r="H2171" t="s">
        <v>41</v>
      </c>
      <c r="I2171" t="s">
        <v>23</v>
      </c>
      <c r="J2171" t="s">
        <v>12</v>
      </c>
      <c r="K2171">
        <v>41</v>
      </c>
      <c r="L2171" t="str">
        <f>IF(Table1[[#This Row],[Age]]&lt;30,"20-29",
IF(Table1[[#This Row],[Age]]&lt;40,"30-39",
IF(Table1[[#This Row],[Age]]&lt;50,"40-49",
IF(Table1[[#This Row],[Age]]&lt;60,"50-59","60+"))))</f>
        <v>40-49</v>
      </c>
      <c r="M2171" t="s">
        <v>20</v>
      </c>
      <c r="N2171" t="s">
        <v>25</v>
      </c>
    </row>
    <row r="2172" spans="1:14" x14ac:dyDescent="0.35">
      <c r="A2172">
        <v>2271</v>
      </c>
      <c r="B2172" t="s">
        <v>36</v>
      </c>
      <c r="C2172" s="6">
        <v>44250</v>
      </c>
      <c r="D2172">
        <f>YEAR(Table1[[#This Row],[Join Date]])</f>
        <v>2021</v>
      </c>
      <c r="E2172" s="6">
        <v>45392</v>
      </c>
      <c r="F2172">
        <f>IFERROR(YEAR(Table1[[#This Row],[Exit Date]]), " ")</f>
        <v>2024</v>
      </c>
      <c r="G2172">
        <f>IFERROR((Table1[[#This Row],[Exit Year]]-Table1[[#This Row],[Join Year]])+1," ")</f>
        <v>4</v>
      </c>
      <c r="H2172" t="s">
        <v>46</v>
      </c>
      <c r="I2172" t="s">
        <v>23</v>
      </c>
      <c r="J2172" t="s">
        <v>12</v>
      </c>
      <c r="K2172">
        <v>35</v>
      </c>
      <c r="L2172" t="str">
        <f>IF(Table1[[#This Row],[Age]]&lt;30,"20-29",
IF(Table1[[#This Row],[Age]]&lt;40,"30-39",
IF(Table1[[#This Row],[Age]]&lt;50,"40-49",
IF(Table1[[#This Row],[Age]]&lt;60,"50-59","60+"))))</f>
        <v>30-39</v>
      </c>
      <c r="M2172" t="s">
        <v>39</v>
      </c>
      <c r="N2172" t="s">
        <v>35</v>
      </c>
    </row>
    <row r="2173" spans="1:14" x14ac:dyDescent="0.35">
      <c r="A2173">
        <v>2272</v>
      </c>
      <c r="B2173" t="s">
        <v>26</v>
      </c>
      <c r="C2173" s="6">
        <v>45244</v>
      </c>
      <c r="D2173">
        <f>YEAR(Table1[[#This Row],[Join Date]])</f>
        <v>2023</v>
      </c>
      <c r="E2173" s="6">
        <v>45446</v>
      </c>
      <c r="F2173">
        <f>IFERROR(YEAR(Table1[[#This Row],[Exit Date]]), " ")</f>
        <v>2024</v>
      </c>
      <c r="G2173">
        <f>IFERROR((Table1[[#This Row],[Exit Year]]-Table1[[#This Row],[Join Year]])+1," ")</f>
        <v>2</v>
      </c>
      <c r="H2173" t="s">
        <v>40</v>
      </c>
      <c r="I2173" t="s">
        <v>23</v>
      </c>
      <c r="J2173" t="s">
        <v>12</v>
      </c>
      <c r="K2173">
        <v>24</v>
      </c>
      <c r="L2173" t="str">
        <f>IF(Table1[[#This Row],[Age]]&lt;30,"20-29",
IF(Table1[[#This Row],[Age]]&lt;40,"30-39",
IF(Table1[[#This Row],[Age]]&lt;50,"40-49",
IF(Table1[[#This Row],[Age]]&lt;60,"50-59","60+"))))</f>
        <v>20-29</v>
      </c>
      <c r="M2173" t="s">
        <v>13</v>
      </c>
      <c r="N2173" t="s">
        <v>14</v>
      </c>
    </row>
    <row r="2174" spans="1:14" x14ac:dyDescent="0.35">
      <c r="A2174">
        <v>2273</v>
      </c>
      <c r="B2174" t="s">
        <v>15</v>
      </c>
      <c r="C2174" s="6">
        <v>45256</v>
      </c>
      <c r="D2174">
        <f>YEAR(Table1[[#This Row],[Join Date]])</f>
        <v>2023</v>
      </c>
      <c r="E2174" s="6" t="s">
        <v>48</v>
      </c>
      <c r="F2174" t="str">
        <f>IFERROR(YEAR(Table1[[#This Row],[Exit Date]]), " ")</f>
        <v xml:space="preserve"> </v>
      </c>
      <c r="G2174" t="str">
        <f>IFERROR((Table1[[#This Row],[Exit Year]]-Table1[[#This Row],[Join Year]])+1," ")</f>
        <v xml:space="preserve"> </v>
      </c>
      <c r="H2174" t="s">
        <v>48</v>
      </c>
      <c r="I2174" t="s">
        <v>11</v>
      </c>
      <c r="J2174" t="s">
        <v>12</v>
      </c>
      <c r="K2174">
        <v>41</v>
      </c>
      <c r="L2174" t="str">
        <f>IF(Table1[[#This Row],[Age]]&lt;30,"20-29",
IF(Table1[[#This Row],[Age]]&lt;40,"30-39",
IF(Table1[[#This Row],[Age]]&lt;50,"40-49",
IF(Table1[[#This Row],[Age]]&lt;60,"50-59","60+"))))</f>
        <v>40-49</v>
      </c>
      <c r="M2174" t="s">
        <v>16</v>
      </c>
      <c r="N2174" t="s">
        <v>19</v>
      </c>
    </row>
    <row r="2175" spans="1:14" x14ac:dyDescent="0.35">
      <c r="A2175">
        <v>2274</v>
      </c>
      <c r="B2175" t="s">
        <v>26</v>
      </c>
      <c r="C2175" s="6">
        <v>45465</v>
      </c>
      <c r="D2175">
        <f>YEAR(Table1[[#This Row],[Join Date]])</f>
        <v>2024</v>
      </c>
      <c r="E2175" s="6" t="s">
        <v>48</v>
      </c>
      <c r="F2175" t="str">
        <f>IFERROR(YEAR(Table1[[#This Row],[Exit Date]]), " ")</f>
        <v xml:space="preserve"> </v>
      </c>
      <c r="G2175" t="str">
        <f>IFERROR((Table1[[#This Row],[Exit Year]]-Table1[[#This Row],[Join Year]])+1," ")</f>
        <v xml:space="preserve"> </v>
      </c>
      <c r="H2175" t="s">
        <v>48</v>
      </c>
      <c r="I2175" t="s">
        <v>11</v>
      </c>
      <c r="J2175" t="s">
        <v>12</v>
      </c>
      <c r="K2175">
        <v>40</v>
      </c>
      <c r="L2175" t="str">
        <f>IF(Table1[[#This Row],[Age]]&lt;30,"20-29",
IF(Table1[[#This Row],[Age]]&lt;40,"30-39",
IF(Table1[[#This Row],[Age]]&lt;50,"40-49",
IF(Table1[[#This Row],[Age]]&lt;60,"50-59","60+"))))</f>
        <v>40-49</v>
      </c>
      <c r="M2175" t="s">
        <v>16</v>
      </c>
      <c r="N2175" t="s">
        <v>21</v>
      </c>
    </row>
    <row r="2176" spans="1:14" x14ac:dyDescent="0.35">
      <c r="A2176">
        <v>2275</v>
      </c>
      <c r="B2176" t="s">
        <v>10</v>
      </c>
      <c r="C2176" s="6">
        <v>43597</v>
      </c>
      <c r="D2176">
        <f>YEAR(Table1[[#This Row],[Join Date]])</f>
        <v>2019</v>
      </c>
      <c r="E2176" s="6" t="s">
        <v>48</v>
      </c>
      <c r="F2176" t="str">
        <f>IFERROR(YEAR(Table1[[#This Row],[Exit Date]]), " ")</f>
        <v xml:space="preserve"> </v>
      </c>
      <c r="G2176" t="str">
        <f>IFERROR((Table1[[#This Row],[Exit Year]]-Table1[[#This Row],[Join Year]])+1," ")</f>
        <v xml:space="preserve"> </v>
      </c>
      <c r="H2176" t="s">
        <v>48</v>
      </c>
      <c r="I2176" t="s">
        <v>11</v>
      </c>
      <c r="J2176" t="s">
        <v>12</v>
      </c>
      <c r="K2176">
        <v>48</v>
      </c>
      <c r="L2176" t="str">
        <f>IF(Table1[[#This Row],[Age]]&lt;30,"20-29",
IF(Table1[[#This Row],[Age]]&lt;40,"30-39",
IF(Table1[[#This Row],[Age]]&lt;50,"40-49",
IF(Table1[[#This Row],[Age]]&lt;60,"50-59","60+"))))</f>
        <v>40-49</v>
      </c>
      <c r="M2176" t="s">
        <v>20</v>
      </c>
      <c r="N2176" t="s">
        <v>37</v>
      </c>
    </row>
    <row r="2177" spans="1:14" x14ac:dyDescent="0.35">
      <c r="A2177">
        <v>2276</v>
      </c>
      <c r="B2177" t="s">
        <v>15</v>
      </c>
      <c r="C2177" s="6">
        <v>44866</v>
      </c>
      <c r="D2177">
        <f>YEAR(Table1[[#This Row],[Join Date]])</f>
        <v>2022</v>
      </c>
      <c r="E2177" s="6" t="s">
        <v>48</v>
      </c>
      <c r="F2177" t="str">
        <f>IFERROR(YEAR(Table1[[#This Row],[Exit Date]]), " ")</f>
        <v xml:space="preserve"> </v>
      </c>
      <c r="G2177" t="str">
        <f>IFERROR((Table1[[#This Row],[Exit Year]]-Table1[[#This Row],[Join Year]])+1," ")</f>
        <v xml:space="preserve"> </v>
      </c>
      <c r="H2177" t="s">
        <v>48</v>
      </c>
      <c r="I2177" t="s">
        <v>11</v>
      </c>
      <c r="J2177" t="s">
        <v>18</v>
      </c>
      <c r="K2177">
        <v>52</v>
      </c>
      <c r="L2177" t="str">
        <f>IF(Table1[[#This Row],[Age]]&lt;30,"20-29",
IF(Table1[[#This Row],[Age]]&lt;40,"30-39",
IF(Table1[[#This Row],[Age]]&lt;50,"40-49",
IF(Table1[[#This Row],[Age]]&lt;60,"50-59","60+"))))</f>
        <v>50-59</v>
      </c>
      <c r="M2177" t="s">
        <v>24</v>
      </c>
      <c r="N2177" t="s">
        <v>25</v>
      </c>
    </row>
    <row r="2178" spans="1:14" x14ac:dyDescent="0.35">
      <c r="A2178">
        <v>2277</v>
      </c>
      <c r="B2178" t="s">
        <v>34</v>
      </c>
      <c r="C2178" s="6">
        <v>44006</v>
      </c>
      <c r="D2178">
        <f>YEAR(Table1[[#This Row],[Join Date]])</f>
        <v>2020</v>
      </c>
      <c r="E2178" s="6">
        <v>44463</v>
      </c>
      <c r="F2178">
        <f>IFERROR(YEAR(Table1[[#This Row],[Exit Date]]), " ")</f>
        <v>2021</v>
      </c>
      <c r="G2178">
        <f>IFERROR((Table1[[#This Row],[Exit Year]]-Table1[[#This Row],[Join Year]])+1," ")</f>
        <v>2</v>
      </c>
      <c r="H2178" t="s">
        <v>43</v>
      </c>
      <c r="I2178" t="s">
        <v>23</v>
      </c>
      <c r="J2178" t="s">
        <v>12</v>
      </c>
      <c r="K2178">
        <v>33</v>
      </c>
      <c r="L2178" t="str">
        <f>IF(Table1[[#This Row],[Age]]&lt;30,"20-29",
IF(Table1[[#This Row],[Age]]&lt;40,"30-39",
IF(Table1[[#This Row],[Age]]&lt;50,"40-49",
IF(Table1[[#This Row],[Age]]&lt;60,"50-59","60+"))))</f>
        <v>30-39</v>
      </c>
      <c r="M2178" t="s">
        <v>13</v>
      </c>
      <c r="N2178" t="s">
        <v>35</v>
      </c>
    </row>
    <row r="2179" spans="1:14" x14ac:dyDescent="0.35">
      <c r="A2179">
        <v>2278</v>
      </c>
      <c r="B2179" t="s">
        <v>26</v>
      </c>
      <c r="C2179" s="6">
        <v>45095</v>
      </c>
      <c r="D2179">
        <f>YEAR(Table1[[#This Row],[Join Date]])</f>
        <v>2023</v>
      </c>
      <c r="E2179" s="6" t="s">
        <v>48</v>
      </c>
      <c r="F2179" t="str">
        <f>IFERROR(YEAR(Table1[[#This Row],[Exit Date]]), " ")</f>
        <v xml:space="preserve"> </v>
      </c>
      <c r="G2179" t="str">
        <f>IFERROR((Table1[[#This Row],[Exit Year]]-Table1[[#This Row],[Join Year]])+1," ")</f>
        <v xml:space="preserve"> </v>
      </c>
      <c r="H2179" t="s">
        <v>48</v>
      </c>
      <c r="I2179" t="s">
        <v>11</v>
      </c>
      <c r="J2179" t="s">
        <v>18</v>
      </c>
      <c r="K2179">
        <v>51</v>
      </c>
      <c r="L2179" t="str">
        <f>IF(Table1[[#This Row],[Age]]&lt;30,"20-29",
IF(Table1[[#This Row],[Age]]&lt;40,"30-39",
IF(Table1[[#This Row],[Age]]&lt;50,"40-49",
IF(Table1[[#This Row],[Age]]&lt;60,"50-59","60+"))))</f>
        <v>50-59</v>
      </c>
      <c r="M2179" t="s">
        <v>42</v>
      </c>
      <c r="N2179" t="s">
        <v>14</v>
      </c>
    </row>
    <row r="2180" spans="1:14" x14ac:dyDescent="0.35">
      <c r="A2180">
        <v>2279</v>
      </c>
      <c r="B2180" t="s">
        <v>10</v>
      </c>
      <c r="C2180" s="6">
        <v>44360</v>
      </c>
      <c r="D2180">
        <f>YEAR(Table1[[#This Row],[Join Date]])</f>
        <v>2021</v>
      </c>
      <c r="E2180" s="6">
        <v>44755</v>
      </c>
      <c r="F2180">
        <f>IFERROR(YEAR(Table1[[#This Row],[Exit Date]]), " ")</f>
        <v>2022</v>
      </c>
      <c r="G2180">
        <f>IFERROR((Table1[[#This Row],[Exit Year]]-Table1[[#This Row],[Join Year]])+1," ")</f>
        <v>2</v>
      </c>
      <c r="H2180" t="s">
        <v>38</v>
      </c>
      <c r="I2180" t="s">
        <v>23</v>
      </c>
      <c r="J2180" t="s">
        <v>18</v>
      </c>
      <c r="K2180">
        <v>46</v>
      </c>
      <c r="L2180" t="str">
        <f>IF(Table1[[#This Row],[Age]]&lt;30,"20-29",
IF(Table1[[#This Row],[Age]]&lt;40,"30-39",
IF(Table1[[#This Row],[Age]]&lt;50,"40-49",
IF(Table1[[#This Row],[Age]]&lt;60,"50-59","60+"))))</f>
        <v>40-49</v>
      </c>
      <c r="M2180" t="s">
        <v>13</v>
      </c>
      <c r="N2180" t="s">
        <v>17</v>
      </c>
    </row>
    <row r="2181" spans="1:14" x14ac:dyDescent="0.35">
      <c r="A2181">
        <v>2280</v>
      </c>
      <c r="B2181" t="s">
        <v>26</v>
      </c>
      <c r="C2181" s="6">
        <v>43419</v>
      </c>
      <c r="D2181">
        <f>YEAR(Table1[[#This Row],[Join Date]])</f>
        <v>2018</v>
      </c>
      <c r="E2181" s="6">
        <v>44303</v>
      </c>
      <c r="F2181">
        <f>IFERROR(YEAR(Table1[[#This Row],[Exit Date]]), " ")</f>
        <v>2021</v>
      </c>
      <c r="G2181">
        <f>IFERROR((Table1[[#This Row],[Exit Year]]-Table1[[#This Row],[Join Year]])+1," ")</f>
        <v>4</v>
      </c>
      <c r="H2181" t="s">
        <v>22</v>
      </c>
      <c r="I2181" t="s">
        <v>23</v>
      </c>
      <c r="J2181" t="s">
        <v>12</v>
      </c>
      <c r="K2181">
        <v>53</v>
      </c>
      <c r="L2181" t="str">
        <f>IF(Table1[[#This Row],[Age]]&lt;30,"20-29",
IF(Table1[[#This Row],[Age]]&lt;40,"30-39",
IF(Table1[[#This Row],[Age]]&lt;50,"40-49",
IF(Table1[[#This Row],[Age]]&lt;60,"50-59","60+"))))</f>
        <v>50-59</v>
      </c>
      <c r="M2181" t="s">
        <v>13</v>
      </c>
      <c r="N2181" t="s">
        <v>19</v>
      </c>
    </row>
    <row r="2182" spans="1:14" x14ac:dyDescent="0.35">
      <c r="A2182">
        <v>2281</v>
      </c>
      <c r="B2182" t="s">
        <v>36</v>
      </c>
      <c r="C2182" s="6">
        <v>44249</v>
      </c>
      <c r="D2182">
        <f>YEAR(Table1[[#This Row],[Join Date]])</f>
        <v>2021</v>
      </c>
      <c r="E2182" s="6" t="s">
        <v>48</v>
      </c>
      <c r="F2182" t="str">
        <f>IFERROR(YEAR(Table1[[#This Row],[Exit Date]]), " ")</f>
        <v xml:space="preserve"> </v>
      </c>
      <c r="G2182" t="str">
        <f>IFERROR((Table1[[#This Row],[Exit Year]]-Table1[[#This Row],[Join Year]])+1," ")</f>
        <v xml:space="preserve"> </v>
      </c>
      <c r="H2182" t="s">
        <v>48</v>
      </c>
      <c r="I2182" t="s">
        <v>11</v>
      </c>
      <c r="J2182" t="s">
        <v>18</v>
      </c>
      <c r="K2182">
        <v>35</v>
      </c>
      <c r="L2182" t="str">
        <f>IF(Table1[[#This Row],[Age]]&lt;30,"20-29",
IF(Table1[[#This Row],[Age]]&lt;40,"30-39",
IF(Table1[[#This Row],[Age]]&lt;50,"40-49",
IF(Table1[[#This Row],[Age]]&lt;60,"50-59","60+"))))</f>
        <v>30-39</v>
      </c>
      <c r="M2182" t="s">
        <v>16</v>
      </c>
      <c r="N2182" t="s">
        <v>21</v>
      </c>
    </row>
    <row r="2183" spans="1:14" x14ac:dyDescent="0.35">
      <c r="A2183">
        <v>2282</v>
      </c>
      <c r="B2183" t="s">
        <v>10</v>
      </c>
      <c r="C2183" s="6">
        <v>45533</v>
      </c>
      <c r="D2183">
        <f>YEAR(Table1[[#This Row],[Join Date]])</f>
        <v>2024</v>
      </c>
      <c r="E2183" s="6" t="s">
        <v>48</v>
      </c>
      <c r="F2183" t="str">
        <f>IFERROR(YEAR(Table1[[#This Row],[Exit Date]]), " ")</f>
        <v xml:space="preserve"> </v>
      </c>
      <c r="G2183" t="str">
        <f>IFERROR((Table1[[#This Row],[Exit Year]]-Table1[[#This Row],[Join Year]])+1," ")</f>
        <v xml:space="preserve"> </v>
      </c>
      <c r="H2183" t="s">
        <v>48</v>
      </c>
      <c r="I2183" t="s">
        <v>11</v>
      </c>
      <c r="J2183" t="s">
        <v>12</v>
      </c>
      <c r="K2183">
        <v>32</v>
      </c>
      <c r="L2183" t="str">
        <f>IF(Table1[[#This Row],[Age]]&lt;30,"20-29",
IF(Table1[[#This Row],[Age]]&lt;40,"30-39",
IF(Table1[[#This Row],[Age]]&lt;50,"40-49",
IF(Table1[[#This Row],[Age]]&lt;60,"50-59","60+"))))</f>
        <v>30-39</v>
      </c>
      <c r="M2183" t="s">
        <v>13</v>
      </c>
      <c r="N2183" t="s">
        <v>25</v>
      </c>
    </row>
    <row r="2184" spans="1:14" x14ac:dyDescent="0.35">
      <c r="A2184">
        <v>2283</v>
      </c>
      <c r="B2184" t="s">
        <v>36</v>
      </c>
      <c r="C2184" s="6">
        <v>44377</v>
      </c>
      <c r="D2184">
        <f>YEAR(Table1[[#This Row],[Join Date]])</f>
        <v>2021</v>
      </c>
      <c r="E2184" s="6" t="s">
        <v>48</v>
      </c>
      <c r="F2184" t="str">
        <f>IFERROR(YEAR(Table1[[#This Row],[Exit Date]]), " ")</f>
        <v xml:space="preserve"> </v>
      </c>
      <c r="G2184" t="str">
        <f>IFERROR((Table1[[#This Row],[Exit Year]]-Table1[[#This Row],[Join Year]])+1," ")</f>
        <v xml:space="preserve"> </v>
      </c>
      <c r="H2184" t="s">
        <v>48</v>
      </c>
      <c r="I2184" t="s">
        <v>11</v>
      </c>
      <c r="J2184" t="s">
        <v>12</v>
      </c>
      <c r="K2184">
        <v>46</v>
      </c>
      <c r="L2184" t="str">
        <f>IF(Table1[[#This Row],[Age]]&lt;30,"20-29",
IF(Table1[[#This Row],[Age]]&lt;40,"30-39",
IF(Table1[[#This Row],[Age]]&lt;50,"40-49",
IF(Table1[[#This Row],[Age]]&lt;60,"50-59","60+"))))</f>
        <v>40-49</v>
      </c>
      <c r="M2184" t="s">
        <v>20</v>
      </c>
      <c r="N2184" t="s">
        <v>28</v>
      </c>
    </row>
    <row r="2185" spans="1:14" x14ac:dyDescent="0.35">
      <c r="A2185">
        <v>2284</v>
      </c>
      <c r="B2185" t="s">
        <v>10</v>
      </c>
      <c r="C2185" s="6">
        <v>44088</v>
      </c>
      <c r="D2185">
        <f>YEAR(Table1[[#This Row],[Join Date]])</f>
        <v>2020</v>
      </c>
      <c r="E2185" s="6" t="s">
        <v>48</v>
      </c>
      <c r="F2185" t="str">
        <f>IFERROR(YEAR(Table1[[#This Row],[Exit Date]]), " ")</f>
        <v xml:space="preserve"> </v>
      </c>
      <c r="G2185" t="str">
        <f>IFERROR((Table1[[#This Row],[Exit Year]]-Table1[[#This Row],[Join Year]])+1," ")</f>
        <v xml:space="preserve"> </v>
      </c>
      <c r="H2185" t="s">
        <v>48</v>
      </c>
      <c r="I2185" t="s">
        <v>11</v>
      </c>
      <c r="J2185" t="s">
        <v>18</v>
      </c>
      <c r="K2185">
        <v>50</v>
      </c>
      <c r="L2185" t="str">
        <f>IF(Table1[[#This Row],[Age]]&lt;30,"20-29",
IF(Table1[[#This Row],[Age]]&lt;40,"30-39",
IF(Table1[[#This Row],[Age]]&lt;50,"40-49",
IF(Table1[[#This Row],[Age]]&lt;60,"50-59","60+"))))</f>
        <v>50-59</v>
      </c>
      <c r="M2185" t="s">
        <v>39</v>
      </c>
      <c r="N2185" t="s">
        <v>31</v>
      </c>
    </row>
    <row r="2186" spans="1:14" x14ac:dyDescent="0.35">
      <c r="A2186">
        <v>2285</v>
      </c>
      <c r="B2186" t="s">
        <v>26</v>
      </c>
      <c r="C2186" s="6">
        <v>43373</v>
      </c>
      <c r="D2186">
        <f>YEAR(Table1[[#This Row],[Join Date]])</f>
        <v>2018</v>
      </c>
      <c r="E2186" s="6">
        <v>44825</v>
      </c>
      <c r="F2186">
        <f>IFERROR(YEAR(Table1[[#This Row],[Exit Date]]), " ")</f>
        <v>2022</v>
      </c>
      <c r="G2186">
        <f>IFERROR((Table1[[#This Row],[Exit Year]]-Table1[[#This Row],[Join Year]])+1," ")</f>
        <v>5</v>
      </c>
      <c r="H2186" t="s">
        <v>27</v>
      </c>
      <c r="I2186" t="s">
        <v>23</v>
      </c>
      <c r="J2186" t="s">
        <v>12</v>
      </c>
      <c r="K2186">
        <v>62</v>
      </c>
      <c r="L2186" t="str">
        <f>IF(Table1[[#This Row],[Age]]&lt;30,"20-29",
IF(Table1[[#This Row],[Age]]&lt;40,"30-39",
IF(Table1[[#This Row],[Age]]&lt;50,"40-49",
IF(Table1[[#This Row],[Age]]&lt;60,"50-59","60+"))))</f>
        <v>60+</v>
      </c>
      <c r="M2186" t="s">
        <v>13</v>
      </c>
      <c r="N2186" t="s">
        <v>32</v>
      </c>
    </row>
    <row r="2187" spans="1:14" x14ac:dyDescent="0.35">
      <c r="A2187">
        <v>2286</v>
      </c>
      <c r="B2187" t="s">
        <v>26</v>
      </c>
      <c r="C2187" s="6">
        <v>43314</v>
      </c>
      <c r="D2187">
        <f>YEAR(Table1[[#This Row],[Join Date]])</f>
        <v>2018</v>
      </c>
      <c r="E2187" s="6" t="s">
        <v>48</v>
      </c>
      <c r="F2187" t="str">
        <f>IFERROR(YEAR(Table1[[#This Row],[Exit Date]]), " ")</f>
        <v xml:space="preserve"> </v>
      </c>
      <c r="G2187" t="str">
        <f>IFERROR((Table1[[#This Row],[Exit Year]]-Table1[[#This Row],[Join Year]])+1," ")</f>
        <v xml:space="preserve"> </v>
      </c>
      <c r="H2187" t="s">
        <v>48</v>
      </c>
      <c r="I2187" t="s">
        <v>11</v>
      </c>
      <c r="J2187" t="s">
        <v>18</v>
      </c>
      <c r="K2187">
        <v>29</v>
      </c>
      <c r="L2187" t="str">
        <f>IF(Table1[[#This Row],[Age]]&lt;30,"20-29",
IF(Table1[[#This Row],[Age]]&lt;40,"30-39",
IF(Table1[[#This Row],[Age]]&lt;50,"40-49",
IF(Table1[[#This Row],[Age]]&lt;60,"50-59","60+"))))</f>
        <v>20-29</v>
      </c>
      <c r="M2187" t="s">
        <v>16</v>
      </c>
      <c r="N2187" t="s">
        <v>33</v>
      </c>
    </row>
    <row r="2188" spans="1:14" x14ac:dyDescent="0.35">
      <c r="A2188">
        <v>2287</v>
      </c>
      <c r="B2188" t="s">
        <v>26</v>
      </c>
      <c r="C2188" s="6">
        <v>44418</v>
      </c>
      <c r="D2188">
        <f>YEAR(Table1[[#This Row],[Join Date]])</f>
        <v>2021</v>
      </c>
      <c r="E2188" s="6">
        <v>45628</v>
      </c>
      <c r="F2188">
        <f>IFERROR(YEAR(Table1[[#This Row],[Exit Date]]), " ")</f>
        <v>2024</v>
      </c>
      <c r="G2188">
        <f>IFERROR((Table1[[#This Row],[Exit Year]]-Table1[[#This Row],[Join Year]])+1," ")</f>
        <v>4</v>
      </c>
      <c r="H2188" t="s">
        <v>22</v>
      </c>
      <c r="I2188" t="s">
        <v>23</v>
      </c>
      <c r="J2188" t="s">
        <v>18</v>
      </c>
      <c r="K2188">
        <v>27</v>
      </c>
      <c r="L2188" t="str">
        <f>IF(Table1[[#This Row],[Age]]&lt;30,"20-29",
IF(Table1[[#This Row],[Age]]&lt;40,"30-39",
IF(Table1[[#This Row],[Age]]&lt;50,"40-49",
IF(Table1[[#This Row],[Age]]&lt;60,"50-59","60+"))))</f>
        <v>20-29</v>
      </c>
      <c r="M2188" t="s">
        <v>16</v>
      </c>
      <c r="N2188" t="s">
        <v>35</v>
      </c>
    </row>
    <row r="2189" spans="1:14" x14ac:dyDescent="0.35">
      <c r="A2189">
        <v>2288</v>
      </c>
      <c r="B2189" t="s">
        <v>34</v>
      </c>
      <c r="C2189" s="6">
        <v>44324</v>
      </c>
      <c r="D2189">
        <f>YEAR(Table1[[#This Row],[Join Date]])</f>
        <v>2021</v>
      </c>
      <c r="E2189" s="6">
        <v>45076</v>
      </c>
      <c r="F2189">
        <f>IFERROR(YEAR(Table1[[#This Row],[Exit Date]]), " ")</f>
        <v>2023</v>
      </c>
      <c r="G2189">
        <f>IFERROR((Table1[[#This Row],[Exit Year]]-Table1[[#This Row],[Join Year]])+1," ")</f>
        <v>3</v>
      </c>
      <c r="H2189" t="s">
        <v>40</v>
      </c>
      <c r="I2189" t="s">
        <v>23</v>
      </c>
      <c r="J2189" t="s">
        <v>12</v>
      </c>
      <c r="K2189">
        <v>31</v>
      </c>
      <c r="L2189" t="str">
        <f>IF(Table1[[#This Row],[Age]]&lt;30,"20-29",
IF(Table1[[#This Row],[Age]]&lt;40,"30-39",
IF(Table1[[#This Row],[Age]]&lt;50,"40-49",
IF(Table1[[#This Row],[Age]]&lt;60,"50-59","60+"))))</f>
        <v>30-39</v>
      </c>
      <c r="M2189" t="s">
        <v>20</v>
      </c>
      <c r="N2189" t="s">
        <v>37</v>
      </c>
    </row>
    <row r="2190" spans="1:14" x14ac:dyDescent="0.35">
      <c r="A2190">
        <v>2289</v>
      </c>
      <c r="B2190" t="s">
        <v>10</v>
      </c>
      <c r="C2190" s="6">
        <v>43513</v>
      </c>
      <c r="D2190">
        <f>YEAR(Table1[[#This Row],[Join Date]])</f>
        <v>2019</v>
      </c>
      <c r="E2190" s="6">
        <v>44923</v>
      </c>
      <c r="F2190">
        <f>IFERROR(YEAR(Table1[[#This Row],[Exit Date]]), " ")</f>
        <v>2022</v>
      </c>
      <c r="G2190">
        <f>IFERROR((Table1[[#This Row],[Exit Year]]-Table1[[#This Row],[Join Year]])+1," ")</f>
        <v>4</v>
      </c>
      <c r="H2190" t="s">
        <v>38</v>
      </c>
      <c r="I2190" t="s">
        <v>23</v>
      </c>
      <c r="J2190" t="s">
        <v>12</v>
      </c>
      <c r="K2190">
        <v>24</v>
      </c>
      <c r="L2190" t="str">
        <f>IF(Table1[[#This Row],[Age]]&lt;30,"20-29",
IF(Table1[[#This Row],[Age]]&lt;40,"30-39",
IF(Table1[[#This Row],[Age]]&lt;50,"40-49",
IF(Table1[[#This Row],[Age]]&lt;60,"50-59","60+"))))</f>
        <v>20-29</v>
      </c>
      <c r="M2190" t="s">
        <v>24</v>
      </c>
      <c r="N2190" t="s">
        <v>19</v>
      </c>
    </row>
    <row r="2191" spans="1:14" x14ac:dyDescent="0.35">
      <c r="A2191">
        <v>2290</v>
      </c>
      <c r="B2191" t="s">
        <v>36</v>
      </c>
      <c r="C2191" s="6">
        <v>44180</v>
      </c>
      <c r="D2191">
        <f>YEAR(Table1[[#This Row],[Join Date]])</f>
        <v>2020</v>
      </c>
      <c r="E2191" s="6" t="s">
        <v>48</v>
      </c>
      <c r="F2191" t="str">
        <f>IFERROR(YEAR(Table1[[#This Row],[Exit Date]]), " ")</f>
        <v xml:space="preserve"> </v>
      </c>
      <c r="G2191" t="str">
        <f>IFERROR((Table1[[#This Row],[Exit Year]]-Table1[[#This Row],[Join Year]])+1," ")</f>
        <v xml:space="preserve"> </v>
      </c>
      <c r="H2191" t="s">
        <v>48</v>
      </c>
      <c r="I2191" t="s">
        <v>11</v>
      </c>
      <c r="J2191" t="s">
        <v>12</v>
      </c>
      <c r="K2191">
        <v>37</v>
      </c>
      <c r="L2191" t="str">
        <f>IF(Table1[[#This Row],[Age]]&lt;30,"20-29",
IF(Table1[[#This Row],[Age]]&lt;40,"30-39",
IF(Table1[[#This Row],[Age]]&lt;50,"40-49",
IF(Table1[[#This Row],[Age]]&lt;60,"50-59","60+"))))</f>
        <v>30-39</v>
      </c>
      <c r="M2191" t="s">
        <v>13</v>
      </c>
      <c r="N2191" t="s">
        <v>25</v>
      </c>
    </row>
    <row r="2192" spans="1:14" x14ac:dyDescent="0.35">
      <c r="A2192">
        <v>2291</v>
      </c>
      <c r="B2192" t="s">
        <v>34</v>
      </c>
      <c r="C2192" s="6">
        <v>44099</v>
      </c>
      <c r="D2192">
        <f>YEAR(Table1[[#This Row],[Join Date]])</f>
        <v>2020</v>
      </c>
      <c r="E2192" s="6" t="s">
        <v>48</v>
      </c>
      <c r="F2192" t="str">
        <f>IFERROR(YEAR(Table1[[#This Row],[Exit Date]]), " ")</f>
        <v xml:space="preserve"> </v>
      </c>
      <c r="G2192" t="str">
        <f>IFERROR((Table1[[#This Row],[Exit Year]]-Table1[[#This Row],[Join Year]])+1," ")</f>
        <v xml:space="preserve"> </v>
      </c>
      <c r="H2192" t="s">
        <v>48</v>
      </c>
      <c r="I2192" t="s">
        <v>11</v>
      </c>
      <c r="J2192" t="s">
        <v>12</v>
      </c>
      <c r="K2192">
        <v>23</v>
      </c>
      <c r="L2192" t="str">
        <f>IF(Table1[[#This Row],[Age]]&lt;30,"20-29",
IF(Table1[[#This Row],[Age]]&lt;40,"30-39",
IF(Table1[[#This Row],[Age]]&lt;50,"40-49",
IF(Table1[[#This Row],[Age]]&lt;60,"50-59","60+"))))</f>
        <v>20-29</v>
      </c>
      <c r="M2192" t="s">
        <v>30</v>
      </c>
      <c r="N2192" t="s">
        <v>35</v>
      </c>
    </row>
    <row r="2193" spans="1:14" x14ac:dyDescent="0.35">
      <c r="A2193">
        <v>2292</v>
      </c>
      <c r="B2193" t="s">
        <v>34</v>
      </c>
      <c r="C2193" s="6">
        <v>45632</v>
      </c>
      <c r="D2193">
        <f>YEAR(Table1[[#This Row],[Join Date]])</f>
        <v>2024</v>
      </c>
      <c r="E2193" s="6" t="s">
        <v>48</v>
      </c>
      <c r="F2193" t="str">
        <f>IFERROR(YEAR(Table1[[#This Row],[Exit Date]]), " ")</f>
        <v xml:space="preserve"> </v>
      </c>
      <c r="G2193" t="str">
        <f>IFERROR((Table1[[#This Row],[Exit Year]]-Table1[[#This Row],[Join Year]])+1," ")</f>
        <v xml:space="preserve"> </v>
      </c>
      <c r="H2193" t="s">
        <v>48</v>
      </c>
      <c r="I2193" t="s">
        <v>11</v>
      </c>
      <c r="J2193" t="s">
        <v>12</v>
      </c>
      <c r="K2193">
        <v>31</v>
      </c>
      <c r="L2193" t="str">
        <f>IF(Table1[[#This Row],[Age]]&lt;30,"20-29",
IF(Table1[[#This Row],[Age]]&lt;40,"30-39",
IF(Table1[[#This Row],[Age]]&lt;50,"40-49",
IF(Table1[[#This Row],[Age]]&lt;60,"50-59","60+"))))</f>
        <v>30-39</v>
      </c>
      <c r="M2193" t="s">
        <v>13</v>
      </c>
      <c r="N2193" t="s">
        <v>17</v>
      </c>
    </row>
    <row r="2194" spans="1:14" x14ac:dyDescent="0.35">
      <c r="A2194">
        <v>2293</v>
      </c>
      <c r="B2194" t="s">
        <v>36</v>
      </c>
      <c r="C2194" s="6">
        <v>45294</v>
      </c>
      <c r="D2194">
        <f>YEAR(Table1[[#This Row],[Join Date]])</f>
        <v>2024</v>
      </c>
      <c r="E2194" s="6" t="s">
        <v>48</v>
      </c>
      <c r="F2194" t="str">
        <f>IFERROR(YEAR(Table1[[#This Row],[Exit Date]]), " ")</f>
        <v xml:space="preserve"> </v>
      </c>
      <c r="G2194" t="str">
        <f>IFERROR((Table1[[#This Row],[Exit Year]]-Table1[[#This Row],[Join Year]])+1," ")</f>
        <v xml:space="preserve"> </v>
      </c>
      <c r="H2194" t="s">
        <v>48</v>
      </c>
      <c r="I2194" t="s">
        <v>11</v>
      </c>
      <c r="J2194" t="s">
        <v>18</v>
      </c>
      <c r="K2194">
        <v>52</v>
      </c>
      <c r="L2194" t="str">
        <f>IF(Table1[[#This Row],[Age]]&lt;30,"20-29",
IF(Table1[[#This Row],[Age]]&lt;40,"30-39",
IF(Table1[[#This Row],[Age]]&lt;50,"40-49",
IF(Table1[[#This Row],[Age]]&lt;60,"50-59","60+"))))</f>
        <v>50-59</v>
      </c>
      <c r="M2194" t="s">
        <v>13</v>
      </c>
      <c r="N2194" t="s">
        <v>19</v>
      </c>
    </row>
    <row r="2195" spans="1:14" x14ac:dyDescent="0.35">
      <c r="A2195">
        <v>2294</v>
      </c>
      <c r="B2195" t="s">
        <v>26</v>
      </c>
      <c r="C2195" s="6">
        <v>44590</v>
      </c>
      <c r="D2195">
        <f>YEAR(Table1[[#This Row],[Join Date]])</f>
        <v>2022</v>
      </c>
      <c r="E2195" s="6" t="s">
        <v>48</v>
      </c>
      <c r="F2195" t="str">
        <f>IFERROR(YEAR(Table1[[#This Row],[Exit Date]]), " ")</f>
        <v xml:space="preserve"> </v>
      </c>
      <c r="G2195" t="str">
        <f>IFERROR((Table1[[#This Row],[Exit Year]]-Table1[[#This Row],[Join Year]])+1," ")</f>
        <v xml:space="preserve"> </v>
      </c>
      <c r="H2195" t="s">
        <v>48</v>
      </c>
      <c r="I2195" t="s">
        <v>11</v>
      </c>
      <c r="J2195" t="s">
        <v>18</v>
      </c>
      <c r="K2195">
        <v>25</v>
      </c>
      <c r="L2195" t="str">
        <f>IF(Table1[[#This Row],[Age]]&lt;30,"20-29",
IF(Table1[[#This Row],[Age]]&lt;40,"30-39",
IF(Table1[[#This Row],[Age]]&lt;50,"40-49",
IF(Table1[[#This Row],[Age]]&lt;60,"50-59","60+"))))</f>
        <v>20-29</v>
      </c>
      <c r="M2195" t="s">
        <v>16</v>
      </c>
      <c r="N2195" t="s">
        <v>21</v>
      </c>
    </row>
    <row r="2196" spans="1:14" x14ac:dyDescent="0.35">
      <c r="A2196">
        <v>2295</v>
      </c>
      <c r="B2196" t="s">
        <v>15</v>
      </c>
      <c r="C2196" s="6">
        <v>45215</v>
      </c>
      <c r="D2196">
        <f>YEAR(Table1[[#This Row],[Join Date]])</f>
        <v>2023</v>
      </c>
      <c r="E2196" s="6" t="s">
        <v>48</v>
      </c>
      <c r="F2196" t="str">
        <f>IFERROR(YEAR(Table1[[#This Row],[Exit Date]]), " ")</f>
        <v xml:space="preserve"> </v>
      </c>
      <c r="G2196" t="str">
        <f>IFERROR((Table1[[#This Row],[Exit Year]]-Table1[[#This Row],[Join Year]])+1," ")</f>
        <v xml:space="preserve"> </v>
      </c>
      <c r="H2196" t="s">
        <v>48</v>
      </c>
      <c r="I2196" t="s">
        <v>11</v>
      </c>
      <c r="J2196" t="s">
        <v>18</v>
      </c>
      <c r="K2196">
        <v>46</v>
      </c>
      <c r="L2196" t="str">
        <f>IF(Table1[[#This Row],[Age]]&lt;30,"20-29",
IF(Table1[[#This Row],[Age]]&lt;40,"30-39",
IF(Table1[[#This Row],[Age]]&lt;50,"40-49",
IF(Table1[[#This Row],[Age]]&lt;60,"50-59","60+"))))</f>
        <v>40-49</v>
      </c>
      <c r="M2196" t="s">
        <v>13</v>
      </c>
      <c r="N2196" t="s">
        <v>25</v>
      </c>
    </row>
    <row r="2197" spans="1:14" x14ac:dyDescent="0.35">
      <c r="A2197">
        <v>2296</v>
      </c>
      <c r="B2197" t="s">
        <v>15</v>
      </c>
      <c r="C2197" s="6">
        <v>43624</v>
      </c>
      <c r="D2197">
        <f>YEAR(Table1[[#This Row],[Join Date]])</f>
        <v>2019</v>
      </c>
      <c r="E2197" s="6">
        <v>44228</v>
      </c>
      <c r="F2197">
        <f>IFERROR(YEAR(Table1[[#This Row],[Exit Date]]), " ")</f>
        <v>2021</v>
      </c>
      <c r="G2197">
        <f>IFERROR((Table1[[#This Row],[Exit Year]]-Table1[[#This Row],[Join Year]])+1," ")</f>
        <v>3</v>
      </c>
      <c r="H2197" t="s">
        <v>41</v>
      </c>
      <c r="I2197" t="s">
        <v>23</v>
      </c>
      <c r="J2197" t="s">
        <v>18</v>
      </c>
      <c r="K2197">
        <v>24</v>
      </c>
      <c r="L2197" t="str">
        <f>IF(Table1[[#This Row],[Age]]&lt;30,"20-29",
IF(Table1[[#This Row],[Age]]&lt;40,"30-39",
IF(Table1[[#This Row],[Age]]&lt;50,"40-49",
IF(Table1[[#This Row],[Age]]&lt;60,"50-59","60+"))))</f>
        <v>20-29</v>
      </c>
      <c r="M2197" t="s">
        <v>20</v>
      </c>
      <c r="N2197" t="s">
        <v>35</v>
      </c>
    </row>
    <row r="2198" spans="1:14" x14ac:dyDescent="0.35">
      <c r="A2198">
        <v>2297</v>
      </c>
      <c r="B2198" t="s">
        <v>15</v>
      </c>
      <c r="C2198" s="6">
        <v>44514</v>
      </c>
      <c r="D2198">
        <f>YEAR(Table1[[#This Row],[Join Date]])</f>
        <v>2021</v>
      </c>
      <c r="E2198" s="6">
        <v>45529</v>
      </c>
      <c r="F2198">
        <f>IFERROR(YEAR(Table1[[#This Row],[Exit Date]]), " ")</f>
        <v>2024</v>
      </c>
      <c r="G2198">
        <f>IFERROR((Table1[[#This Row],[Exit Year]]-Table1[[#This Row],[Join Year]])+1," ")</f>
        <v>4</v>
      </c>
      <c r="H2198" t="s">
        <v>41</v>
      </c>
      <c r="I2198" t="s">
        <v>23</v>
      </c>
      <c r="J2198" t="s">
        <v>18</v>
      </c>
      <c r="K2198">
        <v>38</v>
      </c>
      <c r="L2198" t="str">
        <f>IF(Table1[[#This Row],[Age]]&lt;30,"20-29",
IF(Table1[[#This Row],[Age]]&lt;40,"30-39",
IF(Table1[[#This Row],[Age]]&lt;50,"40-49",
IF(Table1[[#This Row],[Age]]&lt;60,"50-59","60+"))))</f>
        <v>30-39</v>
      </c>
      <c r="M2198" t="s">
        <v>39</v>
      </c>
      <c r="N2198" t="s">
        <v>14</v>
      </c>
    </row>
    <row r="2199" spans="1:14" x14ac:dyDescent="0.35">
      <c r="A2199">
        <v>2298</v>
      </c>
      <c r="B2199" t="s">
        <v>29</v>
      </c>
      <c r="C2199" s="6">
        <v>43700</v>
      </c>
      <c r="D2199">
        <f>YEAR(Table1[[#This Row],[Join Date]])</f>
        <v>2019</v>
      </c>
      <c r="E2199" s="6" t="s">
        <v>48</v>
      </c>
      <c r="F2199" t="str">
        <f>IFERROR(YEAR(Table1[[#This Row],[Exit Date]]), " ")</f>
        <v xml:space="preserve"> </v>
      </c>
      <c r="G2199" t="str">
        <f>IFERROR((Table1[[#This Row],[Exit Year]]-Table1[[#This Row],[Join Year]])+1," ")</f>
        <v xml:space="preserve"> </v>
      </c>
      <c r="H2199" t="s">
        <v>48</v>
      </c>
      <c r="I2199" t="s">
        <v>11</v>
      </c>
      <c r="J2199" t="s">
        <v>12</v>
      </c>
      <c r="K2199">
        <v>49</v>
      </c>
      <c r="L2199" t="str">
        <f>IF(Table1[[#This Row],[Age]]&lt;30,"20-29",
IF(Table1[[#This Row],[Age]]&lt;40,"30-39",
IF(Table1[[#This Row],[Age]]&lt;50,"40-49",
IF(Table1[[#This Row],[Age]]&lt;60,"50-59","60+"))))</f>
        <v>40-49</v>
      </c>
      <c r="M2199" t="s">
        <v>13</v>
      </c>
      <c r="N2199" t="s">
        <v>19</v>
      </c>
    </row>
    <row r="2200" spans="1:14" x14ac:dyDescent="0.35">
      <c r="A2200">
        <v>2299</v>
      </c>
      <c r="B2200" t="s">
        <v>34</v>
      </c>
      <c r="C2200" s="6">
        <v>45540</v>
      </c>
      <c r="D2200">
        <f>YEAR(Table1[[#This Row],[Join Date]])</f>
        <v>2024</v>
      </c>
      <c r="E2200" s="6" t="s">
        <v>48</v>
      </c>
      <c r="F2200" t="str">
        <f>IFERROR(YEAR(Table1[[#This Row],[Exit Date]]), " ")</f>
        <v xml:space="preserve"> </v>
      </c>
      <c r="G2200" t="str">
        <f>IFERROR((Table1[[#This Row],[Exit Year]]-Table1[[#This Row],[Join Year]])+1," ")</f>
        <v xml:space="preserve"> </v>
      </c>
      <c r="H2200" t="s">
        <v>48</v>
      </c>
      <c r="I2200" t="s">
        <v>11</v>
      </c>
      <c r="J2200" t="s">
        <v>18</v>
      </c>
      <c r="K2200">
        <v>31</v>
      </c>
      <c r="L2200" t="str">
        <f>IF(Table1[[#This Row],[Age]]&lt;30,"20-29",
IF(Table1[[#This Row],[Age]]&lt;40,"30-39",
IF(Table1[[#This Row],[Age]]&lt;50,"40-49",
IF(Table1[[#This Row],[Age]]&lt;60,"50-59","60+"))))</f>
        <v>30-39</v>
      </c>
      <c r="M2200" t="s">
        <v>16</v>
      </c>
      <c r="N2200" t="s">
        <v>21</v>
      </c>
    </row>
    <row r="2201" spans="1:14" x14ac:dyDescent="0.35">
      <c r="A2201">
        <v>2300</v>
      </c>
      <c r="B2201" t="s">
        <v>10</v>
      </c>
      <c r="C2201" s="6">
        <v>43297</v>
      </c>
      <c r="D2201">
        <f>YEAR(Table1[[#This Row],[Join Date]])</f>
        <v>2018</v>
      </c>
      <c r="E2201" s="6">
        <v>44682</v>
      </c>
      <c r="F2201">
        <f>IFERROR(YEAR(Table1[[#This Row],[Exit Date]]), " ")</f>
        <v>2022</v>
      </c>
      <c r="G2201">
        <f>IFERROR((Table1[[#This Row],[Exit Year]]-Table1[[#This Row],[Join Year]])+1," ")</f>
        <v>5</v>
      </c>
      <c r="H2201" t="s">
        <v>40</v>
      </c>
      <c r="I2201" t="s">
        <v>23</v>
      </c>
      <c r="J2201" t="s">
        <v>18</v>
      </c>
      <c r="K2201">
        <v>51</v>
      </c>
      <c r="L2201" t="str">
        <f>IF(Table1[[#This Row],[Age]]&lt;30,"20-29",
IF(Table1[[#This Row],[Age]]&lt;40,"30-39",
IF(Table1[[#This Row],[Age]]&lt;50,"40-49",
IF(Table1[[#This Row],[Age]]&lt;60,"50-59","60+"))))</f>
        <v>50-59</v>
      </c>
      <c r="M2201" t="s">
        <v>16</v>
      </c>
      <c r="N2201" t="s">
        <v>37</v>
      </c>
    </row>
    <row r="2202" spans="1:14" x14ac:dyDescent="0.35">
      <c r="A2202">
        <v>2301</v>
      </c>
      <c r="B2202" t="s">
        <v>10</v>
      </c>
      <c r="C2202" s="6">
        <v>43407</v>
      </c>
      <c r="D2202">
        <f>YEAR(Table1[[#This Row],[Join Date]])</f>
        <v>2018</v>
      </c>
      <c r="E2202" s="6" t="s">
        <v>48</v>
      </c>
      <c r="F2202" t="str">
        <f>IFERROR(YEAR(Table1[[#This Row],[Exit Date]]), " ")</f>
        <v xml:space="preserve"> </v>
      </c>
      <c r="G2202" t="str">
        <f>IFERROR((Table1[[#This Row],[Exit Year]]-Table1[[#This Row],[Join Year]])+1," ")</f>
        <v xml:space="preserve"> </v>
      </c>
      <c r="H2202" t="s">
        <v>48</v>
      </c>
      <c r="I2202" t="s">
        <v>11</v>
      </c>
      <c r="J2202" t="s">
        <v>18</v>
      </c>
      <c r="K2202">
        <v>27</v>
      </c>
      <c r="L2202" t="str">
        <f>IF(Table1[[#This Row],[Age]]&lt;30,"20-29",
IF(Table1[[#This Row],[Age]]&lt;40,"30-39",
IF(Table1[[#This Row],[Age]]&lt;50,"40-49",
IF(Table1[[#This Row],[Age]]&lt;60,"50-59","60+"))))</f>
        <v>20-29</v>
      </c>
      <c r="M2202" t="s">
        <v>20</v>
      </c>
      <c r="N2202" t="s">
        <v>25</v>
      </c>
    </row>
    <row r="2203" spans="1:14" x14ac:dyDescent="0.35">
      <c r="A2203">
        <v>2302</v>
      </c>
      <c r="B2203" t="s">
        <v>15</v>
      </c>
      <c r="C2203" s="6">
        <v>44121</v>
      </c>
      <c r="D2203">
        <f>YEAR(Table1[[#This Row],[Join Date]])</f>
        <v>2020</v>
      </c>
      <c r="E2203" s="6" t="s">
        <v>48</v>
      </c>
      <c r="F2203" t="str">
        <f>IFERROR(YEAR(Table1[[#This Row],[Exit Date]]), " ")</f>
        <v xml:space="preserve"> </v>
      </c>
      <c r="G2203" t="str">
        <f>IFERROR((Table1[[#This Row],[Exit Year]]-Table1[[#This Row],[Join Year]])+1," ")</f>
        <v xml:space="preserve"> </v>
      </c>
      <c r="H2203" t="s">
        <v>48</v>
      </c>
      <c r="I2203" t="s">
        <v>11</v>
      </c>
      <c r="J2203" t="s">
        <v>12</v>
      </c>
      <c r="K2203">
        <v>22</v>
      </c>
      <c r="L2203" t="str">
        <f>IF(Table1[[#This Row],[Age]]&lt;30,"20-29",
IF(Table1[[#This Row],[Age]]&lt;40,"30-39",
IF(Table1[[#This Row],[Age]]&lt;50,"40-49",
IF(Table1[[#This Row],[Age]]&lt;60,"50-59","60+"))))</f>
        <v>20-29</v>
      </c>
      <c r="M2203" t="s">
        <v>24</v>
      </c>
      <c r="N2203" t="s">
        <v>35</v>
      </c>
    </row>
    <row r="2204" spans="1:14" x14ac:dyDescent="0.35">
      <c r="A2204">
        <v>2303</v>
      </c>
      <c r="B2204" t="s">
        <v>15</v>
      </c>
      <c r="C2204" s="6">
        <v>44423</v>
      </c>
      <c r="D2204">
        <f>YEAR(Table1[[#This Row],[Join Date]])</f>
        <v>2021</v>
      </c>
      <c r="E2204" s="6" t="s">
        <v>48</v>
      </c>
      <c r="F2204" t="str">
        <f>IFERROR(YEAR(Table1[[#This Row],[Exit Date]]), " ")</f>
        <v xml:space="preserve"> </v>
      </c>
      <c r="G2204" t="str">
        <f>IFERROR((Table1[[#This Row],[Exit Year]]-Table1[[#This Row],[Join Year]])+1," ")</f>
        <v xml:space="preserve"> </v>
      </c>
      <c r="H2204" t="s">
        <v>48</v>
      </c>
      <c r="I2204" t="s">
        <v>11</v>
      </c>
      <c r="J2204" t="s">
        <v>12</v>
      </c>
      <c r="K2204">
        <v>50</v>
      </c>
      <c r="L2204" t="str">
        <f>IF(Table1[[#This Row],[Age]]&lt;30,"20-29",
IF(Table1[[#This Row],[Age]]&lt;40,"30-39",
IF(Table1[[#This Row],[Age]]&lt;50,"40-49",
IF(Table1[[#This Row],[Age]]&lt;60,"50-59","60+"))))</f>
        <v>50-59</v>
      </c>
      <c r="M2204" t="s">
        <v>13</v>
      </c>
      <c r="N2204" t="s">
        <v>19</v>
      </c>
    </row>
    <row r="2205" spans="1:14" x14ac:dyDescent="0.35">
      <c r="A2205">
        <v>2304</v>
      </c>
      <c r="B2205" t="s">
        <v>15</v>
      </c>
      <c r="C2205" s="6">
        <v>45087</v>
      </c>
      <c r="D2205">
        <f>YEAR(Table1[[#This Row],[Join Date]])</f>
        <v>2023</v>
      </c>
      <c r="E2205" s="6" t="s">
        <v>48</v>
      </c>
      <c r="F2205" t="str">
        <f>IFERROR(YEAR(Table1[[#This Row],[Exit Date]]), " ")</f>
        <v xml:space="preserve"> </v>
      </c>
      <c r="G2205" t="str">
        <f>IFERROR((Table1[[#This Row],[Exit Year]]-Table1[[#This Row],[Join Year]])+1," ")</f>
        <v xml:space="preserve"> </v>
      </c>
      <c r="H2205" t="s">
        <v>48</v>
      </c>
      <c r="I2205" t="s">
        <v>11</v>
      </c>
      <c r="J2205" t="s">
        <v>18</v>
      </c>
      <c r="K2205">
        <v>24</v>
      </c>
      <c r="L2205" t="str">
        <f>IF(Table1[[#This Row],[Age]]&lt;30,"20-29",
IF(Table1[[#This Row],[Age]]&lt;40,"30-39",
IF(Table1[[#This Row],[Age]]&lt;50,"40-49",
IF(Table1[[#This Row],[Age]]&lt;60,"50-59","60+"))))</f>
        <v>20-29</v>
      </c>
      <c r="M2205" t="s">
        <v>30</v>
      </c>
      <c r="N2205" t="s">
        <v>21</v>
      </c>
    </row>
    <row r="2206" spans="1:14" x14ac:dyDescent="0.35">
      <c r="A2206">
        <v>2305</v>
      </c>
      <c r="B2206" t="s">
        <v>15</v>
      </c>
      <c r="C2206" s="6">
        <v>43479</v>
      </c>
      <c r="D2206">
        <f>YEAR(Table1[[#This Row],[Join Date]])</f>
        <v>2019</v>
      </c>
      <c r="E2206" s="6">
        <v>44449</v>
      </c>
      <c r="F2206">
        <f>IFERROR(YEAR(Table1[[#This Row],[Exit Date]]), " ")</f>
        <v>2021</v>
      </c>
      <c r="G2206">
        <f>IFERROR((Table1[[#This Row],[Exit Year]]-Table1[[#This Row],[Join Year]])+1," ")</f>
        <v>3</v>
      </c>
      <c r="H2206" t="s">
        <v>22</v>
      </c>
      <c r="I2206" t="s">
        <v>23</v>
      </c>
      <c r="J2206" t="s">
        <v>12</v>
      </c>
      <c r="K2206">
        <v>50</v>
      </c>
      <c r="L2206" t="str">
        <f>IF(Table1[[#This Row],[Age]]&lt;30,"20-29",
IF(Table1[[#This Row],[Age]]&lt;40,"30-39",
IF(Table1[[#This Row],[Age]]&lt;50,"40-49",
IF(Table1[[#This Row],[Age]]&lt;60,"50-59","60+"))))</f>
        <v>50-59</v>
      </c>
      <c r="M2206" t="s">
        <v>13</v>
      </c>
      <c r="N2206" t="s">
        <v>25</v>
      </c>
    </row>
    <row r="2207" spans="1:14" x14ac:dyDescent="0.35">
      <c r="A2207">
        <v>2306</v>
      </c>
      <c r="B2207" t="s">
        <v>26</v>
      </c>
      <c r="C2207" s="6">
        <v>44749</v>
      </c>
      <c r="D2207">
        <f>YEAR(Table1[[#This Row],[Join Date]])</f>
        <v>2022</v>
      </c>
      <c r="E2207" s="6">
        <v>44972</v>
      </c>
      <c r="F2207">
        <f>IFERROR(YEAR(Table1[[#This Row],[Exit Date]]), " ")</f>
        <v>2023</v>
      </c>
      <c r="G2207">
        <f>IFERROR((Table1[[#This Row],[Exit Year]]-Table1[[#This Row],[Join Year]])+1," ")</f>
        <v>2</v>
      </c>
      <c r="H2207" t="s">
        <v>46</v>
      </c>
      <c r="I2207" t="s">
        <v>23</v>
      </c>
      <c r="J2207" t="s">
        <v>12</v>
      </c>
      <c r="K2207">
        <v>28</v>
      </c>
      <c r="L2207" t="str">
        <f>IF(Table1[[#This Row],[Age]]&lt;30,"20-29",
IF(Table1[[#This Row],[Age]]&lt;40,"30-39",
IF(Table1[[#This Row],[Age]]&lt;50,"40-49",
IF(Table1[[#This Row],[Age]]&lt;60,"50-59","60+"))))</f>
        <v>20-29</v>
      </c>
      <c r="M2207" t="s">
        <v>13</v>
      </c>
      <c r="N2207" t="s">
        <v>28</v>
      </c>
    </row>
    <row r="2208" spans="1:14" x14ac:dyDescent="0.35">
      <c r="A2208">
        <v>2307</v>
      </c>
      <c r="B2208" t="s">
        <v>29</v>
      </c>
      <c r="C2208" s="6">
        <v>45457</v>
      </c>
      <c r="D2208">
        <f>YEAR(Table1[[#This Row],[Join Date]])</f>
        <v>2024</v>
      </c>
      <c r="E2208" s="6" t="s">
        <v>48</v>
      </c>
      <c r="F2208" t="str">
        <f>IFERROR(YEAR(Table1[[#This Row],[Exit Date]]), " ")</f>
        <v xml:space="preserve"> </v>
      </c>
      <c r="G2208" t="str">
        <f>IFERROR((Table1[[#This Row],[Exit Year]]-Table1[[#This Row],[Join Year]])+1," ")</f>
        <v xml:space="preserve"> </v>
      </c>
      <c r="H2208" t="s">
        <v>48</v>
      </c>
      <c r="I2208" t="s">
        <v>11</v>
      </c>
      <c r="J2208" t="s">
        <v>18</v>
      </c>
      <c r="K2208">
        <v>40</v>
      </c>
      <c r="L2208" t="str">
        <f>IF(Table1[[#This Row],[Age]]&lt;30,"20-29",
IF(Table1[[#This Row],[Age]]&lt;40,"30-39",
IF(Table1[[#This Row],[Age]]&lt;50,"40-49",
IF(Table1[[#This Row],[Age]]&lt;60,"50-59","60+"))))</f>
        <v>40-49</v>
      </c>
      <c r="M2208" t="s">
        <v>16</v>
      </c>
      <c r="N2208" t="s">
        <v>31</v>
      </c>
    </row>
    <row r="2209" spans="1:14" x14ac:dyDescent="0.35">
      <c r="A2209">
        <v>2308</v>
      </c>
      <c r="B2209" t="s">
        <v>10</v>
      </c>
      <c r="C2209" s="6">
        <v>43304</v>
      </c>
      <c r="D2209">
        <f>YEAR(Table1[[#This Row],[Join Date]])</f>
        <v>2018</v>
      </c>
      <c r="E2209" s="6" t="s">
        <v>48</v>
      </c>
      <c r="F2209" t="str">
        <f>IFERROR(YEAR(Table1[[#This Row],[Exit Date]]), " ")</f>
        <v xml:space="preserve"> </v>
      </c>
      <c r="G2209" t="str">
        <f>IFERROR((Table1[[#This Row],[Exit Year]]-Table1[[#This Row],[Join Year]])+1," ")</f>
        <v xml:space="preserve"> </v>
      </c>
      <c r="H2209" t="s">
        <v>48</v>
      </c>
      <c r="I2209" t="s">
        <v>11</v>
      </c>
      <c r="J2209" t="s">
        <v>12</v>
      </c>
      <c r="K2209">
        <v>32</v>
      </c>
      <c r="L2209" t="str">
        <f>IF(Table1[[#This Row],[Age]]&lt;30,"20-29",
IF(Table1[[#This Row],[Age]]&lt;40,"30-39",
IF(Table1[[#This Row],[Age]]&lt;50,"40-49",
IF(Table1[[#This Row],[Age]]&lt;60,"50-59","60+"))))</f>
        <v>30-39</v>
      </c>
      <c r="M2209" t="s">
        <v>13</v>
      </c>
      <c r="N2209" t="s">
        <v>32</v>
      </c>
    </row>
    <row r="2210" spans="1:14" x14ac:dyDescent="0.35">
      <c r="A2210">
        <v>2309</v>
      </c>
      <c r="B2210" t="s">
        <v>15</v>
      </c>
      <c r="C2210" s="6">
        <v>44987</v>
      </c>
      <c r="D2210">
        <f>YEAR(Table1[[#This Row],[Join Date]])</f>
        <v>2023</v>
      </c>
      <c r="E2210" s="6" t="s">
        <v>48</v>
      </c>
      <c r="F2210" t="str">
        <f>IFERROR(YEAR(Table1[[#This Row],[Exit Date]]), " ")</f>
        <v xml:space="preserve"> </v>
      </c>
      <c r="G2210" t="str">
        <f>IFERROR((Table1[[#This Row],[Exit Year]]-Table1[[#This Row],[Join Year]])+1," ")</f>
        <v xml:space="preserve"> </v>
      </c>
      <c r="H2210" t="s">
        <v>48</v>
      </c>
      <c r="I2210" t="s">
        <v>11</v>
      </c>
      <c r="J2210" t="s">
        <v>12</v>
      </c>
      <c r="K2210">
        <v>50</v>
      </c>
      <c r="L2210" t="str">
        <f>IF(Table1[[#This Row],[Age]]&lt;30,"20-29",
IF(Table1[[#This Row],[Age]]&lt;40,"30-39",
IF(Table1[[#This Row],[Age]]&lt;50,"40-49",
IF(Table1[[#This Row],[Age]]&lt;60,"50-59","60+"))))</f>
        <v>50-59</v>
      </c>
      <c r="M2210" t="s">
        <v>20</v>
      </c>
      <c r="N2210" t="s">
        <v>33</v>
      </c>
    </row>
    <row r="2211" spans="1:14" x14ac:dyDescent="0.35">
      <c r="A2211">
        <v>2310</v>
      </c>
      <c r="B2211" t="s">
        <v>34</v>
      </c>
      <c r="C2211" s="6">
        <v>45326</v>
      </c>
      <c r="D2211">
        <f>YEAR(Table1[[#This Row],[Join Date]])</f>
        <v>2024</v>
      </c>
      <c r="E2211" s="6" t="s">
        <v>48</v>
      </c>
      <c r="F2211" t="str">
        <f>IFERROR(YEAR(Table1[[#This Row],[Exit Date]]), " ")</f>
        <v xml:space="preserve"> </v>
      </c>
      <c r="G2211" t="str">
        <f>IFERROR((Table1[[#This Row],[Exit Year]]-Table1[[#This Row],[Join Year]])+1," ")</f>
        <v xml:space="preserve"> </v>
      </c>
      <c r="H2211" t="s">
        <v>48</v>
      </c>
      <c r="I2211" t="s">
        <v>11</v>
      </c>
      <c r="J2211" t="s">
        <v>12</v>
      </c>
      <c r="K2211">
        <v>24</v>
      </c>
      <c r="L2211" t="str">
        <f>IF(Table1[[#This Row],[Age]]&lt;30,"20-29",
IF(Table1[[#This Row],[Age]]&lt;40,"30-39",
IF(Table1[[#This Row],[Age]]&lt;50,"40-49",
IF(Table1[[#This Row],[Age]]&lt;60,"50-59","60+"))))</f>
        <v>20-29</v>
      </c>
      <c r="M2211" t="s">
        <v>44</v>
      </c>
      <c r="N2211" t="s">
        <v>35</v>
      </c>
    </row>
    <row r="2212" spans="1:14" x14ac:dyDescent="0.35">
      <c r="A2212">
        <v>2311</v>
      </c>
      <c r="B2212" t="s">
        <v>36</v>
      </c>
      <c r="C2212" s="6">
        <v>45474</v>
      </c>
      <c r="D2212">
        <f>YEAR(Table1[[#This Row],[Join Date]])</f>
        <v>2024</v>
      </c>
      <c r="E2212" s="6" t="s">
        <v>48</v>
      </c>
      <c r="F2212" t="str">
        <f>IFERROR(YEAR(Table1[[#This Row],[Exit Date]]), " ")</f>
        <v xml:space="preserve"> </v>
      </c>
      <c r="G2212" t="str">
        <f>IFERROR((Table1[[#This Row],[Exit Year]]-Table1[[#This Row],[Join Year]])+1," ")</f>
        <v xml:space="preserve"> </v>
      </c>
      <c r="H2212" t="s">
        <v>48</v>
      </c>
      <c r="I2212" t="s">
        <v>11</v>
      </c>
      <c r="J2212" t="s">
        <v>18</v>
      </c>
      <c r="K2212">
        <v>36</v>
      </c>
      <c r="L2212" t="str">
        <f>IF(Table1[[#This Row],[Age]]&lt;30,"20-29",
IF(Table1[[#This Row],[Age]]&lt;40,"30-39",
IF(Table1[[#This Row],[Age]]&lt;50,"40-49",
IF(Table1[[#This Row],[Age]]&lt;60,"50-59","60+"))))</f>
        <v>30-39</v>
      </c>
      <c r="M2212" t="s">
        <v>13</v>
      </c>
      <c r="N2212" t="s">
        <v>37</v>
      </c>
    </row>
    <row r="2213" spans="1:14" x14ac:dyDescent="0.35">
      <c r="A2213">
        <v>2312</v>
      </c>
      <c r="B2213" t="s">
        <v>29</v>
      </c>
      <c r="C2213" s="6">
        <v>44227</v>
      </c>
      <c r="D2213">
        <f>YEAR(Table1[[#This Row],[Join Date]])</f>
        <v>2021</v>
      </c>
      <c r="E2213" s="6">
        <v>45322</v>
      </c>
      <c r="F2213">
        <f>IFERROR(YEAR(Table1[[#This Row],[Exit Date]]), " ")</f>
        <v>2024</v>
      </c>
      <c r="G2213">
        <f>IFERROR((Table1[[#This Row],[Exit Year]]-Table1[[#This Row],[Join Year]])+1," ")</f>
        <v>4</v>
      </c>
      <c r="H2213" t="s">
        <v>46</v>
      </c>
      <c r="I2213" t="s">
        <v>23</v>
      </c>
      <c r="J2213" t="s">
        <v>12</v>
      </c>
      <c r="K2213">
        <v>49</v>
      </c>
      <c r="L2213" t="str">
        <f>IF(Table1[[#This Row],[Age]]&lt;30,"20-29",
IF(Table1[[#This Row],[Age]]&lt;40,"30-39",
IF(Table1[[#This Row],[Age]]&lt;50,"40-49",
IF(Table1[[#This Row],[Age]]&lt;60,"50-59","60+"))))</f>
        <v>40-49</v>
      </c>
      <c r="M2213" t="s">
        <v>16</v>
      </c>
      <c r="N2213" t="s">
        <v>19</v>
      </c>
    </row>
    <row r="2214" spans="1:14" x14ac:dyDescent="0.35">
      <c r="A2214">
        <v>2313</v>
      </c>
      <c r="B2214" t="s">
        <v>10</v>
      </c>
      <c r="C2214" s="6">
        <v>43446</v>
      </c>
      <c r="D2214">
        <f>YEAR(Table1[[#This Row],[Join Date]])</f>
        <v>2018</v>
      </c>
      <c r="E2214" s="6">
        <v>43936</v>
      </c>
      <c r="F2214">
        <f>IFERROR(YEAR(Table1[[#This Row],[Exit Date]]), " ")</f>
        <v>2020</v>
      </c>
      <c r="G2214">
        <f>IFERROR((Table1[[#This Row],[Exit Year]]-Table1[[#This Row],[Join Year]])+1," ")</f>
        <v>3</v>
      </c>
      <c r="H2214" t="s">
        <v>38</v>
      </c>
      <c r="I2214" t="s">
        <v>23</v>
      </c>
      <c r="J2214" t="s">
        <v>18</v>
      </c>
      <c r="K2214">
        <v>43</v>
      </c>
      <c r="L2214" t="str">
        <f>IF(Table1[[#This Row],[Age]]&lt;30,"20-29",
IF(Table1[[#This Row],[Age]]&lt;40,"30-39",
IF(Table1[[#This Row],[Age]]&lt;50,"40-49",
IF(Table1[[#This Row],[Age]]&lt;60,"50-59","60+"))))</f>
        <v>40-49</v>
      </c>
      <c r="M2214" t="s">
        <v>16</v>
      </c>
      <c r="N2214" t="s">
        <v>25</v>
      </c>
    </row>
    <row r="2215" spans="1:14" x14ac:dyDescent="0.35">
      <c r="A2215">
        <v>2314</v>
      </c>
      <c r="B2215" t="s">
        <v>15</v>
      </c>
      <c r="C2215" s="6">
        <v>45314</v>
      </c>
      <c r="D2215">
        <f>YEAR(Table1[[#This Row],[Join Date]])</f>
        <v>2024</v>
      </c>
      <c r="E2215" s="6" t="s">
        <v>48</v>
      </c>
      <c r="F2215" t="str">
        <f>IFERROR(YEAR(Table1[[#This Row],[Exit Date]]), " ")</f>
        <v xml:space="preserve"> </v>
      </c>
      <c r="G2215" t="str">
        <f>IFERROR((Table1[[#This Row],[Exit Year]]-Table1[[#This Row],[Join Year]])+1," ")</f>
        <v xml:space="preserve"> </v>
      </c>
      <c r="H2215" t="s">
        <v>48</v>
      </c>
      <c r="I2215" t="s">
        <v>11</v>
      </c>
      <c r="J2215" t="s">
        <v>18</v>
      </c>
      <c r="K2215">
        <v>40</v>
      </c>
      <c r="L2215" t="str">
        <f>IF(Table1[[#This Row],[Age]]&lt;30,"20-29",
IF(Table1[[#This Row],[Age]]&lt;40,"30-39",
IF(Table1[[#This Row],[Age]]&lt;50,"40-49",
IF(Table1[[#This Row],[Age]]&lt;60,"50-59","60+"))))</f>
        <v>40-49</v>
      </c>
      <c r="M2215" t="s">
        <v>20</v>
      </c>
      <c r="N2215" t="s">
        <v>35</v>
      </c>
    </row>
    <row r="2216" spans="1:14" x14ac:dyDescent="0.35">
      <c r="A2216">
        <v>2315</v>
      </c>
      <c r="B2216" t="s">
        <v>15</v>
      </c>
      <c r="C2216" s="6">
        <v>43123</v>
      </c>
      <c r="D2216">
        <f>YEAR(Table1[[#This Row],[Join Date]])</f>
        <v>2018</v>
      </c>
      <c r="E2216" s="6" t="s">
        <v>48</v>
      </c>
      <c r="F2216" t="str">
        <f>IFERROR(YEAR(Table1[[#This Row],[Exit Date]]), " ")</f>
        <v xml:space="preserve"> </v>
      </c>
      <c r="G2216" t="str">
        <f>IFERROR((Table1[[#This Row],[Exit Year]]-Table1[[#This Row],[Join Year]])+1," ")</f>
        <v xml:space="preserve"> </v>
      </c>
      <c r="H2216" t="s">
        <v>48</v>
      </c>
      <c r="I2216" t="s">
        <v>11</v>
      </c>
      <c r="J2216" t="s">
        <v>18</v>
      </c>
      <c r="K2216">
        <v>42</v>
      </c>
      <c r="L2216" t="str">
        <f>IF(Table1[[#This Row],[Age]]&lt;30,"20-29",
IF(Table1[[#This Row],[Age]]&lt;40,"30-39",
IF(Table1[[#This Row],[Age]]&lt;50,"40-49",
IF(Table1[[#This Row],[Age]]&lt;60,"50-59","60+"))))</f>
        <v>40-49</v>
      </c>
      <c r="M2216" t="s">
        <v>24</v>
      </c>
      <c r="N2216" t="s">
        <v>17</v>
      </c>
    </row>
    <row r="2217" spans="1:14" x14ac:dyDescent="0.35">
      <c r="A2217">
        <v>2316</v>
      </c>
      <c r="B2217" t="s">
        <v>10</v>
      </c>
      <c r="C2217" s="6">
        <v>43717</v>
      </c>
      <c r="D2217">
        <f>YEAR(Table1[[#This Row],[Join Date]])</f>
        <v>2019</v>
      </c>
      <c r="E2217" s="6">
        <v>44677</v>
      </c>
      <c r="F2217">
        <f>IFERROR(YEAR(Table1[[#This Row],[Exit Date]]), " ")</f>
        <v>2022</v>
      </c>
      <c r="G2217">
        <f>IFERROR((Table1[[#This Row],[Exit Year]]-Table1[[#This Row],[Join Year]])+1," ")</f>
        <v>4</v>
      </c>
      <c r="H2217" t="s">
        <v>40</v>
      </c>
      <c r="I2217" t="s">
        <v>23</v>
      </c>
      <c r="J2217" t="s">
        <v>12</v>
      </c>
      <c r="K2217">
        <v>35</v>
      </c>
      <c r="L2217" t="str">
        <f>IF(Table1[[#This Row],[Age]]&lt;30,"20-29",
IF(Table1[[#This Row],[Age]]&lt;40,"30-39",
IF(Table1[[#This Row],[Age]]&lt;50,"40-49",
IF(Table1[[#This Row],[Age]]&lt;60,"50-59","60+"))))</f>
        <v>30-39</v>
      </c>
      <c r="M2217" t="s">
        <v>13</v>
      </c>
      <c r="N2217" t="s">
        <v>19</v>
      </c>
    </row>
    <row r="2218" spans="1:14" x14ac:dyDescent="0.35">
      <c r="A2218">
        <v>2317</v>
      </c>
      <c r="B2218" t="s">
        <v>29</v>
      </c>
      <c r="C2218" s="6">
        <v>43534</v>
      </c>
      <c r="D2218">
        <f>YEAR(Table1[[#This Row],[Join Date]])</f>
        <v>2019</v>
      </c>
      <c r="E2218" s="6">
        <v>44117</v>
      </c>
      <c r="F2218">
        <f>IFERROR(YEAR(Table1[[#This Row],[Exit Date]]), " ")</f>
        <v>2020</v>
      </c>
      <c r="G2218">
        <f>IFERROR((Table1[[#This Row],[Exit Year]]-Table1[[#This Row],[Join Year]])+1," ")</f>
        <v>2</v>
      </c>
      <c r="H2218" t="s">
        <v>46</v>
      </c>
      <c r="I2218" t="s">
        <v>23</v>
      </c>
      <c r="J2218" t="s">
        <v>12</v>
      </c>
      <c r="K2218">
        <v>31</v>
      </c>
      <c r="L2218" t="str">
        <f>IF(Table1[[#This Row],[Age]]&lt;30,"20-29",
IF(Table1[[#This Row],[Age]]&lt;40,"30-39",
IF(Table1[[#This Row],[Age]]&lt;50,"40-49",
IF(Table1[[#This Row],[Age]]&lt;60,"50-59","60+"))))</f>
        <v>30-39</v>
      </c>
      <c r="M2218" t="s">
        <v>44</v>
      </c>
      <c r="N2218" t="s">
        <v>21</v>
      </c>
    </row>
    <row r="2219" spans="1:14" x14ac:dyDescent="0.35">
      <c r="A2219">
        <v>2318</v>
      </c>
      <c r="B2219" t="s">
        <v>36</v>
      </c>
      <c r="C2219" s="6">
        <v>44619</v>
      </c>
      <c r="D2219">
        <f>YEAR(Table1[[#This Row],[Join Date]])</f>
        <v>2022</v>
      </c>
      <c r="E2219" s="6" t="s">
        <v>48</v>
      </c>
      <c r="F2219" t="str">
        <f>IFERROR(YEAR(Table1[[#This Row],[Exit Date]]), " ")</f>
        <v xml:space="preserve"> </v>
      </c>
      <c r="G2219" t="str">
        <f>IFERROR((Table1[[#This Row],[Exit Year]]-Table1[[#This Row],[Join Year]])+1," ")</f>
        <v xml:space="preserve"> </v>
      </c>
      <c r="H2219" t="s">
        <v>48</v>
      </c>
      <c r="I2219" t="s">
        <v>11</v>
      </c>
      <c r="J2219" t="s">
        <v>18</v>
      </c>
      <c r="K2219">
        <v>51</v>
      </c>
      <c r="L2219" t="str">
        <f>IF(Table1[[#This Row],[Age]]&lt;30,"20-29",
IF(Table1[[#This Row],[Age]]&lt;40,"30-39",
IF(Table1[[#This Row],[Age]]&lt;50,"40-49",
IF(Table1[[#This Row],[Age]]&lt;60,"50-59","60+"))))</f>
        <v>50-59</v>
      </c>
      <c r="M2219" t="s">
        <v>13</v>
      </c>
      <c r="N2219" t="s">
        <v>25</v>
      </c>
    </row>
    <row r="2220" spans="1:14" x14ac:dyDescent="0.35">
      <c r="A2220">
        <v>2319</v>
      </c>
      <c r="B2220" t="s">
        <v>10</v>
      </c>
      <c r="C2220" s="6">
        <v>45485</v>
      </c>
      <c r="D2220">
        <f>YEAR(Table1[[#This Row],[Join Date]])</f>
        <v>2024</v>
      </c>
      <c r="E2220" s="6" t="s">
        <v>48</v>
      </c>
      <c r="F2220" t="str">
        <f>IFERROR(YEAR(Table1[[#This Row],[Exit Date]]), " ")</f>
        <v xml:space="preserve"> </v>
      </c>
      <c r="G2220" t="str">
        <f>IFERROR((Table1[[#This Row],[Exit Year]]-Table1[[#This Row],[Join Year]])+1," ")</f>
        <v xml:space="preserve"> </v>
      </c>
      <c r="H2220" t="s">
        <v>48</v>
      </c>
      <c r="I2220" t="s">
        <v>11</v>
      </c>
      <c r="J2220" t="s">
        <v>18</v>
      </c>
      <c r="K2220">
        <v>48</v>
      </c>
      <c r="L2220" t="str">
        <f>IF(Table1[[#This Row],[Age]]&lt;30,"20-29",
IF(Table1[[#This Row],[Age]]&lt;40,"30-39",
IF(Table1[[#This Row],[Age]]&lt;50,"40-49",
IF(Table1[[#This Row],[Age]]&lt;60,"50-59","60+"))))</f>
        <v>40-49</v>
      </c>
      <c r="M2220" t="s">
        <v>13</v>
      </c>
      <c r="N2220" t="s">
        <v>35</v>
      </c>
    </row>
    <row r="2221" spans="1:14" x14ac:dyDescent="0.35">
      <c r="A2221">
        <v>2320</v>
      </c>
      <c r="B2221" t="s">
        <v>29</v>
      </c>
      <c r="C2221" s="6">
        <v>43588</v>
      </c>
      <c r="D2221">
        <f>YEAR(Table1[[#This Row],[Join Date]])</f>
        <v>2019</v>
      </c>
      <c r="E2221" s="6">
        <v>44896</v>
      </c>
      <c r="F2221">
        <f>IFERROR(YEAR(Table1[[#This Row],[Exit Date]]), " ")</f>
        <v>2022</v>
      </c>
      <c r="G2221">
        <f>IFERROR((Table1[[#This Row],[Exit Year]]-Table1[[#This Row],[Join Year]])+1," ")</f>
        <v>4</v>
      </c>
      <c r="H2221" t="s">
        <v>41</v>
      </c>
      <c r="I2221" t="s">
        <v>23</v>
      </c>
      <c r="J2221" t="s">
        <v>12</v>
      </c>
      <c r="K2221">
        <v>41</v>
      </c>
      <c r="L2221" t="str">
        <f>IF(Table1[[#This Row],[Age]]&lt;30,"20-29",
IF(Table1[[#This Row],[Age]]&lt;40,"30-39",
IF(Table1[[#This Row],[Age]]&lt;50,"40-49",
IF(Table1[[#This Row],[Age]]&lt;60,"50-59","60+"))))</f>
        <v>40-49</v>
      </c>
      <c r="M2221" t="s">
        <v>16</v>
      </c>
      <c r="N2221" t="s">
        <v>14</v>
      </c>
    </row>
    <row r="2222" spans="1:14" x14ac:dyDescent="0.35">
      <c r="A2222">
        <v>2321</v>
      </c>
      <c r="B2222" t="s">
        <v>36</v>
      </c>
      <c r="C2222" s="6">
        <v>44250</v>
      </c>
      <c r="D2222">
        <f>YEAR(Table1[[#This Row],[Join Date]])</f>
        <v>2021</v>
      </c>
      <c r="E2222" s="6">
        <v>45392</v>
      </c>
      <c r="F2222">
        <f>IFERROR(YEAR(Table1[[#This Row],[Exit Date]]), " ")</f>
        <v>2024</v>
      </c>
      <c r="G2222">
        <f>IFERROR((Table1[[#This Row],[Exit Year]]-Table1[[#This Row],[Join Year]])+1," ")</f>
        <v>4</v>
      </c>
      <c r="H2222" t="s">
        <v>46</v>
      </c>
      <c r="I2222" t="s">
        <v>23</v>
      </c>
      <c r="J2222" t="s">
        <v>12</v>
      </c>
      <c r="K2222">
        <v>35</v>
      </c>
      <c r="L2222" t="str">
        <f>IF(Table1[[#This Row],[Age]]&lt;30,"20-29",
IF(Table1[[#This Row],[Age]]&lt;40,"30-39",
IF(Table1[[#This Row],[Age]]&lt;50,"40-49",
IF(Table1[[#This Row],[Age]]&lt;60,"50-59","60+"))))</f>
        <v>30-39</v>
      </c>
      <c r="M2222" t="s">
        <v>13</v>
      </c>
      <c r="N2222" t="s">
        <v>19</v>
      </c>
    </row>
    <row r="2223" spans="1:14" x14ac:dyDescent="0.35">
      <c r="A2223">
        <v>2322</v>
      </c>
      <c r="B2223" t="s">
        <v>26</v>
      </c>
      <c r="C2223" s="6">
        <v>45244</v>
      </c>
      <c r="D2223">
        <f>YEAR(Table1[[#This Row],[Join Date]])</f>
        <v>2023</v>
      </c>
      <c r="E2223" s="6">
        <v>45446</v>
      </c>
      <c r="F2223">
        <f>IFERROR(YEAR(Table1[[#This Row],[Exit Date]]), " ")</f>
        <v>2024</v>
      </c>
      <c r="G2223">
        <f>IFERROR((Table1[[#This Row],[Exit Year]]-Table1[[#This Row],[Join Year]])+1," ")</f>
        <v>2</v>
      </c>
      <c r="H2223" t="s">
        <v>40</v>
      </c>
      <c r="I2223" t="s">
        <v>23</v>
      </c>
      <c r="J2223" t="s">
        <v>12</v>
      </c>
      <c r="K2223">
        <v>24</v>
      </c>
      <c r="L2223" t="str">
        <f>IF(Table1[[#This Row],[Age]]&lt;30,"20-29",
IF(Table1[[#This Row],[Age]]&lt;40,"30-39",
IF(Table1[[#This Row],[Age]]&lt;50,"40-49",
IF(Table1[[#This Row],[Age]]&lt;60,"50-59","60+"))))</f>
        <v>20-29</v>
      </c>
      <c r="M2223" t="s">
        <v>20</v>
      </c>
      <c r="N2223" t="s">
        <v>21</v>
      </c>
    </row>
    <row r="2224" spans="1:14" x14ac:dyDescent="0.35">
      <c r="A2224">
        <v>2323</v>
      </c>
      <c r="B2224" t="s">
        <v>15</v>
      </c>
      <c r="C2224" s="6">
        <v>45256</v>
      </c>
      <c r="D2224">
        <f>YEAR(Table1[[#This Row],[Join Date]])</f>
        <v>2023</v>
      </c>
      <c r="E2224" s="6" t="s">
        <v>48</v>
      </c>
      <c r="F2224" t="str">
        <f>IFERROR(YEAR(Table1[[#This Row],[Exit Date]]), " ")</f>
        <v xml:space="preserve"> </v>
      </c>
      <c r="G2224" t="str">
        <f>IFERROR((Table1[[#This Row],[Exit Year]]-Table1[[#This Row],[Join Year]])+1," ")</f>
        <v xml:space="preserve"> </v>
      </c>
      <c r="H2224" t="s">
        <v>48</v>
      </c>
      <c r="I2224" t="s">
        <v>11</v>
      </c>
      <c r="J2224" t="s">
        <v>12</v>
      </c>
      <c r="K2224">
        <v>41</v>
      </c>
      <c r="L2224" t="str">
        <f>IF(Table1[[#This Row],[Age]]&lt;30,"20-29",
IF(Table1[[#This Row],[Age]]&lt;40,"30-39",
IF(Table1[[#This Row],[Age]]&lt;50,"40-49",
IF(Table1[[#This Row],[Age]]&lt;60,"50-59","60+"))))</f>
        <v>40-49</v>
      </c>
      <c r="M2224" t="s">
        <v>39</v>
      </c>
      <c r="N2224" t="s">
        <v>37</v>
      </c>
    </row>
    <row r="2225" spans="1:14" x14ac:dyDescent="0.35">
      <c r="A2225">
        <v>2324</v>
      </c>
      <c r="B2225" t="s">
        <v>26</v>
      </c>
      <c r="C2225" s="6">
        <v>45465</v>
      </c>
      <c r="D2225">
        <f>YEAR(Table1[[#This Row],[Join Date]])</f>
        <v>2024</v>
      </c>
      <c r="E2225" s="6" t="s">
        <v>48</v>
      </c>
      <c r="F2225" t="str">
        <f>IFERROR(YEAR(Table1[[#This Row],[Exit Date]]), " ")</f>
        <v xml:space="preserve"> </v>
      </c>
      <c r="G2225" t="str">
        <f>IFERROR((Table1[[#This Row],[Exit Year]]-Table1[[#This Row],[Join Year]])+1," ")</f>
        <v xml:space="preserve"> </v>
      </c>
      <c r="H2225" t="s">
        <v>48</v>
      </c>
      <c r="I2225" t="s">
        <v>11</v>
      </c>
      <c r="J2225" t="s">
        <v>18</v>
      </c>
      <c r="K2225">
        <v>40</v>
      </c>
      <c r="L2225" t="str">
        <f>IF(Table1[[#This Row],[Age]]&lt;30,"20-29",
IF(Table1[[#This Row],[Age]]&lt;40,"30-39",
IF(Table1[[#This Row],[Age]]&lt;50,"40-49",
IF(Table1[[#This Row],[Age]]&lt;60,"50-59","60+"))))</f>
        <v>40-49</v>
      </c>
      <c r="M2225" t="s">
        <v>13</v>
      </c>
      <c r="N2225" t="s">
        <v>25</v>
      </c>
    </row>
    <row r="2226" spans="1:14" x14ac:dyDescent="0.35">
      <c r="A2226">
        <v>2325</v>
      </c>
      <c r="B2226" t="s">
        <v>10</v>
      </c>
      <c r="C2226" s="6">
        <v>43597</v>
      </c>
      <c r="D2226">
        <f>YEAR(Table1[[#This Row],[Join Date]])</f>
        <v>2019</v>
      </c>
      <c r="E2226" s="6" t="s">
        <v>48</v>
      </c>
      <c r="F2226" t="str">
        <f>IFERROR(YEAR(Table1[[#This Row],[Exit Date]]), " ")</f>
        <v xml:space="preserve"> </v>
      </c>
      <c r="G2226" t="str">
        <f>IFERROR((Table1[[#This Row],[Exit Year]]-Table1[[#This Row],[Join Year]])+1," ")</f>
        <v xml:space="preserve"> </v>
      </c>
      <c r="H2226" t="s">
        <v>48</v>
      </c>
      <c r="I2226" t="s">
        <v>11</v>
      </c>
      <c r="J2226" t="s">
        <v>12</v>
      </c>
      <c r="K2226">
        <v>48</v>
      </c>
      <c r="L2226" t="str">
        <f>IF(Table1[[#This Row],[Age]]&lt;30,"20-29",
IF(Table1[[#This Row],[Age]]&lt;40,"30-39",
IF(Table1[[#This Row],[Age]]&lt;50,"40-49",
IF(Table1[[#This Row],[Age]]&lt;60,"50-59","60+"))))</f>
        <v>40-49</v>
      </c>
      <c r="M2226" t="s">
        <v>16</v>
      </c>
      <c r="N2226" t="s">
        <v>35</v>
      </c>
    </row>
    <row r="2227" spans="1:14" x14ac:dyDescent="0.35">
      <c r="A2227">
        <v>2326</v>
      </c>
      <c r="B2227" t="s">
        <v>15</v>
      </c>
      <c r="C2227" s="6">
        <v>44866</v>
      </c>
      <c r="D2227">
        <f>YEAR(Table1[[#This Row],[Join Date]])</f>
        <v>2022</v>
      </c>
      <c r="E2227" s="6" t="s">
        <v>48</v>
      </c>
      <c r="F2227" t="str">
        <f>IFERROR(YEAR(Table1[[#This Row],[Exit Date]]), " ")</f>
        <v xml:space="preserve"> </v>
      </c>
      <c r="G2227" t="str">
        <f>IFERROR((Table1[[#This Row],[Exit Year]]-Table1[[#This Row],[Join Year]])+1," ")</f>
        <v xml:space="preserve"> </v>
      </c>
      <c r="H2227" t="s">
        <v>48</v>
      </c>
      <c r="I2227" t="s">
        <v>11</v>
      </c>
      <c r="J2227" t="s">
        <v>18</v>
      </c>
      <c r="K2227">
        <v>52</v>
      </c>
      <c r="L2227" t="str">
        <f>IF(Table1[[#This Row],[Age]]&lt;30,"20-29",
IF(Table1[[#This Row],[Age]]&lt;40,"30-39",
IF(Table1[[#This Row],[Age]]&lt;50,"40-49",
IF(Table1[[#This Row],[Age]]&lt;60,"50-59","60+"))))</f>
        <v>50-59</v>
      </c>
      <c r="M2227" t="s">
        <v>16</v>
      </c>
      <c r="N2227" t="s">
        <v>14</v>
      </c>
    </row>
    <row r="2228" spans="1:14" x14ac:dyDescent="0.35">
      <c r="A2228">
        <v>2327</v>
      </c>
      <c r="B2228" t="s">
        <v>34</v>
      </c>
      <c r="C2228" s="6">
        <v>44006</v>
      </c>
      <c r="D2228">
        <f>YEAR(Table1[[#This Row],[Join Date]])</f>
        <v>2020</v>
      </c>
      <c r="E2228" s="6">
        <v>44463</v>
      </c>
      <c r="F2228">
        <f>IFERROR(YEAR(Table1[[#This Row],[Exit Date]]), " ")</f>
        <v>2021</v>
      </c>
      <c r="G2228">
        <f>IFERROR((Table1[[#This Row],[Exit Year]]-Table1[[#This Row],[Join Year]])+1," ")</f>
        <v>2</v>
      </c>
      <c r="H2228" t="s">
        <v>43</v>
      </c>
      <c r="I2228" t="s">
        <v>23</v>
      </c>
      <c r="J2228" t="s">
        <v>18</v>
      </c>
      <c r="K2228">
        <v>33</v>
      </c>
      <c r="L2228" t="str">
        <f>IF(Table1[[#This Row],[Age]]&lt;30,"20-29",
IF(Table1[[#This Row],[Age]]&lt;40,"30-39",
IF(Table1[[#This Row],[Age]]&lt;50,"40-49",
IF(Table1[[#This Row],[Age]]&lt;60,"50-59","60+"))))</f>
        <v>30-39</v>
      </c>
      <c r="M2228" t="s">
        <v>20</v>
      </c>
      <c r="N2228" t="s">
        <v>17</v>
      </c>
    </row>
    <row r="2229" spans="1:14" x14ac:dyDescent="0.35">
      <c r="A2229">
        <v>2328</v>
      </c>
      <c r="B2229" t="s">
        <v>26</v>
      </c>
      <c r="C2229" s="6">
        <v>45095</v>
      </c>
      <c r="D2229">
        <f>YEAR(Table1[[#This Row],[Join Date]])</f>
        <v>2023</v>
      </c>
      <c r="E2229" s="6" t="s">
        <v>48</v>
      </c>
      <c r="F2229" t="str">
        <f>IFERROR(YEAR(Table1[[#This Row],[Exit Date]]), " ")</f>
        <v xml:space="preserve"> </v>
      </c>
      <c r="G2229" t="str">
        <f>IFERROR((Table1[[#This Row],[Exit Year]]-Table1[[#This Row],[Join Year]])+1," ")</f>
        <v xml:space="preserve"> </v>
      </c>
      <c r="H2229" t="s">
        <v>48</v>
      </c>
      <c r="I2229" t="s">
        <v>11</v>
      </c>
      <c r="J2229" t="s">
        <v>12</v>
      </c>
      <c r="K2229">
        <v>51</v>
      </c>
      <c r="L2229" t="str">
        <f>IF(Table1[[#This Row],[Age]]&lt;30,"20-29",
IF(Table1[[#This Row],[Age]]&lt;40,"30-39",
IF(Table1[[#This Row],[Age]]&lt;50,"40-49",
IF(Table1[[#This Row],[Age]]&lt;60,"50-59","60+"))))</f>
        <v>50-59</v>
      </c>
      <c r="M2229" t="s">
        <v>24</v>
      </c>
      <c r="N2229" t="s">
        <v>19</v>
      </c>
    </row>
    <row r="2230" spans="1:14" x14ac:dyDescent="0.35">
      <c r="A2230">
        <v>2329</v>
      </c>
      <c r="B2230" t="s">
        <v>10</v>
      </c>
      <c r="C2230" s="6">
        <v>44360</v>
      </c>
      <c r="D2230">
        <f>YEAR(Table1[[#This Row],[Join Date]])</f>
        <v>2021</v>
      </c>
      <c r="E2230" s="6">
        <v>44755</v>
      </c>
      <c r="F2230">
        <f>IFERROR(YEAR(Table1[[#This Row],[Exit Date]]), " ")</f>
        <v>2022</v>
      </c>
      <c r="G2230">
        <f>IFERROR((Table1[[#This Row],[Exit Year]]-Table1[[#This Row],[Join Year]])+1," ")</f>
        <v>2</v>
      </c>
      <c r="H2230" t="s">
        <v>38</v>
      </c>
      <c r="I2230" t="s">
        <v>23</v>
      </c>
      <c r="J2230" t="s">
        <v>12</v>
      </c>
      <c r="K2230">
        <v>46</v>
      </c>
      <c r="L2230" t="str">
        <f>IF(Table1[[#This Row],[Age]]&lt;30,"20-29",
IF(Table1[[#This Row],[Age]]&lt;40,"30-39",
IF(Table1[[#This Row],[Age]]&lt;50,"40-49",
IF(Table1[[#This Row],[Age]]&lt;60,"50-59","60+"))))</f>
        <v>40-49</v>
      </c>
      <c r="M2230" t="s">
        <v>13</v>
      </c>
      <c r="N2230" t="s">
        <v>21</v>
      </c>
    </row>
    <row r="2231" spans="1:14" x14ac:dyDescent="0.35">
      <c r="A2231">
        <v>2330</v>
      </c>
      <c r="B2231" t="s">
        <v>26</v>
      </c>
      <c r="C2231" s="6">
        <v>43419</v>
      </c>
      <c r="D2231">
        <f>YEAR(Table1[[#This Row],[Join Date]])</f>
        <v>2018</v>
      </c>
      <c r="E2231" s="6">
        <v>44303</v>
      </c>
      <c r="F2231">
        <f>IFERROR(YEAR(Table1[[#This Row],[Exit Date]]), " ")</f>
        <v>2021</v>
      </c>
      <c r="G2231">
        <f>IFERROR((Table1[[#This Row],[Exit Year]]-Table1[[#This Row],[Join Year]])+1," ")</f>
        <v>4</v>
      </c>
      <c r="H2231" t="s">
        <v>22</v>
      </c>
      <c r="I2231" t="s">
        <v>23</v>
      </c>
      <c r="J2231" t="s">
        <v>12</v>
      </c>
      <c r="K2231">
        <v>53</v>
      </c>
      <c r="L2231" t="str">
        <f>IF(Table1[[#This Row],[Age]]&lt;30,"20-29",
IF(Table1[[#This Row],[Age]]&lt;40,"30-39",
IF(Table1[[#This Row],[Age]]&lt;50,"40-49",
IF(Table1[[#This Row],[Age]]&lt;60,"50-59","60+"))))</f>
        <v>50-59</v>
      </c>
      <c r="M2231" t="s">
        <v>42</v>
      </c>
      <c r="N2231" t="s">
        <v>25</v>
      </c>
    </row>
    <row r="2232" spans="1:14" x14ac:dyDescent="0.35">
      <c r="A2232">
        <v>2331</v>
      </c>
      <c r="B2232" t="s">
        <v>36</v>
      </c>
      <c r="C2232" s="6">
        <v>44249</v>
      </c>
      <c r="D2232">
        <f>YEAR(Table1[[#This Row],[Join Date]])</f>
        <v>2021</v>
      </c>
      <c r="E2232" s="6" t="s">
        <v>48</v>
      </c>
      <c r="F2232" t="str">
        <f>IFERROR(YEAR(Table1[[#This Row],[Exit Date]]), " ")</f>
        <v xml:space="preserve"> </v>
      </c>
      <c r="G2232" t="str">
        <f>IFERROR((Table1[[#This Row],[Exit Year]]-Table1[[#This Row],[Join Year]])+1," ")</f>
        <v xml:space="preserve"> </v>
      </c>
      <c r="H2232" t="s">
        <v>48</v>
      </c>
      <c r="I2232" t="s">
        <v>11</v>
      </c>
      <c r="J2232" t="s">
        <v>18</v>
      </c>
      <c r="K2232">
        <v>35</v>
      </c>
      <c r="L2232" t="str">
        <f>IF(Table1[[#This Row],[Age]]&lt;30,"20-29",
IF(Table1[[#This Row],[Age]]&lt;40,"30-39",
IF(Table1[[#This Row],[Age]]&lt;50,"40-49",
IF(Table1[[#This Row],[Age]]&lt;60,"50-59","60+"))))</f>
        <v>30-39</v>
      </c>
      <c r="M2232" t="s">
        <v>13</v>
      </c>
      <c r="N2232" t="s">
        <v>28</v>
      </c>
    </row>
    <row r="2233" spans="1:14" x14ac:dyDescent="0.35">
      <c r="A2233">
        <v>2332</v>
      </c>
      <c r="B2233" t="s">
        <v>10</v>
      </c>
      <c r="C2233" s="6">
        <v>45533</v>
      </c>
      <c r="D2233">
        <f>YEAR(Table1[[#This Row],[Join Date]])</f>
        <v>2024</v>
      </c>
      <c r="E2233" s="6" t="s">
        <v>48</v>
      </c>
      <c r="F2233" t="str">
        <f>IFERROR(YEAR(Table1[[#This Row],[Exit Date]]), " ")</f>
        <v xml:space="preserve"> </v>
      </c>
      <c r="G2233" t="str">
        <f>IFERROR((Table1[[#This Row],[Exit Year]]-Table1[[#This Row],[Join Year]])+1," ")</f>
        <v xml:space="preserve"> </v>
      </c>
      <c r="H2233" t="s">
        <v>48</v>
      </c>
      <c r="I2233" t="s">
        <v>11</v>
      </c>
      <c r="J2233" t="s">
        <v>12</v>
      </c>
      <c r="K2233">
        <v>32</v>
      </c>
      <c r="L2233" t="str">
        <f>IF(Table1[[#This Row],[Age]]&lt;30,"20-29",
IF(Table1[[#This Row],[Age]]&lt;40,"30-39",
IF(Table1[[#This Row],[Age]]&lt;50,"40-49",
IF(Table1[[#This Row],[Age]]&lt;60,"50-59","60+"))))</f>
        <v>30-39</v>
      </c>
      <c r="M2233" t="s">
        <v>13</v>
      </c>
      <c r="N2233" t="s">
        <v>31</v>
      </c>
    </row>
    <row r="2234" spans="1:14" x14ac:dyDescent="0.35">
      <c r="A2234">
        <v>2333</v>
      </c>
      <c r="B2234" t="s">
        <v>36</v>
      </c>
      <c r="C2234" s="6">
        <v>44377</v>
      </c>
      <c r="D2234">
        <f>YEAR(Table1[[#This Row],[Join Date]])</f>
        <v>2021</v>
      </c>
      <c r="E2234" s="6" t="s">
        <v>48</v>
      </c>
      <c r="F2234" t="str">
        <f>IFERROR(YEAR(Table1[[#This Row],[Exit Date]]), " ")</f>
        <v xml:space="preserve"> </v>
      </c>
      <c r="G2234" t="str">
        <f>IFERROR((Table1[[#This Row],[Exit Year]]-Table1[[#This Row],[Join Year]])+1," ")</f>
        <v xml:space="preserve"> </v>
      </c>
      <c r="H2234" t="s">
        <v>48</v>
      </c>
      <c r="I2234" t="s">
        <v>11</v>
      </c>
      <c r="J2234" t="s">
        <v>18</v>
      </c>
      <c r="K2234">
        <v>46</v>
      </c>
      <c r="L2234" t="str">
        <f>IF(Table1[[#This Row],[Age]]&lt;30,"20-29",
IF(Table1[[#This Row],[Age]]&lt;40,"30-39",
IF(Table1[[#This Row],[Age]]&lt;50,"40-49",
IF(Table1[[#This Row],[Age]]&lt;60,"50-59","60+"))))</f>
        <v>40-49</v>
      </c>
      <c r="M2234" t="s">
        <v>16</v>
      </c>
      <c r="N2234" t="s">
        <v>32</v>
      </c>
    </row>
    <row r="2235" spans="1:14" x14ac:dyDescent="0.35">
      <c r="A2235">
        <v>2334</v>
      </c>
      <c r="B2235" t="s">
        <v>10</v>
      </c>
      <c r="C2235" s="6">
        <v>44088</v>
      </c>
      <c r="D2235">
        <f>YEAR(Table1[[#This Row],[Join Date]])</f>
        <v>2020</v>
      </c>
      <c r="E2235" s="6" t="s">
        <v>48</v>
      </c>
      <c r="F2235" t="str">
        <f>IFERROR(YEAR(Table1[[#This Row],[Exit Date]]), " ")</f>
        <v xml:space="preserve"> </v>
      </c>
      <c r="G2235" t="str">
        <f>IFERROR((Table1[[#This Row],[Exit Year]]-Table1[[#This Row],[Join Year]])+1," ")</f>
        <v xml:space="preserve"> </v>
      </c>
      <c r="H2235" t="s">
        <v>48</v>
      </c>
      <c r="I2235" t="s">
        <v>11</v>
      </c>
      <c r="J2235" t="s">
        <v>12</v>
      </c>
      <c r="K2235">
        <v>50</v>
      </c>
      <c r="L2235" t="str">
        <f>IF(Table1[[#This Row],[Age]]&lt;30,"20-29",
IF(Table1[[#This Row],[Age]]&lt;40,"30-39",
IF(Table1[[#This Row],[Age]]&lt;50,"40-49",
IF(Table1[[#This Row],[Age]]&lt;60,"50-59","60+"))))</f>
        <v>50-59</v>
      </c>
      <c r="M2235" t="s">
        <v>13</v>
      </c>
      <c r="N2235" t="s">
        <v>33</v>
      </c>
    </row>
    <row r="2236" spans="1:14" x14ac:dyDescent="0.35">
      <c r="A2236">
        <v>2335</v>
      </c>
      <c r="B2236" t="s">
        <v>26</v>
      </c>
      <c r="C2236" s="6">
        <v>43373</v>
      </c>
      <c r="D2236">
        <f>YEAR(Table1[[#This Row],[Join Date]])</f>
        <v>2018</v>
      </c>
      <c r="E2236" s="6">
        <v>44825</v>
      </c>
      <c r="F2236">
        <f>IFERROR(YEAR(Table1[[#This Row],[Exit Date]]), " ")</f>
        <v>2022</v>
      </c>
      <c r="G2236">
        <f>IFERROR((Table1[[#This Row],[Exit Year]]-Table1[[#This Row],[Join Year]])+1," ")</f>
        <v>5</v>
      </c>
      <c r="H2236" t="s">
        <v>27</v>
      </c>
      <c r="I2236" t="s">
        <v>23</v>
      </c>
      <c r="J2236" t="s">
        <v>12</v>
      </c>
      <c r="K2236">
        <v>63</v>
      </c>
      <c r="L2236" t="str">
        <f>IF(Table1[[#This Row],[Age]]&lt;30,"20-29",
IF(Table1[[#This Row],[Age]]&lt;40,"30-39",
IF(Table1[[#This Row],[Age]]&lt;50,"40-49",
IF(Table1[[#This Row],[Age]]&lt;60,"50-59","60+"))))</f>
        <v>60+</v>
      </c>
      <c r="M2236" t="s">
        <v>20</v>
      </c>
      <c r="N2236" t="s">
        <v>35</v>
      </c>
    </row>
    <row r="2237" spans="1:14" x14ac:dyDescent="0.35">
      <c r="A2237">
        <v>2336</v>
      </c>
      <c r="B2237" t="s">
        <v>26</v>
      </c>
      <c r="C2237" s="6">
        <v>43314</v>
      </c>
      <c r="D2237">
        <f>YEAR(Table1[[#This Row],[Join Date]])</f>
        <v>2018</v>
      </c>
      <c r="E2237" s="6" t="s">
        <v>48</v>
      </c>
      <c r="F2237" t="str">
        <f>IFERROR(YEAR(Table1[[#This Row],[Exit Date]]), " ")</f>
        <v xml:space="preserve"> </v>
      </c>
      <c r="G2237" t="str">
        <f>IFERROR((Table1[[#This Row],[Exit Year]]-Table1[[#This Row],[Join Year]])+1," ")</f>
        <v xml:space="preserve"> </v>
      </c>
      <c r="H2237" t="s">
        <v>48</v>
      </c>
      <c r="I2237" t="s">
        <v>11</v>
      </c>
      <c r="J2237" t="s">
        <v>18</v>
      </c>
      <c r="K2237">
        <v>29</v>
      </c>
      <c r="L2237" t="str">
        <f>IF(Table1[[#This Row],[Age]]&lt;30,"20-29",
IF(Table1[[#This Row],[Age]]&lt;40,"30-39",
IF(Table1[[#This Row],[Age]]&lt;50,"40-49",
IF(Table1[[#This Row],[Age]]&lt;60,"50-59","60+"))))</f>
        <v>20-29</v>
      </c>
      <c r="M2237" t="s">
        <v>44</v>
      </c>
      <c r="N2237" t="s">
        <v>37</v>
      </c>
    </row>
    <row r="2238" spans="1:14" x14ac:dyDescent="0.35">
      <c r="A2238">
        <v>2337</v>
      </c>
      <c r="B2238" t="s">
        <v>26</v>
      </c>
      <c r="C2238" s="6">
        <v>44418</v>
      </c>
      <c r="D2238">
        <f>YEAR(Table1[[#This Row],[Join Date]])</f>
        <v>2021</v>
      </c>
      <c r="E2238" s="6">
        <v>45628</v>
      </c>
      <c r="F2238">
        <f>IFERROR(YEAR(Table1[[#This Row],[Exit Date]]), " ")</f>
        <v>2024</v>
      </c>
      <c r="G2238">
        <f>IFERROR((Table1[[#This Row],[Exit Year]]-Table1[[#This Row],[Join Year]])+1," ")</f>
        <v>4</v>
      </c>
      <c r="H2238" t="s">
        <v>22</v>
      </c>
      <c r="I2238" t="s">
        <v>23</v>
      </c>
      <c r="J2238" t="s">
        <v>18</v>
      </c>
      <c r="K2238">
        <v>27</v>
      </c>
      <c r="L2238" t="str">
        <f>IF(Table1[[#This Row],[Age]]&lt;30,"20-29",
IF(Table1[[#This Row],[Age]]&lt;40,"30-39",
IF(Table1[[#This Row],[Age]]&lt;50,"40-49",
IF(Table1[[#This Row],[Age]]&lt;60,"50-59","60+"))))</f>
        <v>20-29</v>
      </c>
      <c r="M2238" t="s">
        <v>13</v>
      </c>
      <c r="N2238" t="s">
        <v>19</v>
      </c>
    </row>
    <row r="2239" spans="1:14" x14ac:dyDescent="0.35">
      <c r="A2239">
        <v>2338</v>
      </c>
      <c r="B2239" t="s">
        <v>34</v>
      </c>
      <c r="C2239" s="6">
        <v>44324</v>
      </c>
      <c r="D2239">
        <f>YEAR(Table1[[#This Row],[Join Date]])</f>
        <v>2021</v>
      </c>
      <c r="E2239" s="6">
        <v>45076</v>
      </c>
      <c r="F2239">
        <f>IFERROR(YEAR(Table1[[#This Row],[Exit Date]]), " ")</f>
        <v>2023</v>
      </c>
      <c r="G2239">
        <f>IFERROR((Table1[[#This Row],[Exit Year]]-Table1[[#This Row],[Join Year]])+1," ")</f>
        <v>3</v>
      </c>
      <c r="H2239" t="s">
        <v>40</v>
      </c>
      <c r="I2239" t="s">
        <v>23</v>
      </c>
      <c r="J2239" t="s">
        <v>12</v>
      </c>
      <c r="K2239">
        <v>31</v>
      </c>
      <c r="L2239" t="str">
        <f>IF(Table1[[#This Row],[Age]]&lt;30,"20-29",
IF(Table1[[#This Row],[Age]]&lt;40,"30-39",
IF(Table1[[#This Row],[Age]]&lt;50,"40-49",
IF(Table1[[#This Row],[Age]]&lt;60,"50-59","60+"))))</f>
        <v>30-39</v>
      </c>
      <c r="M2239" t="s">
        <v>16</v>
      </c>
      <c r="N2239" t="s">
        <v>25</v>
      </c>
    </row>
    <row r="2240" spans="1:14" x14ac:dyDescent="0.35">
      <c r="A2240">
        <v>2339</v>
      </c>
      <c r="B2240" t="s">
        <v>10</v>
      </c>
      <c r="C2240" s="6">
        <v>43513</v>
      </c>
      <c r="D2240">
        <f>YEAR(Table1[[#This Row],[Join Date]])</f>
        <v>2019</v>
      </c>
      <c r="E2240" s="6">
        <v>44923</v>
      </c>
      <c r="F2240">
        <f>IFERROR(YEAR(Table1[[#This Row],[Exit Date]]), " ")</f>
        <v>2022</v>
      </c>
      <c r="G2240">
        <f>IFERROR((Table1[[#This Row],[Exit Year]]-Table1[[#This Row],[Join Year]])+1," ")</f>
        <v>4</v>
      </c>
      <c r="H2240" t="s">
        <v>46</v>
      </c>
      <c r="I2240" t="s">
        <v>23</v>
      </c>
      <c r="J2240" t="s">
        <v>18</v>
      </c>
      <c r="K2240">
        <v>24</v>
      </c>
      <c r="L2240" t="str">
        <f>IF(Table1[[#This Row],[Age]]&lt;30,"20-29",
IF(Table1[[#This Row],[Age]]&lt;40,"30-39",
IF(Table1[[#This Row],[Age]]&lt;50,"40-49",
IF(Table1[[#This Row],[Age]]&lt;60,"50-59","60+"))))</f>
        <v>20-29</v>
      </c>
      <c r="M2240" t="s">
        <v>16</v>
      </c>
      <c r="N2240" t="s">
        <v>35</v>
      </c>
    </row>
    <row r="2241" spans="1:14" x14ac:dyDescent="0.35">
      <c r="A2241">
        <v>2340</v>
      </c>
      <c r="B2241" t="s">
        <v>36</v>
      </c>
      <c r="C2241" s="6">
        <v>44180</v>
      </c>
      <c r="D2241">
        <f>YEAR(Table1[[#This Row],[Join Date]])</f>
        <v>2020</v>
      </c>
      <c r="E2241" s="6" t="s">
        <v>48</v>
      </c>
      <c r="F2241" t="str">
        <f>IFERROR(YEAR(Table1[[#This Row],[Exit Date]]), " ")</f>
        <v xml:space="preserve"> </v>
      </c>
      <c r="G2241" t="str">
        <f>IFERROR((Table1[[#This Row],[Exit Year]]-Table1[[#This Row],[Join Year]])+1," ")</f>
        <v xml:space="preserve"> </v>
      </c>
      <c r="H2241" t="s">
        <v>48</v>
      </c>
      <c r="I2241" t="s">
        <v>11</v>
      </c>
      <c r="J2241" t="s">
        <v>12</v>
      </c>
      <c r="K2241">
        <v>37</v>
      </c>
      <c r="L2241" t="str">
        <f>IF(Table1[[#This Row],[Age]]&lt;30,"20-29",
IF(Table1[[#This Row],[Age]]&lt;40,"30-39",
IF(Table1[[#This Row],[Age]]&lt;50,"40-49",
IF(Table1[[#This Row],[Age]]&lt;60,"50-59","60+"))))</f>
        <v>30-39</v>
      </c>
      <c r="M2241" t="s">
        <v>20</v>
      </c>
      <c r="N2241" t="s">
        <v>17</v>
      </c>
    </row>
    <row r="2242" spans="1:14" x14ac:dyDescent="0.35">
      <c r="A2242">
        <v>2341</v>
      </c>
      <c r="B2242" t="s">
        <v>34</v>
      </c>
      <c r="C2242" s="6">
        <v>44099</v>
      </c>
      <c r="D2242">
        <f>YEAR(Table1[[#This Row],[Join Date]])</f>
        <v>2020</v>
      </c>
      <c r="E2242" s="6" t="s">
        <v>48</v>
      </c>
      <c r="F2242" t="str">
        <f>IFERROR(YEAR(Table1[[#This Row],[Exit Date]]), " ")</f>
        <v xml:space="preserve"> </v>
      </c>
      <c r="G2242" t="str">
        <f>IFERROR((Table1[[#This Row],[Exit Year]]-Table1[[#This Row],[Join Year]])+1," ")</f>
        <v xml:space="preserve"> </v>
      </c>
      <c r="H2242" t="s">
        <v>48</v>
      </c>
      <c r="I2242" t="s">
        <v>11</v>
      </c>
      <c r="J2242" t="s">
        <v>12</v>
      </c>
      <c r="K2242">
        <v>23</v>
      </c>
      <c r="L2242" t="str">
        <f>IF(Table1[[#This Row],[Age]]&lt;30,"20-29",
IF(Table1[[#This Row],[Age]]&lt;40,"30-39",
IF(Table1[[#This Row],[Age]]&lt;50,"40-49",
IF(Table1[[#This Row],[Age]]&lt;60,"50-59","60+"))))</f>
        <v>20-29</v>
      </c>
      <c r="M2242" t="s">
        <v>24</v>
      </c>
      <c r="N2242" t="s">
        <v>19</v>
      </c>
    </row>
    <row r="2243" spans="1:14" x14ac:dyDescent="0.35">
      <c r="A2243">
        <v>2342</v>
      </c>
      <c r="B2243" t="s">
        <v>34</v>
      </c>
      <c r="C2243" s="6">
        <v>45632</v>
      </c>
      <c r="D2243">
        <f>YEAR(Table1[[#This Row],[Join Date]])</f>
        <v>2024</v>
      </c>
      <c r="E2243" s="6" t="s">
        <v>48</v>
      </c>
      <c r="F2243" t="str">
        <f>IFERROR(YEAR(Table1[[#This Row],[Exit Date]]), " ")</f>
        <v xml:space="preserve"> </v>
      </c>
      <c r="G2243" t="str">
        <f>IFERROR((Table1[[#This Row],[Exit Year]]-Table1[[#This Row],[Join Year]])+1," ")</f>
        <v xml:space="preserve"> </v>
      </c>
      <c r="H2243" t="s">
        <v>48</v>
      </c>
      <c r="I2243" t="s">
        <v>11</v>
      </c>
      <c r="J2243" t="s">
        <v>12</v>
      </c>
      <c r="K2243">
        <v>31</v>
      </c>
      <c r="L2243" t="str">
        <f>IF(Table1[[#This Row],[Age]]&lt;30,"20-29",
IF(Table1[[#This Row],[Age]]&lt;40,"30-39",
IF(Table1[[#This Row],[Age]]&lt;50,"40-49",
IF(Table1[[#This Row],[Age]]&lt;60,"50-59","60+"))))</f>
        <v>30-39</v>
      </c>
      <c r="M2243" t="s">
        <v>13</v>
      </c>
      <c r="N2243" t="s">
        <v>21</v>
      </c>
    </row>
    <row r="2244" spans="1:14" x14ac:dyDescent="0.35">
      <c r="A2244">
        <v>2343</v>
      </c>
      <c r="B2244" t="s">
        <v>36</v>
      </c>
      <c r="C2244" s="6">
        <v>45294</v>
      </c>
      <c r="D2244">
        <f>YEAR(Table1[[#This Row],[Join Date]])</f>
        <v>2024</v>
      </c>
      <c r="E2244" s="6" t="s">
        <v>48</v>
      </c>
      <c r="F2244" t="str">
        <f>IFERROR(YEAR(Table1[[#This Row],[Exit Date]]), " ")</f>
        <v xml:space="preserve"> </v>
      </c>
      <c r="G2244" t="str">
        <f>IFERROR((Table1[[#This Row],[Exit Year]]-Table1[[#This Row],[Join Year]])+1," ")</f>
        <v xml:space="preserve"> </v>
      </c>
      <c r="H2244" t="s">
        <v>48</v>
      </c>
      <c r="I2244" t="s">
        <v>11</v>
      </c>
      <c r="J2244" t="s">
        <v>18</v>
      </c>
      <c r="K2244">
        <v>52</v>
      </c>
      <c r="L2244" t="str">
        <f>IF(Table1[[#This Row],[Age]]&lt;30,"20-29",
IF(Table1[[#This Row],[Age]]&lt;40,"30-39",
IF(Table1[[#This Row],[Age]]&lt;50,"40-49",
IF(Table1[[#This Row],[Age]]&lt;60,"50-59","60+"))))</f>
        <v>50-59</v>
      </c>
      <c r="M2244" t="s">
        <v>42</v>
      </c>
      <c r="N2244" t="s">
        <v>25</v>
      </c>
    </row>
    <row r="2245" spans="1:14" x14ac:dyDescent="0.35">
      <c r="A2245">
        <v>2344</v>
      </c>
      <c r="B2245" t="s">
        <v>26</v>
      </c>
      <c r="C2245" s="6">
        <v>44590</v>
      </c>
      <c r="D2245">
        <f>YEAR(Table1[[#This Row],[Join Date]])</f>
        <v>2022</v>
      </c>
      <c r="E2245" s="6" t="s">
        <v>48</v>
      </c>
      <c r="F2245" t="str">
        <f>IFERROR(YEAR(Table1[[#This Row],[Exit Date]]), " ")</f>
        <v xml:space="preserve"> </v>
      </c>
      <c r="G2245" t="str">
        <f>IFERROR((Table1[[#This Row],[Exit Year]]-Table1[[#This Row],[Join Year]])+1," ")</f>
        <v xml:space="preserve"> </v>
      </c>
      <c r="H2245" t="s">
        <v>48</v>
      </c>
      <c r="I2245" t="s">
        <v>11</v>
      </c>
      <c r="J2245" t="s">
        <v>12</v>
      </c>
      <c r="K2245">
        <v>25</v>
      </c>
      <c r="L2245" t="str">
        <f>IF(Table1[[#This Row],[Age]]&lt;30,"20-29",
IF(Table1[[#This Row],[Age]]&lt;40,"30-39",
IF(Table1[[#This Row],[Age]]&lt;50,"40-49",
IF(Table1[[#This Row],[Age]]&lt;60,"50-59","60+"))))</f>
        <v>20-29</v>
      </c>
      <c r="M2245" t="s">
        <v>13</v>
      </c>
      <c r="N2245" t="s">
        <v>35</v>
      </c>
    </row>
    <row r="2246" spans="1:14" x14ac:dyDescent="0.35">
      <c r="A2246">
        <v>2345</v>
      </c>
      <c r="B2246" t="s">
        <v>15</v>
      </c>
      <c r="C2246" s="6">
        <v>45215</v>
      </c>
      <c r="D2246">
        <f>YEAR(Table1[[#This Row],[Join Date]])</f>
        <v>2023</v>
      </c>
      <c r="E2246" s="6" t="s">
        <v>48</v>
      </c>
      <c r="F2246" t="str">
        <f>IFERROR(YEAR(Table1[[#This Row],[Exit Date]]), " ")</f>
        <v xml:space="preserve"> </v>
      </c>
      <c r="G2246" t="str">
        <f>IFERROR((Table1[[#This Row],[Exit Year]]-Table1[[#This Row],[Join Year]])+1," ")</f>
        <v xml:space="preserve"> </v>
      </c>
      <c r="H2246" t="s">
        <v>48</v>
      </c>
      <c r="I2246" t="s">
        <v>11</v>
      </c>
      <c r="J2246" t="s">
        <v>18</v>
      </c>
      <c r="K2246">
        <v>46</v>
      </c>
      <c r="L2246" t="str">
        <f>IF(Table1[[#This Row],[Age]]&lt;30,"20-29",
IF(Table1[[#This Row],[Age]]&lt;40,"30-39",
IF(Table1[[#This Row],[Age]]&lt;50,"40-49",
IF(Table1[[#This Row],[Age]]&lt;60,"50-59","60+"))))</f>
        <v>40-49</v>
      </c>
      <c r="M2246" t="s">
        <v>13</v>
      </c>
      <c r="N2246" t="s">
        <v>14</v>
      </c>
    </row>
    <row r="2247" spans="1:14" x14ac:dyDescent="0.35">
      <c r="A2247">
        <v>2346</v>
      </c>
      <c r="B2247" t="s">
        <v>15</v>
      </c>
      <c r="C2247" s="6">
        <v>43624</v>
      </c>
      <c r="D2247">
        <f>YEAR(Table1[[#This Row],[Join Date]])</f>
        <v>2019</v>
      </c>
      <c r="E2247" s="6">
        <v>44228</v>
      </c>
      <c r="F2247">
        <f>IFERROR(YEAR(Table1[[#This Row],[Exit Date]]), " ")</f>
        <v>2021</v>
      </c>
      <c r="G2247">
        <f>IFERROR((Table1[[#This Row],[Exit Year]]-Table1[[#This Row],[Join Year]])+1," ")</f>
        <v>3</v>
      </c>
      <c r="H2247" t="s">
        <v>41</v>
      </c>
      <c r="I2247" t="s">
        <v>23</v>
      </c>
      <c r="J2247" t="s">
        <v>12</v>
      </c>
      <c r="K2247">
        <v>24</v>
      </c>
      <c r="L2247" t="str">
        <f>IF(Table1[[#This Row],[Age]]&lt;30,"20-29",
IF(Table1[[#This Row],[Age]]&lt;40,"30-39",
IF(Table1[[#This Row],[Age]]&lt;50,"40-49",
IF(Table1[[#This Row],[Age]]&lt;60,"50-59","60+"))))</f>
        <v>20-29</v>
      </c>
      <c r="M2247" t="s">
        <v>16</v>
      </c>
      <c r="N2247" t="s">
        <v>19</v>
      </c>
    </row>
    <row r="2248" spans="1:14" x14ac:dyDescent="0.35">
      <c r="A2248">
        <v>2347</v>
      </c>
      <c r="B2248" t="s">
        <v>15</v>
      </c>
      <c r="C2248" s="6">
        <v>44514</v>
      </c>
      <c r="D2248">
        <f>YEAR(Table1[[#This Row],[Join Date]])</f>
        <v>2021</v>
      </c>
      <c r="E2248" s="6">
        <v>45529</v>
      </c>
      <c r="F2248">
        <f>IFERROR(YEAR(Table1[[#This Row],[Exit Date]]), " ")</f>
        <v>2024</v>
      </c>
      <c r="G2248">
        <f>IFERROR((Table1[[#This Row],[Exit Year]]-Table1[[#This Row],[Join Year]])+1," ")</f>
        <v>4</v>
      </c>
      <c r="H2248" t="s">
        <v>41</v>
      </c>
      <c r="I2248" t="s">
        <v>23</v>
      </c>
      <c r="J2248" t="s">
        <v>18</v>
      </c>
      <c r="K2248">
        <v>38</v>
      </c>
      <c r="L2248" t="str">
        <f>IF(Table1[[#This Row],[Age]]&lt;30,"20-29",
IF(Table1[[#This Row],[Age]]&lt;40,"30-39",
IF(Table1[[#This Row],[Age]]&lt;50,"40-49",
IF(Table1[[#This Row],[Age]]&lt;60,"50-59","60+"))))</f>
        <v>30-39</v>
      </c>
      <c r="M2248" t="s">
        <v>13</v>
      </c>
      <c r="N2248" t="s">
        <v>21</v>
      </c>
    </row>
    <row r="2249" spans="1:14" x14ac:dyDescent="0.35">
      <c r="A2249">
        <v>2348</v>
      </c>
      <c r="B2249" t="s">
        <v>29</v>
      </c>
      <c r="C2249" s="6">
        <v>43700</v>
      </c>
      <c r="D2249">
        <f>YEAR(Table1[[#This Row],[Join Date]])</f>
        <v>2019</v>
      </c>
      <c r="E2249" s="6" t="s">
        <v>48</v>
      </c>
      <c r="F2249" t="str">
        <f>IFERROR(YEAR(Table1[[#This Row],[Exit Date]]), " ")</f>
        <v xml:space="preserve"> </v>
      </c>
      <c r="G2249" t="str">
        <f>IFERROR((Table1[[#This Row],[Exit Year]]-Table1[[#This Row],[Join Year]])+1," ")</f>
        <v xml:space="preserve"> </v>
      </c>
      <c r="H2249" t="s">
        <v>48</v>
      </c>
      <c r="I2249" t="s">
        <v>11</v>
      </c>
      <c r="J2249" t="s">
        <v>18</v>
      </c>
      <c r="K2249">
        <v>49</v>
      </c>
      <c r="L2249" t="str">
        <f>IF(Table1[[#This Row],[Age]]&lt;30,"20-29",
IF(Table1[[#This Row],[Age]]&lt;40,"30-39",
IF(Table1[[#This Row],[Age]]&lt;50,"40-49",
IF(Table1[[#This Row],[Age]]&lt;60,"50-59","60+"))))</f>
        <v>40-49</v>
      </c>
      <c r="M2249" t="s">
        <v>20</v>
      </c>
      <c r="N2249" t="s">
        <v>37</v>
      </c>
    </row>
    <row r="2250" spans="1:14" x14ac:dyDescent="0.35">
      <c r="A2250">
        <v>2349</v>
      </c>
      <c r="B2250" t="s">
        <v>34</v>
      </c>
      <c r="C2250" s="6">
        <v>45540</v>
      </c>
      <c r="D2250">
        <f>YEAR(Table1[[#This Row],[Join Date]])</f>
        <v>2024</v>
      </c>
      <c r="E2250" s="6" t="s">
        <v>48</v>
      </c>
      <c r="F2250" t="str">
        <f>IFERROR(YEAR(Table1[[#This Row],[Exit Date]]), " ")</f>
        <v xml:space="preserve"> </v>
      </c>
      <c r="G2250" t="str">
        <f>IFERROR((Table1[[#This Row],[Exit Year]]-Table1[[#This Row],[Join Year]])+1," ")</f>
        <v xml:space="preserve"> </v>
      </c>
      <c r="H2250" t="s">
        <v>48</v>
      </c>
      <c r="I2250" t="s">
        <v>11</v>
      </c>
      <c r="J2250" t="s">
        <v>12</v>
      </c>
      <c r="K2250">
        <v>31</v>
      </c>
      <c r="L2250" t="str">
        <f>IF(Table1[[#This Row],[Age]]&lt;30,"20-29",
IF(Table1[[#This Row],[Age]]&lt;40,"30-39",
IF(Table1[[#This Row],[Age]]&lt;50,"40-49",
IF(Table1[[#This Row],[Age]]&lt;60,"50-59","60+"))))</f>
        <v>30-39</v>
      </c>
      <c r="M2250" t="s">
        <v>44</v>
      </c>
      <c r="N2250" t="s">
        <v>25</v>
      </c>
    </row>
    <row r="2251" spans="1:14" x14ac:dyDescent="0.35">
      <c r="A2251">
        <v>2350</v>
      </c>
      <c r="B2251" t="s">
        <v>10</v>
      </c>
      <c r="C2251" s="6">
        <v>43297</v>
      </c>
      <c r="D2251">
        <f>YEAR(Table1[[#This Row],[Join Date]])</f>
        <v>2018</v>
      </c>
      <c r="E2251" s="6">
        <v>44682</v>
      </c>
      <c r="F2251">
        <f>IFERROR(YEAR(Table1[[#This Row],[Exit Date]]), " ")</f>
        <v>2022</v>
      </c>
      <c r="G2251">
        <f>IFERROR((Table1[[#This Row],[Exit Year]]-Table1[[#This Row],[Join Year]])+1," ")</f>
        <v>5</v>
      </c>
      <c r="H2251" t="s">
        <v>40</v>
      </c>
      <c r="I2251" t="s">
        <v>23</v>
      </c>
      <c r="J2251" t="s">
        <v>18</v>
      </c>
      <c r="K2251">
        <v>51</v>
      </c>
      <c r="L2251" t="str">
        <f>IF(Table1[[#This Row],[Age]]&lt;30,"20-29",
IF(Table1[[#This Row],[Age]]&lt;40,"30-39",
IF(Table1[[#This Row],[Age]]&lt;50,"40-49",
IF(Table1[[#This Row],[Age]]&lt;60,"50-59","60+"))))</f>
        <v>50-59</v>
      </c>
      <c r="M2251" t="s">
        <v>13</v>
      </c>
      <c r="N2251" t="s">
        <v>35</v>
      </c>
    </row>
    <row r="2252" spans="1:14" x14ac:dyDescent="0.35">
      <c r="A2252">
        <v>2351</v>
      </c>
      <c r="B2252" t="s">
        <v>10</v>
      </c>
      <c r="C2252" s="6">
        <v>43407</v>
      </c>
      <c r="D2252">
        <f>YEAR(Table1[[#This Row],[Join Date]])</f>
        <v>2018</v>
      </c>
      <c r="E2252" s="6" t="s">
        <v>48</v>
      </c>
      <c r="F2252" t="str">
        <f>IFERROR(YEAR(Table1[[#This Row],[Exit Date]]), " ")</f>
        <v xml:space="preserve"> </v>
      </c>
      <c r="G2252" t="str">
        <f>IFERROR((Table1[[#This Row],[Exit Year]]-Table1[[#This Row],[Join Year]])+1," ")</f>
        <v xml:space="preserve"> </v>
      </c>
      <c r="H2252" t="s">
        <v>48</v>
      </c>
      <c r="I2252" t="s">
        <v>11</v>
      </c>
      <c r="J2252" t="s">
        <v>18</v>
      </c>
      <c r="K2252">
        <v>27</v>
      </c>
      <c r="L2252" t="str">
        <f>IF(Table1[[#This Row],[Age]]&lt;30,"20-29",
IF(Table1[[#This Row],[Age]]&lt;40,"30-39",
IF(Table1[[#This Row],[Age]]&lt;50,"40-49",
IF(Table1[[#This Row],[Age]]&lt;60,"50-59","60+"))))</f>
        <v>20-29</v>
      </c>
      <c r="M2252" t="s">
        <v>16</v>
      </c>
      <c r="N2252" t="s">
        <v>19</v>
      </c>
    </row>
    <row r="2253" spans="1:14" x14ac:dyDescent="0.35">
      <c r="A2253">
        <v>2352</v>
      </c>
      <c r="B2253" t="s">
        <v>15</v>
      </c>
      <c r="C2253" s="6">
        <v>44121</v>
      </c>
      <c r="D2253">
        <f>YEAR(Table1[[#This Row],[Join Date]])</f>
        <v>2020</v>
      </c>
      <c r="E2253" s="6" t="s">
        <v>48</v>
      </c>
      <c r="F2253" t="str">
        <f>IFERROR(YEAR(Table1[[#This Row],[Exit Date]]), " ")</f>
        <v xml:space="preserve"> </v>
      </c>
      <c r="G2253" t="str">
        <f>IFERROR((Table1[[#This Row],[Exit Year]]-Table1[[#This Row],[Join Year]])+1," ")</f>
        <v xml:space="preserve"> </v>
      </c>
      <c r="H2253" t="s">
        <v>48</v>
      </c>
      <c r="I2253" t="s">
        <v>11</v>
      </c>
      <c r="J2253" t="s">
        <v>12</v>
      </c>
      <c r="K2253">
        <v>22</v>
      </c>
      <c r="L2253" t="str">
        <f>IF(Table1[[#This Row],[Age]]&lt;30,"20-29",
IF(Table1[[#This Row],[Age]]&lt;40,"30-39",
IF(Table1[[#This Row],[Age]]&lt;50,"40-49",
IF(Table1[[#This Row],[Age]]&lt;60,"50-59","60+"))))</f>
        <v>20-29</v>
      </c>
      <c r="M2253" t="s">
        <v>16</v>
      </c>
      <c r="N2253" t="s">
        <v>21</v>
      </c>
    </row>
    <row r="2254" spans="1:14" x14ac:dyDescent="0.35">
      <c r="A2254">
        <v>2353</v>
      </c>
      <c r="B2254" t="s">
        <v>15</v>
      </c>
      <c r="C2254" s="6">
        <v>44423</v>
      </c>
      <c r="D2254">
        <f>YEAR(Table1[[#This Row],[Join Date]])</f>
        <v>2021</v>
      </c>
      <c r="E2254" s="6" t="s">
        <v>48</v>
      </c>
      <c r="F2254" t="str">
        <f>IFERROR(YEAR(Table1[[#This Row],[Exit Date]]), " ")</f>
        <v xml:space="preserve"> </v>
      </c>
      <c r="G2254" t="str">
        <f>IFERROR((Table1[[#This Row],[Exit Year]]-Table1[[#This Row],[Join Year]])+1," ")</f>
        <v xml:space="preserve"> </v>
      </c>
      <c r="H2254" t="s">
        <v>48</v>
      </c>
      <c r="I2254" t="s">
        <v>11</v>
      </c>
      <c r="J2254" t="s">
        <v>12</v>
      </c>
      <c r="K2254">
        <v>50</v>
      </c>
      <c r="L2254" t="str">
        <f>IF(Table1[[#This Row],[Age]]&lt;30,"20-29",
IF(Table1[[#This Row],[Age]]&lt;40,"30-39",
IF(Table1[[#This Row],[Age]]&lt;50,"40-49",
IF(Table1[[#This Row],[Age]]&lt;60,"50-59","60+"))))</f>
        <v>50-59</v>
      </c>
      <c r="M2254" t="s">
        <v>20</v>
      </c>
      <c r="N2254" t="s">
        <v>25</v>
      </c>
    </row>
    <row r="2255" spans="1:14" x14ac:dyDescent="0.35">
      <c r="A2255">
        <v>2354</v>
      </c>
      <c r="B2255" t="s">
        <v>15</v>
      </c>
      <c r="C2255" s="6">
        <v>45087</v>
      </c>
      <c r="D2255">
        <f>YEAR(Table1[[#This Row],[Join Date]])</f>
        <v>2023</v>
      </c>
      <c r="E2255" s="6" t="s">
        <v>48</v>
      </c>
      <c r="F2255" t="str">
        <f>IFERROR(YEAR(Table1[[#This Row],[Exit Date]]), " ")</f>
        <v xml:space="preserve"> </v>
      </c>
      <c r="G2255" t="str">
        <f>IFERROR((Table1[[#This Row],[Exit Year]]-Table1[[#This Row],[Join Year]])+1," ")</f>
        <v xml:space="preserve"> </v>
      </c>
      <c r="H2255" t="s">
        <v>48</v>
      </c>
      <c r="I2255" t="s">
        <v>11</v>
      </c>
      <c r="J2255" t="s">
        <v>18</v>
      </c>
      <c r="K2255">
        <v>24</v>
      </c>
      <c r="L2255" t="str">
        <f>IF(Table1[[#This Row],[Age]]&lt;30,"20-29",
IF(Table1[[#This Row],[Age]]&lt;40,"30-39",
IF(Table1[[#This Row],[Age]]&lt;50,"40-49",
IF(Table1[[#This Row],[Age]]&lt;60,"50-59","60+"))))</f>
        <v>20-29</v>
      </c>
      <c r="M2255" t="s">
        <v>24</v>
      </c>
      <c r="N2255" t="s">
        <v>28</v>
      </c>
    </row>
    <row r="2256" spans="1:14" x14ac:dyDescent="0.35">
      <c r="A2256">
        <v>2355</v>
      </c>
      <c r="B2256" t="s">
        <v>15</v>
      </c>
      <c r="C2256" s="6">
        <v>43479</v>
      </c>
      <c r="D2256">
        <f>YEAR(Table1[[#This Row],[Join Date]])</f>
        <v>2019</v>
      </c>
      <c r="E2256" s="6">
        <v>44449</v>
      </c>
      <c r="F2256">
        <f>IFERROR(YEAR(Table1[[#This Row],[Exit Date]]), " ")</f>
        <v>2021</v>
      </c>
      <c r="G2256">
        <f>IFERROR((Table1[[#This Row],[Exit Year]]-Table1[[#This Row],[Join Year]])+1," ")</f>
        <v>3</v>
      </c>
      <c r="H2256" t="s">
        <v>46</v>
      </c>
      <c r="I2256" t="s">
        <v>23</v>
      </c>
      <c r="J2256" t="s">
        <v>18</v>
      </c>
      <c r="K2256">
        <v>50</v>
      </c>
      <c r="L2256" t="str">
        <f>IF(Table1[[#This Row],[Age]]&lt;30,"20-29",
IF(Table1[[#This Row],[Age]]&lt;40,"30-39",
IF(Table1[[#This Row],[Age]]&lt;50,"40-49",
IF(Table1[[#This Row],[Age]]&lt;60,"50-59","60+"))))</f>
        <v>50-59</v>
      </c>
      <c r="M2256" t="s">
        <v>13</v>
      </c>
      <c r="N2256" t="s">
        <v>31</v>
      </c>
    </row>
    <row r="2257" spans="1:14" x14ac:dyDescent="0.35">
      <c r="A2257">
        <v>2356</v>
      </c>
      <c r="B2257" t="s">
        <v>26</v>
      </c>
      <c r="C2257" s="6">
        <v>44749</v>
      </c>
      <c r="D2257">
        <f>YEAR(Table1[[#This Row],[Join Date]])</f>
        <v>2022</v>
      </c>
      <c r="E2257" s="6">
        <v>44972</v>
      </c>
      <c r="F2257">
        <f>IFERROR(YEAR(Table1[[#This Row],[Exit Date]]), " ")</f>
        <v>2023</v>
      </c>
      <c r="G2257">
        <f>IFERROR((Table1[[#This Row],[Exit Year]]-Table1[[#This Row],[Join Year]])+1," ")</f>
        <v>2</v>
      </c>
      <c r="H2257" t="s">
        <v>46</v>
      </c>
      <c r="I2257" t="s">
        <v>23</v>
      </c>
      <c r="J2257" t="s">
        <v>12</v>
      </c>
      <c r="K2257">
        <v>28</v>
      </c>
      <c r="L2257" t="str">
        <f>IF(Table1[[#This Row],[Age]]&lt;30,"20-29",
IF(Table1[[#This Row],[Age]]&lt;40,"30-39",
IF(Table1[[#This Row],[Age]]&lt;50,"40-49",
IF(Table1[[#This Row],[Age]]&lt;60,"50-59","60+"))))</f>
        <v>20-29</v>
      </c>
      <c r="M2257" t="s">
        <v>42</v>
      </c>
      <c r="N2257" t="s">
        <v>32</v>
      </c>
    </row>
    <row r="2258" spans="1:14" x14ac:dyDescent="0.35">
      <c r="A2258">
        <v>2357</v>
      </c>
      <c r="B2258" t="s">
        <v>29</v>
      </c>
      <c r="C2258" s="6">
        <v>45457</v>
      </c>
      <c r="D2258">
        <f>YEAR(Table1[[#This Row],[Join Date]])</f>
        <v>2024</v>
      </c>
      <c r="E2258" s="6" t="s">
        <v>48</v>
      </c>
      <c r="F2258" t="str">
        <f>IFERROR(YEAR(Table1[[#This Row],[Exit Date]]), " ")</f>
        <v xml:space="preserve"> </v>
      </c>
      <c r="G2258" t="str">
        <f>IFERROR((Table1[[#This Row],[Exit Year]]-Table1[[#This Row],[Join Year]])+1," ")</f>
        <v xml:space="preserve"> </v>
      </c>
      <c r="H2258" t="s">
        <v>48</v>
      </c>
      <c r="I2258" t="s">
        <v>11</v>
      </c>
      <c r="J2258" t="s">
        <v>18</v>
      </c>
      <c r="K2258">
        <v>40</v>
      </c>
      <c r="L2258" t="str">
        <f>IF(Table1[[#This Row],[Age]]&lt;30,"20-29",
IF(Table1[[#This Row],[Age]]&lt;40,"30-39",
IF(Table1[[#This Row],[Age]]&lt;50,"40-49",
IF(Table1[[#This Row],[Age]]&lt;60,"50-59","60+"))))</f>
        <v>40-49</v>
      </c>
      <c r="M2258" t="s">
        <v>13</v>
      </c>
      <c r="N2258" t="s">
        <v>33</v>
      </c>
    </row>
    <row r="2259" spans="1:14" x14ac:dyDescent="0.35">
      <c r="A2259">
        <v>2358</v>
      </c>
      <c r="B2259" t="s">
        <v>10</v>
      </c>
      <c r="C2259" s="6">
        <v>43304</v>
      </c>
      <c r="D2259">
        <f>YEAR(Table1[[#This Row],[Join Date]])</f>
        <v>2018</v>
      </c>
      <c r="E2259" s="6" t="s">
        <v>48</v>
      </c>
      <c r="F2259" t="str">
        <f>IFERROR(YEAR(Table1[[#This Row],[Exit Date]]), " ")</f>
        <v xml:space="preserve"> </v>
      </c>
      <c r="G2259" t="str">
        <f>IFERROR((Table1[[#This Row],[Exit Year]]-Table1[[#This Row],[Join Year]])+1," ")</f>
        <v xml:space="preserve"> </v>
      </c>
      <c r="H2259" t="s">
        <v>48</v>
      </c>
      <c r="I2259" t="s">
        <v>11</v>
      </c>
      <c r="J2259" t="s">
        <v>12</v>
      </c>
      <c r="K2259">
        <v>32</v>
      </c>
      <c r="L2259" t="str">
        <f>IF(Table1[[#This Row],[Age]]&lt;30,"20-29",
IF(Table1[[#This Row],[Age]]&lt;40,"30-39",
IF(Table1[[#This Row],[Age]]&lt;50,"40-49",
IF(Table1[[#This Row],[Age]]&lt;60,"50-59","60+"))))</f>
        <v>30-39</v>
      </c>
      <c r="M2259" t="s">
        <v>13</v>
      </c>
      <c r="N2259" t="s">
        <v>35</v>
      </c>
    </row>
    <row r="2260" spans="1:14" x14ac:dyDescent="0.35">
      <c r="A2260">
        <v>2359</v>
      </c>
      <c r="B2260" t="s">
        <v>15</v>
      </c>
      <c r="C2260" s="6">
        <v>44987</v>
      </c>
      <c r="D2260">
        <f>YEAR(Table1[[#This Row],[Join Date]])</f>
        <v>2023</v>
      </c>
      <c r="E2260" s="6" t="s">
        <v>48</v>
      </c>
      <c r="F2260" t="str">
        <f>IFERROR(YEAR(Table1[[#This Row],[Exit Date]]), " ")</f>
        <v xml:space="preserve"> </v>
      </c>
      <c r="G2260" t="str">
        <f>IFERROR((Table1[[#This Row],[Exit Year]]-Table1[[#This Row],[Join Year]])+1," ")</f>
        <v xml:space="preserve"> </v>
      </c>
      <c r="H2260" t="s">
        <v>48</v>
      </c>
      <c r="I2260" t="s">
        <v>11</v>
      </c>
      <c r="J2260" t="s">
        <v>12</v>
      </c>
      <c r="K2260">
        <v>50</v>
      </c>
      <c r="L2260" t="str">
        <f>IF(Table1[[#This Row],[Age]]&lt;30,"20-29",
IF(Table1[[#This Row],[Age]]&lt;40,"30-39",
IF(Table1[[#This Row],[Age]]&lt;50,"40-49",
IF(Table1[[#This Row],[Age]]&lt;60,"50-59","60+"))))</f>
        <v>50-59</v>
      </c>
      <c r="M2260" t="s">
        <v>16</v>
      </c>
      <c r="N2260" t="s">
        <v>37</v>
      </c>
    </row>
    <row r="2261" spans="1:14" x14ac:dyDescent="0.35">
      <c r="A2261">
        <v>2360</v>
      </c>
      <c r="B2261" t="s">
        <v>34</v>
      </c>
      <c r="C2261" s="6">
        <v>45326</v>
      </c>
      <c r="D2261">
        <f>YEAR(Table1[[#This Row],[Join Date]])</f>
        <v>2024</v>
      </c>
      <c r="E2261" s="6" t="s">
        <v>48</v>
      </c>
      <c r="F2261" t="str">
        <f>IFERROR(YEAR(Table1[[#This Row],[Exit Date]]), " ")</f>
        <v xml:space="preserve"> </v>
      </c>
      <c r="G2261" t="str">
        <f>IFERROR((Table1[[#This Row],[Exit Year]]-Table1[[#This Row],[Join Year]])+1," ")</f>
        <v xml:space="preserve"> </v>
      </c>
      <c r="H2261" t="s">
        <v>48</v>
      </c>
      <c r="I2261" t="s">
        <v>11</v>
      </c>
      <c r="J2261" t="s">
        <v>12</v>
      </c>
      <c r="K2261">
        <v>24</v>
      </c>
      <c r="L2261" t="str">
        <f>IF(Table1[[#This Row],[Age]]&lt;30,"20-29",
IF(Table1[[#This Row],[Age]]&lt;40,"30-39",
IF(Table1[[#This Row],[Age]]&lt;50,"40-49",
IF(Table1[[#This Row],[Age]]&lt;60,"50-59","60+"))))</f>
        <v>20-29</v>
      </c>
      <c r="M2261" t="s">
        <v>13</v>
      </c>
      <c r="N2261" t="s">
        <v>19</v>
      </c>
    </row>
    <row r="2262" spans="1:14" x14ac:dyDescent="0.35">
      <c r="A2262">
        <v>2361</v>
      </c>
      <c r="B2262" t="s">
        <v>36</v>
      </c>
      <c r="C2262" s="6">
        <v>45474</v>
      </c>
      <c r="D2262">
        <f>YEAR(Table1[[#This Row],[Join Date]])</f>
        <v>2024</v>
      </c>
      <c r="E2262" s="6" t="s">
        <v>48</v>
      </c>
      <c r="F2262" t="str">
        <f>IFERROR(YEAR(Table1[[#This Row],[Exit Date]]), " ")</f>
        <v xml:space="preserve"> </v>
      </c>
      <c r="G2262" t="str">
        <f>IFERROR((Table1[[#This Row],[Exit Year]]-Table1[[#This Row],[Join Year]])+1," ")</f>
        <v xml:space="preserve"> </v>
      </c>
      <c r="H2262" t="s">
        <v>48</v>
      </c>
      <c r="I2262" t="s">
        <v>11</v>
      </c>
      <c r="J2262" t="s">
        <v>18</v>
      </c>
      <c r="K2262">
        <v>36</v>
      </c>
      <c r="L2262" t="str">
        <f>IF(Table1[[#This Row],[Age]]&lt;30,"20-29",
IF(Table1[[#This Row],[Age]]&lt;40,"30-39",
IF(Table1[[#This Row],[Age]]&lt;50,"40-49",
IF(Table1[[#This Row],[Age]]&lt;60,"50-59","60+"))))</f>
        <v>30-39</v>
      </c>
      <c r="M2262" t="s">
        <v>20</v>
      </c>
      <c r="N2262" t="s">
        <v>25</v>
      </c>
    </row>
    <row r="2263" spans="1:14" x14ac:dyDescent="0.35">
      <c r="A2263">
        <v>2362</v>
      </c>
      <c r="B2263" t="s">
        <v>29</v>
      </c>
      <c r="C2263" s="6">
        <v>44227</v>
      </c>
      <c r="D2263">
        <f>YEAR(Table1[[#This Row],[Join Date]])</f>
        <v>2021</v>
      </c>
      <c r="E2263" s="6">
        <v>45322</v>
      </c>
      <c r="F2263">
        <f>IFERROR(YEAR(Table1[[#This Row],[Exit Date]]), " ")</f>
        <v>2024</v>
      </c>
      <c r="G2263">
        <f>IFERROR((Table1[[#This Row],[Exit Year]]-Table1[[#This Row],[Join Year]])+1," ")</f>
        <v>4</v>
      </c>
      <c r="H2263" t="s">
        <v>46</v>
      </c>
      <c r="I2263" t="s">
        <v>23</v>
      </c>
      <c r="J2263" t="s">
        <v>12</v>
      </c>
      <c r="K2263">
        <v>49</v>
      </c>
      <c r="L2263" t="str">
        <f>IF(Table1[[#This Row],[Age]]&lt;30,"20-29",
IF(Table1[[#This Row],[Age]]&lt;40,"30-39",
IF(Table1[[#This Row],[Age]]&lt;50,"40-49",
IF(Table1[[#This Row],[Age]]&lt;60,"50-59","60+"))))</f>
        <v>40-49</v>
      </c>
      <c r="M2263" t="s">
        <v>39</v>
      </c>
      <c r="N2263" t="s">
        <v>35</v>
      </c>
    </row>
    <row r="2264" spans="1:14" x14ac:dyDescent="0.35">
      <c r="A2264">
        <v>2363</v>
      </c>
      <c r="B2264" t="s">
        <v>10</v>
      </c>
      <c r="C2264" s="6">
        <v>43446</v>
      </c>
      <c r="D2264">
        <f>YEAR(Table1[[#This Row],[Join Date]])</f>
        <v>2018</v>
      </c>
      <c r="E2264" s="6">
        <v>43936</v>
      </c>
      <c r="F2264">
        <f>IFERROR(YEAR(Table1[[#This Row],[Exit Date]]), " ")</f>
        <v>2020</v>
      </c>
      <c r="G2264">
        <f>IFERROR((Table1[[#This Row],[Exit Year]]-Table1[[#This Row],[Join Year]])+1," ")</f>
        <v>3</v>
      </c>
      <c r="H2264" t="s">
        <v>38</v>
      </c>
      <c r="I2264" t="s">
        <v>23</v>
      </c>
      <c r="J2264" t="s">
        <v>18</v>
      </c>
      <c r="K2264">
        <v>43</v>
      </c>
      <c r="L2264" t="str">
        <f>IF(Table1[[#This Row],[Age]]&lt;30,"20-29",
IF(Table1[[#This Row],[Age]]&lt;40,"30-39",
IF(Table1[[#This Row],[Age]]&lt;50,"40-49",
IF(Table1[[#This Row],[Age]]&lt;60,"50-59","60+"))))</f>
        <v>40-49</v>
      </c>
      <c r="M2264" t="s">
        <v>13</v>
      </c>
      <c r="N2264" t="s">
        <v>17</v>
      </c>
    </row>
    <row r="2265" spans="1:14" x14ac:dyDescent="0.35">
      <c r="A2265">
        <v>2364</v>
      </c>
      <c r="B2265" t="s">
        <v>15</v>
      </c>
      <c r="C2265" s="6">
        <v>45314</v>
      </c>
      <c r="D2265">
        <f>YEAR(Table1[[#This Row],[Join Date]])</f>
        <v>2024</v>
      </c>
      <c r="E2265" s="6" t="s">
        <v>48</v>
      </c>
      <c r="F2265" t="str">
        <f>IFERROR(YEAR(Table1[[#This Row],[Exit Date]]), " ")</f>
        <v xml:space="preserve"> </v>
      </c>
      <c r="G2265" t="str">
        <f>IFERROR((Table1[[#This Row],[Exit Year]]-Table1[[#This Row],[Join Year]])+1," ")</f>
        <v xml:space="preserve"> </v>
      </c>
      <c r="H2265" t="s">
        <v>48</v>
      </c>
      <c r="I2265" t="s">
        <v>11</v>
      </c>
      <c r="J2265" t="s">
        <v>12</v>
      </c>
      <c r="K2265">
        <v>40</v>
      </c>
      <c r="L2265" t="str">
        <f>IF(Table1[[#This Row],[Age]]&lt;30,"20-29",
IF(Table1[[#This Row],[Age]]&lt;40,"30-39",
IF(Table1[[#This Row],[Age]]&lt;50,"40-49",
IF(Table1[[#This Row],[Age]]&lt;60,"50-59","60+"))))</f>
        <v>40-49</v>
      </c>
      <c r="M2265" t="s">
        <v>16</v>
      </c>
      <c r="N2265" t="s">
        <v>19</v>
      </c>
    </row>
    <row r="2266" spans="1:14" x14ac:dyDescent="0.35">
      <c r="A2266">
        <v>2365</v>
      </c>
      <c r="B2266" t="s">
        <v>15</v>
      </c>
      <c r="C2266" s="6">
        <v>43123</v>
      </c>
      <c r="D2266">
        <f>YEAR(Table1[[#This Row],[Join Date]])</f>
        <v>2018</v>
      </c>
      <c r="E2266" s="6" t="s">
        <v>48</v>
      </c>
      <c r="F2266" t="str">
        <f>IFERROR(YEAR(Table1[[#This Row],[Exit Date]]), " ")</f>
        <v xml:space="preserve"> </v>
      </c>
      <c r="G2266" t="str">
        <f>IFERROR((Table1[[#This Row],[Exit Year]]-Table1[[#This Row],[Join Year]])+1," ")</f>
        <v xml:space="preserve"> </v>
      </c>
      <c r="H2266" t="s">
        <v>48</v>
      </c>
      <c r="I2266" t="s">
        <v>11</v>
      </c>
      <c r="J2266" t="s">
        <v>18</v>
      </c>
      <c r="K2266">
        <v>42</v>
      </c>
      <c r="L2266" t="str">
        <f>IF(Table1[[#This Row],[Age]]&lt;30,"20-29",
IF(Table1[[#This Row],[Age]]&lt;40,"30-39",
IF(Table1[[#This Row],[Age]]&lt;50,"40-49",
IF(Table1[[#This Row],[Age]]&lt;60,"50-59","60+"))))</f>
        <v>40-49</v>
      </c>
      <c r="M2266" t="s">
        <v>16</v>
      </c>
      <c r="N2266" t="s">
        <v>21</v>
      </c>
    </row>
    <row r="2267" spans="1:14" x14ac:dyDescent="0.35">
      <c r="A2267">
        <v>2366</v>
      </c>
      <c r="B2267" t="s">
        <v>10</v>
      </c>
      <c r="C2267" s="6">
        <v>43717</v>
      </c>
      <c r="D2267">
        <f>YEAR(Table1[[#This Row],[Join Date]])</f>
        <v>2019</v>
      </c>
      <c r="E2267" s="6">
        <v>44677</v>
      </c>
      <c r="F2267">
        <f>IFERROR(YEAR(Table1[[#This Row],[Exit Date]]), " ")</f>
        <v>2022</v>
      </c>
      <c r="G2267">
        <f>IFERROR((Table1[[#This Row],[Exit Year]]-Table1[[#This Row],[Join Year]])+1," ")</f>
        <v>4</v>
      </c>
      <c r="H2267" t="s">
        <v>40</v>
      </c>
      <c r="I2267" t="s">
        <v>23</v>
      </c>
      <c r="J2267" t="s">
        <v>18</v>
      </c>
      <c r="K2267">
        <v>35</v>
      </c>
      <c r="L2267" t="str">
        <f>IF(Table1[[#This Row],[Age]]&lt;30,"20-29",
IF(Table1[[#This Row],[Age]]&lt;40,"30-39",
IF(Table1[[#This Row],[Age]]&lt;50,"40-49",
IF(Table1[[#This Row],[Age]]&lt;60,"50-59","60+"))))</f>
        <v>30-39</v>
      </c>
      <c r="M2267" t="s">
        <v>20</v>
      </c>
      <c r="N2267" t="s">
        <v>25</v>
      </c>
    </row>
    <row r="2268" spans="1:14" x14ac:dyDescent="0.35">
      <c r="A2268">
        <v>2367</v>
      </c>
      <c r="B2268" t="s">
        <v>29</v>
      </c>
      <c r="C2268" s="6">
        <v>43534</v>
      </c>
      <c r="D2268">
        <f>YEAR(Table1[[#This Row],[Join Date]])</f>
        <v>2019</v>
      </c>
      <c r="E2268" s="6">
        <v>44117</v>
      </c>
      <c r="F2268">
        <f>IFERROR(YEAR(Table1[[#This Row],[Exit Date]]), " ")</f>
        <v>2020</v>
      </c>
      <c r="G2268">
        <f>IFERROR((Table1[[#This Row],[Exit Year]]-Table1[[#This Row],[Join Year]])+1," ")</f>
        <v>2</v>
      </c>
      <c r="H2268" t="s">
        <v>38</v>
      </c>
      <c r="I2268" t="s">
        <v>23</v>
      </c>
      <c r="J2268" t="s">
        <v>12</v>
      </c>
      <c r="K2268">
        <v>31</v>
      </c>
      <c r="L2268" t="str">
        <f>IF(Table1[[#This Row],[Age]]&lt;30,"20-29",
IF(Table1[[#This Row],[Age]]&lt;40,"30-39",
IF(Table1[[#This Row],[Age]]&lt;50,"40-49",
IF(Table1[[#This Row],[Age]]&lt;60,"50-59","60+"))))</f>
        <v>30-39</v>
      </c>
      <c r="M2268" t="s">
        <v>24</v>
      </c>
      <c r="N2268" t="s">
        <v>35</v>
      </c>
    </row>
    <row r="2269" spans="1:14" x14ac:dyDescent="0.35">
      <c r="A2269">
        <v>2368</v>
      </c>
      <c r="B2269" t="s">
        <v>36</v>
      </c>
      <c r="C2269" s="6">
        <v>44619</v>
      </c>
      <c r="D2269">
        <f>YEAR(Table1[[#This Row],[Join Date]])</f>
        <v>2022</v>
      </c>
      <c r="E2269" s="6" t="s">
        <v>48</v>
      </c>
      <c r="F2269" t="str">
        <f>IFERROR(YEAR(Table1[[#This Row],[Exit Date]]), " ")</f>
        <v xml:space="preserve"> </v>
      </c>
      <c r="G2269" t="str">
        <f>IFERROR((Table1[[#This Row],[Exit Year]]-Table1[[#This Row],[Join Year]])+1," ")</f>
        <v xml:space="preserve"> </v>
      </c>
      <c r="H2269" t="s">
        <v>48</v>
      </c>
      <c r="I2269" t="s">
        <v>11</v>
      </c>
      <c r="J2269" t="s">
        <v>18</v>
      </c>
      <c r="K2269">
        <v>51</v>
      </c>
      <c r="L2269" t="str">
        <f>IF(Table1[[#This Row],[Age]]&lt;30,"20-29",
IF(Table1[[#This Row],[Age]]&lt;40,"30-39",
IF(Table1[[#This Row],[Age]]&lt;50,"40-49",
IF(Table1[[#This Row],[Age]]&lt;60,"50-59","60+"))))</f>
        <v>50-59</v>
      </c>
      <c r="M2269" t="s">
        <v>13</v>
      </c>
      <c r="N2269" t="s">
        <v>14</v>
      </c>
    </row>
    <row r="2270" spans="1:14" x14ac:dyDescent="0.35">
      <c r="A2270">
        <v>2369</v>
      </c>
      <c r="B2270" t="s">
        <v>10</v>
      </c>
      <c r="C2270" s="6">
        <v>45485</v>
      </c>
      <c r="D2270">
        <f>YEAR(Table1[[#This Row],[Join Date]])</f>
        <v>2024</v>
      </c>
      <c r="E2270" s="6" t="s">
        <v>48</v>
      </c>
      <c r="F2270" t="str">
        <f>IFERROR(YEAR(Table1[[#This Row],[Exit Date]]), " ")</f>
        <v xml:space="preserve"> </v>
      </c>
      <c r="G2270" t="str">
        <f>IFERROR((Table1[[#This Row],[Exit Year]]-Table1[[#This Row],[Join Year]])+1," ")</f>
        <v xml:space="preserve"> </v>
      </c>
      <c r="H2270" t="s">
        <v>48</v>
      </c>
      <c r="I2270" t="s">
        <v>11</v>
      </c>
      <c r="J2270" t="s">
        <v>18</v>
      </c>
      <c r="K2270">
        <v>48</v>
      </c>
      <c r="L2270" t="str">
        <f>IF(Table1[[#This Row],[Age]]&lt;30,"20-29",
IF(Table1[[#This Row],[Age]]&lt;40,"30-39",
IF(Table1[[#This Row],[Age]]&lt;50,"40-49",
IF(Table1[[#This Row],[Age]]&lt;60,"50-59","60+"))))</f>
        <v>40-49</v>
      </c>
      <c r="M2270" t="s">
        <v>42</v>
      </c>
      <c r="N2270" t="s">
        <v>19</v>
      </c>
    </row>
    <row r="2271" spans="1:14" x14ac:dyDescent="0.35">
      <c r="A2271">
        <v>2370</v>
      </c>
      <c r="B2271" t="s">
        <v>29</v>
      </c>
      <c r="C2271" s="6">
        <v>43588</v>
      </c>
      <c r="D2271">
        <f>YEAR(Table1[[#This Row],[Join Date]])</f>
        <v>2019</v>
      </c>
      <c r="E2271" s="6">
        <v>44896</v>
      </c>
      <c r="F2271">
        <f>IFERROR(YEAR(Table1[[#This Row],[Exit Date]]), " ")</f>
        <v>2022</v>
      </c>
      <c r="G2271">
        <f>IFERROR((Table1[[#This Row],[Exit Year]]-Table1[[#This Row],[Join Year]])+1," ")</f>
        <v>4</v>
      </c>
      <c r="H2271" t="s">
        <v>41</v>
      </c>
      <c r="I2271" t="s">
        <v>23</v>
      </c>
      <c r="J2271" t="s">
        <v>12</v>
      </c>
      <c r="K2271">
        <v>41</v>
      </c>
      <c r="L2271" t="str">
        <f>IF(Table1[[#This Row],[Age]]&lt;30,"20-29",
IF(Table1[[#This Row],[Age]]&lt;40,"30-39",
IF(Table1[[#This Row],[Age]]&lt;50,"40-49",
IF(Table1[[#This Row],[Age]]&lt;60,"50-59","60+"))))</f>
        <v>40-49</v>
      </c>
      <c r="M2271" t="s">
        <v>13</v>
      </c>
      <c r="N2271" t="s">
        <v>21</v>
      </c>
    </row>
    <row r="2272" spans="1:14" x14ac:dyDescent="0.35">
      <c r="A2272">
        <v>2371</v>
      </c>
      <c r="B2272" t="s">
        <v>36</v>
      </c>
      <c r="C2272" s="6">
        <v>44250</v>
      </c>
      <c r="D2272">
        <f>YEAR(Table1[[#This Row],[Join Date]])</f>
        <v>2021</v>
      </c>
      <c r="E2272" s="6">
        <v>45392</v>
      </c>
      <c r="F2272">
        <f>IFERROR(YEAR(Table1[[#This Row],[Exit Date]]), " ")</f>
        <v>2024</v>
      </c>
      <c r="G2272">
        <f>IFERROR((Table1[[#This Row],[Exit Year]]-Table1[[#This Row],[Join Year]])+1," ")</f>
        <v>4</v>
      </c>
      <c r="H2272" t="s">
        <v>46</v>
      </c>
      <c r="I2272" t="s">
        <v>23</v>
      </c>
      <c r="J2272" t="s">
        <v>12</v>
      </c>
      <c r="K2272">
        <v>35</v>
      </c>
      <c r="L2272" t="str">
        <f>IF(Table1[[#This Row],[Age]]&lt;30,"20-29",
IF(Table1[[#This Row],[Age]]&lt;40,"30-39",
IF(Table1[[#This Row],[Age]]&lt;50,"40-49",
IF(Table1[[#This Row],[Age]]&lt;60,"50-59","60+"))))</f>
        <v>30-39</v>
      </c>
      <c r="M2272" t="s">
        <v>13</v>
      </c>
      <c r="N2272" t="s">
        <v>37</v>
      </c>
    </row>
    <row r="2273" spans="1:14" x14ac:dyDescent="0.35">
      <c r="A2273">
        <v>2372</v>
      </c>
      <c r="B2273" t="s">
        <v>26</v>
      </c>
      <c r="C2273" s="6">
        <v>45244</v>
      </c>
      <c r="D2273">
        <f>YEAR(Table1[[#This Row],[Join Date]])</f>
        <v>2023</v>
      </c>
      <c r="E2273" s="6">
        <v>45446</v>
      </c>
      <c r="F2273">
        <f>IFERROR(YEAR(Table1[[#This Row],[Exit Date]]), " ")</f>
        <v>2024</v>
      </c>
      <c r="G2273">
        <f>IFERROR((Table1[[#This Row],[Exit Year]]-Table1[[#This Row],[Join Year]])+1," ")</f>
        <v>2</v>
      </c>
      <c r="H2273" t="s">
        <v>40</v>
      </c>
      <c r="I2273" t="s">
        <v>23</v>
      </c>
      <c r="J2273" t="s">
        <v>12</v>
      </c>
      <c r="K2273">
        <v>24</v>
      </c>
      <c r="L2273" t="str">
        <f>IF(Table1[[#This Row],[Age]]&lt;30,"20-29",
IF(Table1[[#This Row],[Age]]&lt;40,"30-39",
IF(Table1[[#This Row],[Age]]&lt;50,"40-49",
IF(Table1[[#This Row],[Age]]&lt;60,"50-59","60+"))))</f>
        <v>20-29</v>
      </c>
      <c r="M2273" t="s">
        <v>16</v>
      </c>
      <c r="N2273" t="s">
        <v>25</v>
      </c>
    </row>
    <row r="2274" spans="1:14" x14ac:dyDescent="0.35">
      <c r="A2274">
        <v>2373</v>
      </c>
      <c r="B2274" t="s">
        <v>15</v>
      </c>
      <c r="C2274" s="6">
        <v>45256</v>
      </c>
      <c r="D2274">
        <f>YEAR(Table1[[#This Row],[Join Date]])</f>
        <v>2023</v>
      </c>
      <c r="E2274" s="6" t="s">
        <v>48</v>
      </c>
      <c r="F2274" t="str">
        <f>IFERROR(YEAR(Table1[[#This Row],[Exit Date]]), " ")</f>
        <v xml:space="preserve"> </v>
      </c>
      <c r="G2274" t="str">
        <f>IFERROR((Table1[[#This Row],[Exit Year]]-Table1[[#This Row],[Join Year]])+1," ")</f>
        <v xml:space="preserve"> </v>
      </c>
      <c r="H2274" t="s">
        <v>48</v>
      </c>
      <c r="I2274" t="s">
        <v>11</v>
      </c>
      <c r="J2274" t="s">
        <v>18</v>
      </c>
      <c r="K2274">
        <v>41</v>
      </c>
      <c r="L2274" t="str">
        <f>IF(Table1[[#This Row],[Age]]&lt;30,"20-29",
IF(Table1[[#This Row],[Age]]&lt;40,"30-39",
IF(Table1[[#This Row],[Age]]&lt;50,"40-49",
IF(Table1[[#This Row],[Age]]&lt;60,"50-59","60+"))))</f>
        <v>40-49</v>
      </c>
      <c r="M2274" t="s">
        <v>13</v>
      </c>
      <c r="N2274" t="s">
        <v>35</v>
      </c>
    </row>
    <row r="2275" spans="1:14" x14ac:dyDescent="0.35">
      <c r="A2275">
        <v>2374</v>
      </c>
      <c r="B2275" t="s">
        <v>26</v>
      </c>
      <c r="C2275" s="6">
        <v>45465</v>
      </c>
      <c r="D2275">
        <f>YEAR(Table1[[#This Row],[Join Date]])</f>
        <v>2024</v>
      </c>
      <c r="E2275" s="6" t="s">
        <v>48</v>
      </c>
      <c r="F2275" t="str">
        <f>IFERROR(YEAR(Table1[[#This Row],[Exit Date]]), " ")</f>
        <v xml:space="preserve"> </v>
      </c>
      <c r="G2275" t="str">
        <f>IFERROR((Table1[[#This Row],[Exit Year]]-Table1[[#This Row],[Join Year]])+1," ")</f>
        <v xml:space="preserve"> </v>
      </c>
      <c r="H2275" t="s">
        <v>48</v>
      </c>
      <c r="I2275" t="s">
        <v>11</v>
      </c>
      <c r="J2275" t="s">
        <v>18</v>
      </c>
      <c r="K2275">
        <v>40</v>
      </c>
      <c r="L2275" t="str">
        <f>IF(Table1[[#This Row],[Age]]&lt;30,"20-29",
IF(Table1[[#This Row],[Age]]&lt;40,"30-39",
IF(Table1[[#This Row],[Age]]&lt;50,"40-49",
IF(Table1[[#This Row],[Age]]&lt;60,"50-59","60+"))))</f>
        <v>40-49</v>
      </c>
      <c r="M2275" t="s">
        <v>20</v>
      </c>
      <c r="N2275" t="s">
        <v>14</v>
      </c>
    </row>
    <row r="2276" spans="1:14" x14ac:dyDescent="0.35">
      <c r="A2276">
        <v>2375</v>
      </c>
      <c r="B2276" t="s">
        <v>10</v>
      </c>
      <c r="C2276" s="6">
        <v>43597</v>
      </c>
      <c r="D2276">
        <f>YEAR(Table1[[#This Row],[Join Date]])</f>
        <v>2019</v>
      </c>
      <c r="E2276" s="6" t="s">
        <v>48</v>
      </c>
      <c r="F2276" t="str">
        <f>IFERROR(YEAR(Table1[[#This Row],[Exit Date]]), " ")</f>
        <v xml:space="preserve"> </v>
      </c>
      <c r="G2276" t="str">
        <f>IFERROR((Table1[[#This Row],[Exit Year]]-Table1[[#This Row],[Join Year]])+1," ")</f>
        <v xml:space="preserve"> </v>
      </c>
      <c r="H2276" t="s">
        <v>48</v>
      </c>
      <c r="I2276" t="s">
        <v>11</v>
      </c>
      <c r="J2276" t="s">
        <v>12</v>
      </c>
      <c r="K2276">
        <v>48</v>
      </c>
      <c r="L2276" t="str">
        <f>IF(Table1[[#This Row],[Age]]&lt;30,"20-29",
IF(Table1[[#This Row],[Age]]&lt;40,"30-39",
IF(Table1[[#This Row],[Age]]&lt;50,"40-49",
IF(Table1[[#This Row],[Age]]&lt;60,"50-59","60+"))))</f>
        <v>40-49</v>
      </c>
      <c r="M2276" t="s">
        <v>39</v>
      </c>
      <c r="N2276" t="s">
        <v>17</v>
      </c>
    </row>
    <row r="2277" spans="1:14" x14ac:dyDescent="0.35">
      <c r="A2277">
        <v>2376</v>
      </c>
      <c r="B2277" t="s">
        <v>15</v>
      </c>
      <c r="C2277" s="6">
        <v>44866</v>
      </c>
      <c r="D2277">
        <f>YEAR(Table1[[#This Row],[Join Date]])</f>
        <v>2022</v>
      </c>
      <c r="E2277" s="6" t="s">
        <v>48</v>
      </c>
      <c r="F2277" t="str">
        <f>IFERROR(YEAR(Table1[[#This Row],[Exit Date]]), " ")</f>
        <v xml:space="preserve"> </v>
      </c>
      <c r="G2277" t="str">
        <f>IFERROR((Table1[[#This Row],[Exit Year]]-Table1[[#This Row],[Join Year]])+1," ")</f>
        <v xml:space="preserve"> </v>
      </c>
      <c r="H2277" t="s">
        <v>48</v>
      </c>
      <c r="I2277" t="s">
        <v>11</v>
      </c>
      <c r="J2277" t="s">
        <v>18</v>
      </c>
      <c r="K2277">
        <v>52</v>
      </c>
      <c r="L2277" t="str">
        <f>IF(Table1[[#This Row],[Age]]&lt;30,"20-29",
IF(Table1[[#This Row],[Age]]&lt;40,"30-39",
IF(Table1[[#This Row],[Age]]&lt;50,"40-49",
IF(Table1[[#This Row],[Age]]&lt;60,"50-59","60+"))))</f>
        <v>50-59</v>
      </c>
      <c r="M2277" t="s">
        <v>13</v>
      </c>
      <c r="N2277" t="s">
        <v>19</v>
      </c>
    </row>
    <row r="2278" spans="1:14" x14ac:dyDescent="0.35">
      <c r="A2278">
        <v>2377</v>
      </c>
      <c r="B2278" t="s">
        <v>34</v>
      </c>
      <c r="C2278" s="6">
        <v>44006</v>
      </c>
      <c r="D2278">
        <f>YEAR(Table1[[#This Row],[Join Date]])</f>
        <v>2020</v>
      </c>
      <c r="E2278" s="6">
        <v>44463</v>
      </c>
      <c r="F2278">
        <f>IFERROR(YEAR(Table1[[#This Row],[Exit Date]]), " ")</f>
        <v>2021</v>
      </c>
      <c r="G2278">
        <f>IFERROR((Table1[[#This Row],[Exit Year]]-Table1[[#This Row],[Join Year]])+1," ")</f>
        <v>2</v>
      </c>
      <c r="H2278" t="s">
        <v>43</v>
      </c>
      <c r="I2278" t="s">
        <v>23</v>
      </c>
      <c r="J2278" t="s">
        <v>12</v>
      </c>
      <c r="K2278">
        <v>33</v>
      </c>
      <c r="L2278" t="str">
        <f>IF(Table1[[#This Row],[Age]]&lt;30,"20-29",
IF(Table1[[#This Row],[Age]]&lt;40,"30-39",
IF(Table1[[#This Row],[Age]]&lt;50,"40-49",
IF(Table1[[#This Row],[Age]]&lt;60,"50-59","60+"))))</f>
        <v>30-39</v>
      </c>
      <c r="M2278" t="s">
        <v>16</v>
      </c>
      <c r="N2278" t="s">
        <v>21</v>
      </c>
    </row>
    <row r="2279" spans="1:14" x14ac:dyDescent="0.35">
      <c r="A2279">
        <v>2378</v>
      </c>
      <c r="B2279" t="s">
        <v>26</v>
      </c>
      <c r="C2279" s="6">
        <v>45095</v>
      </c>
      <c r="D2279">
        <f>YEAR(Table1[[#This Row],[Join Date]])</f>
        <v>2023</v>
      </c>
      <c r="E2279" s="6" t="s">
        <v>48</v>
      </c>
      <c r="F2279" t="str">
        <f>IFERROR(YEAR(Table1[[#This Row],[Exit Date]]), " ")</f>
        <v xml:space="preserve"> </v>
      </c>
      <c r="G2279" t="str">
        <f>IFERROR((Table1[[#This Row],[Exit Year]]-Table1[[#This Row],[Join Year]])+1," ")</f>
        <v xml:space="preserve"> </v>
      </c>
      <c r="H2279" t="s">
        <v>48</v>
      </c>
      <c r="I2279" t="s">
        <v>11</v>
      </c>
      <c r="J2279" t="s">
        <v>12</v>
      </c>
      <c r="K2279">
        <v>51</v>
      </c>
      <c r="L2279" t="str">
        <f>IF(Table1[[#This Row],[Age]]&lt;30,"20-29",
IF(Table1[[#This Row],[Age]]&lt;40,"30-39",
IF(Table1[[#This Row],[Age]]&lt;50,"40-49",
IF(Table1[[#This Row],[Age]]&lt;60,"50-59","60+"))))</f>
        <v>50-59</v>
      </c>
      <c r="M2279" t="s">
        <v>16</v>
      </c>
      <c r="N2279" t="s">
        <v>25</v>
      </c>
    </row>
    <row r="2280" spans="1:14" x14ac:dyDescent="0.35">
      <c r="A2280">
        <v>2379</v>
      </c>
      <c r="B2280" t="s">
        <v>10</v>
      </c>
      <c r="C2280" s="6">
        <v>44360</v>
      </c>
      <c r="D2280">
        <f>YEAR(Table1[[#This Row],[Join Date]])</f>
        <v>2021</v>
      </c>
      <c r="E2280" s="6">
        <v>44755</v>
      </c>
      <c r="F2280">
        <f>IFERROR(YEAR(Table1[[#This Row],[Exit Date]]), " ")</f>
        <v>2022</v>
      </c>
      <c r="G2280">
        <f>IFERROR((Table1[[#This Row],[Exit Year]]-Table1[[#This Row],[Join Year]])+1," ")</f>
        <v>2</v>
      </c>
      <c r="H2280" t="s">
        <v>38</v>
      </c>
      <c r="I2280" t="s">
        <v>23</v>
      </c>
      <c r="J2280" t="s">
        <v>12</v>
      </c>
      <c r="K2280">
        <v>46</v>
      </c>
      <c r="L2280" t="str">
        <f>IF(Table1[[#This Row],[Age]]&lt;30,"20-29",
IF(Table1[[#This Row],[Age]]&lt;40,"30-39",
IF(Table1[[#This Row],[Age]]&lt;50,"40-49",
IF(Table1[[#This Row],[Age]]&lt;60,"50-59","60+"))))</f>
        <v>40-49</v>
      </c>
      <c r="M2280" t="s">
        <v>20</v>
      </c>
      <c r="N2280" t="s">
        <v>28</v>
      </c>
    </row>
    <row r="2281" spans="1:14" x14ac:dyDescent="0.35">
      <c r="A2281">
        <v>2380</v>
      </c>
      <c r="B2281" t="s">
        <v>26</v>
      </c>
      <c r="C2281" s="6">
        <v>43419</v>
      </c>
      <c r="D2281">
        <f>YEAR(Table1[[#This Row],[Join Date]])</f>
        <v>2018</v>
      </c>
      <c r="E2281" s="6">
        <v>44303</v>
      </c>
      <c r="F2281">
        <f>IFERROR(YEAR(Table1[[#This Row],[Exit Date]]), " ")</f>
        <v>2021</v>
      </c>
      <c r="G2281">
        <f>IFERROR((Table1[[#This Row],[Exit Year]]-Table1[[#This Row],[Join Year]])+1," ")</f>
        <v>4</v>
      </c>
      <c r="H2281" t="s">
        <v>22</v>
      </c>
      <c r="I2281" t="s">
        <v>23</v>
      </c>
      <c r="J2281" t="s">
        <v>18</v>
      </c>
      <c r="K2281">
        <v>53</v>
      </c>
      <c r="L2281" t="str">
        <f>IF(Table1[[#This Row],[Age]]&lt;30,"20-29",
IF(Table1[[#This Row],[Age]]&lt;40,"30-39",
IF(Table1[[#This Row],[Age]]&lt;50,"40-49",
IF(Table1[[#This Row],[Age]]&lt;60,"50-59","60+"))))</f>
        <v>50-59</v>
      </c>
      <c r="M2281" t="s">
        <v>24</v>
      </c>
      <c r="N2281" t="s">
        <v>31</v>
      </c>
    </row>
    <row r="2282" spans="1:14" x14ac:dyDescent="0.35">
      <c r="A2282">
        <v>2381</v>
      </c>
      <c r="B2282" t="s">
        <v>36</v>
      </c>
      <c r="C2282" s="6">
        <v>44249</v>
      </c>
      <c r="D2282">
        <f>YEAR(Table1[[#This Row],[Join Date]])</f>
        <v>2021</v>
      </c>
      <c r="E2282" s="6" t="s">
        <v>48</v>
      </c>
      <c r="F2282" t="str">
        <f>IFERROR(YEAR(Table1[[#This Row],[Exit Date]]), " ")</f>
        <v xml:space="preserve"> </v>
      </c>
      <c r="G2282" t="str">
        <f>IFERROR((Table1[[#This Row],[Exit Year]]-Table1[[#This Row],[Join Year]])+1," ")</f>
        <v xml:space="preserve"> </v>
      </c>
      <c r="H2282" t="s">
        <v>48</v>
      </c>
      <c r="I2282" t="s">
        <v>11</v>
      </c>
      <c r="J2282" t="s">
        <v>12</v>
      </c>
      <c r="K2282">
        <v>35</v>
      </c>
      <c r="L2282" t="str">
        <f>IF(Table1[[#This Row],[Age]]&lt;30,"20-29",
IF(Table1[[#This Row],[Age]]&lt;40,"30-39",
IF(Table1[[#This Row],[Age]]&lt;50,"40-49",
IF(Table1[[#This Row],[Age]]&lt;60,"50-59","60+"))))</f>
        <v>30-39</v>
      </c>
      <c r="M2282" t="s">
        <v>13</v>
      </c>
      <c r="N2282" t="s">
        <v>32</v>
      </c>
    </row>
    <row r="2283" spans="1:14" x14ac:dyDescent="0.35">
      <c r="A2283">
        <v>2382</v>
      </c>
      <c r="B2283" t="s">
        <v>10</v>
      </c>
      <c r="C2283" s="6">
        <v>45533</v>
      </c>
      <c r="D2283">
        <f>YEAR(Table1[[#This Row],[Join Date]])</f>
        <v>2024</v>
      </c>
      <c r="E2283" s="6" t="s">
        <v>48</v>
      </c>
      <c r="F2283" t="str">
        <f>IFERROR(YEAR(Table1[[#This Row],[Exit Date]]), " ")</f>
        <v xml:space="preserve"> </v>
      </c>
      <c r="G2283" t="str">
        <f>IFERROR((Table1[[#This Row],[Exit Year]]-Table1[[#This Row],[Join Year]])+1," ")</f>
        <v xml:space="preserve"> </v>
      </c>
      <c r="H2283" t="s">
        <v>48</v>
      </c>
      <c r="I2283" t="s">
        <v>11</v>
      </c>
      <c r="J2283" t="s">
        <v>18</v>
      </c>
      <c r="K2283">
        <v>32</v>
      </c>
      <c r="L2283" t="str">
        <f>IF(Table1[[#This Row],[Age]]&lt;30,"20-29",
IF(Table1[[#This Row],[Age]]&lt;40,"30-39",
IF(Table1[[#This Row],[Age]]&lt;50,"40-49",
IF(Table1[[#This Row],[Age]]&lt;60,"50-59","60+"))))</f>
        <v>30-39</v>
      </c>
      <c r="M2283" t="s">
        <v>30</v>
      </c>
      <c r="N2283" t="s">
        <v>33</v>
      </c>
    </row>
    <row r="2284" spans="1:14" x14ac:dyDescent="0.35">
      <c r="A2284">
        <v>2383</v>
      </c>
      <c r="B2284" t="s">
        <v>36</v>
      </c>
      <c r="C2284" s="6">
        <v>44377</v>
      </c>
      <c r="D2284">
        <f>YEAR(Table1[[#This Row],[Join Date]])</f>
        <v>2021</v>
      </c>
      <c r="E2284" s="6" t="s">
        <v>48</v>
      </c>
      <c r="F2284" t="str">
        <f>IFERROR(YEAR(Table1[[#This Row],[Exit Date]]), " ")</f>
        <v xml:space="preserve"> </v>
      </c>
      <c r="G2284" t="str">
        <f>IFERROR((Table1[[#This Row],[Exit Year]]-Table1[[#This Row],[Join Year]])+1," ")</f>
        <v xml:space="preserve"> </v>
      </c>
      <c r="H2284" t="s">
        <v>48</v>
      </c>
      <c r="I2284" t="s">
        <v>11</v>
      </c>
      <c r="J2284" t="s">
        <v>12</v>
      </c>
      <c r="K2284">
        <v>46</v>
      </c>
      <c r="L2284" t="str">
        <f>IF(Table1[[#This Row],[Age]]&lt;30,"20-29",
IF(Table1[[#This Row],[Age]]&lt;40,"30-39",
IF(Table1[[#This Row],[Age]]&lt;50,"40-49",
IF(Table1[[#This Row],[Age]]&lt;60,"50-59","60+"))))</f>
        <v>40-49</v>
      </c>
      <c r="M2284" t="s">
        <v>13</v>
      </c>
      <c r="N2284" t="s">
        <v>35</v>
      </c>
    </row>
    <row r="2285" spans="1:14" x14ac:dyDescent="0.35">
      <c r="A2285">
        <v>2384</v>
      </c>
      <c r="B2285" t="s">
        <v>10</v>
      </c>
      <c r="C2285" s="6">
        <v>44088</v>
      </c>
      <c r="D2285">
        <f>YEAR(Table1[[#This Row],[Join Date]])</f>
        <v>2020</v>
      </c>
      <c r="E2285" s="6" t="s">
        <v>48</v>
      </c>
      <c r="F2285" t="str">
        <f>IFERROR(YEAR(Table1[[#This Row],[Exit Date]]), " ")</f>
        <v xml:space="preserve"> </v>
      </c>
      <c r="G2285" t="str">
        <f>IFERROR((Table1[[#This Row],[Exit Year]]-Table1[[#This Row],[Join Year]])+1," ")</f>
        <v xml:space="preserve"> </v>
      </c>
      <c r="H2285" t="s">
        <v>48</v>
      </c>
      <c r="I2285" t="s">
        <v>11</v>
      </c>
      <c r="J2285" t="s">
        <v>18</v>
      </c>
      <c r="K2285">
        <v>50</v>
      </c>
      <c r="L2285" t="str">
        <f>IF(Table1[[#This Row],[Age]]&lt;30,"20-29",
IF(Table1[[#This Row],[Age]]&lt;40,"30-39",
IF(Table1[[#This Row],[Age]]&lt;50,"40-49",
IF(Table1[[#This Row],[Age]]&lt;60,"50-59","60+"))))</f>
        <v>50-59</v>
      </c>
      <c r="M2285" t="s">
        <v>13</v>
      </c>
      <c r="N2285" t="s">
        <v>37</v>
      </c>
    </row>
    <row r="2286" spans="1:14" x14ac:dyDescent="0.35">
      <c r="A2286">
        <v>2385</v>
      </c>
      <c r="B2286" t="s">
        <v>26</v>
      </c>
      <c r="C2286" s="6">
        <v>43373</v>
      </c>
      <c r="D2286">
        <f>YEAR(Table1[[#This Row],[Join Date]])</f>
        <v>2018</v>
      </c>
      <c r="E2286" s="6">
        <v>44825</v>
      </c>
      <c r="F2286">
        <f>IFERROR(YEAR(Table1[[#This Row],[Exit Date]]), " ")</f>
        <v>2022</v>
      </c>
      <c r="G2286">
        <f>IFERROR((Table1[[#This Row],[Exit Year]]-Table1[[#This Row],[Join Year]])+1," ")</f>
        <v>5</v>
      </c>
      <c r="H2286" t="s">
        <v>27</v>
      </c>
      <c r="I2286" t="s">
        <v>23</v>
      </c>
      <c r="J2286" t="s">
        <v>18</v>
      </c>
      <c r="K2286">
        <v>62</v>
      </c>
      <c r="L2286" t="str">
        <f>IF(Table1[[#This Row],[Age]]&lt;30,"20-29",
IF(Table1[[#This Row],[Age]]&lt;40,"30-39",
IF(Table1[[#This Row],[Age]]&lt;50,"40-49",
IF(Table1[[#This Row],[Age]]&lt;60,"50-59","60+"))))</f>
        <v>60+</v>
      </c>
      <c r="M2286" t="s">
        <v>16</v>
      </c>
      <c r="N2286" t="s">
        <v>19</v>
      </c>
    </row>
    <row r="2287" spans="1:14" x14ac:dyDescent="0.35">
      <c r="A2287">
        <v>2386</v>
      </c>
      <c r="B2287" t="s">
        <v>26</v>
      </c>
      <c r="C2287" s="6">
        <v>43314</v>
      </c>
      <c r="D2287">
        <f>YEAR(Table1[[#This Row],[Join Date]])</f>
        <v>2018</v>
      </c>
      <c r="E2287" s="6" t="s">
        <v>48</v>
      </c>
      <c r="F2287" t="str">
        <f>IFERROR(YEAR(Table1[[#This Row],[Exit Date]]), " ")</f>
        <v xml:space="preserve"> </v>
      </c>
      <c r="G2287" t="str">
        <f>IFERROR((Table1[[#This Row],[Exit Year]]-Table1[[#This Row],[Join Year]])+1," ")</f>
        <v xml:space="preserve"> </v>
      </c>
      <c r="H2287" t="s">
        <v>48</v>
      </c>
      <c r="I2287" t="s">
        <v>11</v>
      </c>
      <c r="J2287" t="s">
        <v>12</v>
      </c>
      <c r="K2287">
        <v>29</v>
      </c>
      <c r="L2287" t="str">
        <f>IF(Table1[[#This Row],[Age]]&lt;30,"20-29",
IF(Table1[[#This Row],[Age]]&lt;40,"30-39",
IF(Table1[[#This Row],[Age]]&lt;50,"40-49",
IF(Table1[[#This Row],[Age]]&lt;60,"50-59","60+"))))</f>
        <v>20-29</v>
      </c>
      <c r="M2287" t="s">
        <v>13</v>
      </c>
      <c r="N2287" t="s">
        <v>25</v>
      </c>
    </row>
    <row r="2288" spans="1:14" x14ac:dyDescent="0.35">
      <c r="A2288">
        <v>2387</v>
      </c>
      <c r="B2288" t="s">
        <v>26</v>
      </c>
      <c r="C2288" s="6">
        <v>44418</v>
      </c>
      <c r="D2288">
        <f>YEAR(Table1[[#This Row],[Join Date]])</f>
        <v>2021</v>
      </c>
      <c r="E2288" s="6">
        <v>45628</v>
      </c>
      <c r="F2288">
        <f>IFERROR(YEAR(Table1[[#This Row],[Exit Date]]), " ")</f>
        <v>2024</v>
      </c>
      <c r="G2288">
        <f>IFERROR((Table1[[#This Row],[Exit Year]]-Table1[[#This Row],[Join Year]])+1," ")</f>
        <v>4</v>
      </c>
      <c r="H2288" t="s">
        <v>46</v>
      </c>
      <c r="I2288" t="s">
        <v>23</v>
      </c>
      <c r="J2288" t="s">
        <v>18</v>
      </c>
      <c r="K2288">
        <v>27</v>
      </c>
      <c r="L2288" t="str">
        <f>IF(Table1[[#This Row],[Age]]&lt;30,"20-29",
IF(Table1[[#This Row],[Age]]&lt;40,"30-39",
IF(Table1[[#This Row],[Age]]&lt;50,"40-49",
IF(Table1[[#This Row],[Age]]&lt;60,"50-59","60+"))))</f>
        <v>20-29</v>
      </c>
      <c r="M2288" t="s">
        <v>20</v>
      </c>
      <c r="N2288" t="s">
        <v>35</v>
      </c>
    </row>
    <row r="2289" spans="1:14" x14ac:dyDescent="0.35">
      <c r="A2289">
        <v>2388</v>
      </c>
      <c r="B2289" t="s">
        <v>34</v>
      </c>
      <c r="C2289" s="6">
        <v>44324</v>
      </c>
      <c r="D2289">
        <f>YEAR(Table1[[#This Row],[Join Date]])</f>
        <v>2021</v>
      </c>
      <c r="E2289" s="6">
        <v>45076</v>
      </c>
      <c r="F2289">
        <f>IFERROR(YEAR(Table1[[#This Row],[Exit Date]]), " ")</f>
        <v>2023</v>
      </c>
      <c r="G2289">
        <f>IFERROR((Table1[[#This Row],[Exit Year]]-Table1[[#This Row],[Join Year]])+1," ")</f>
        <v>3</v>
      </c>
      <c r="H2289" t="s">
        <v>40</v>
      </c>
      <c r="I2289" t="s">
        <v>23</v>
      </c>
      <c r="J2289" t="s">
        <v>18</v>
      </c>
      <c r="K2289">
        <v>31</v>
      </c>
      <c r="L2289" t="str">
        <f>IF(Table1[[#This Row],[Age]]&lt;30,"20-29",
IF(Table1[[#This Row],[Age]]&lt;40,"30-39",
IF(Table1[[#This Row],[Age]]&lt;50,"40-49",
IF(Table1[[#This Row],[Age]]&lt;60,"50-59","60+"))))</f>
        <v>30-39</v>
      </c>
      <c r="M2289" t="s">
        <v>44</v>
      </c>
      <c r="N2289" t="s">
        <v>17</v>
      </c>
    </row>
    <row r="2290" spans="1:14" x14ac:dyDescent="0.35">
      <c r="A2290">
        <v>2389</v>
      </c>
      <c r="B2290" t="s">
        <v>10</v>
      </c>
      <c r="C2290" s="6">
        <v>43513</v>
      </c>
      <c r="D2290">
        <f>YEAR(Table1[[#This Row],[Join Date]])</f>
        <v>2019</v>
      </c>
      <c r="E2290" s="6">
        <v>44923</v>
      </c>
      <c r="F2290">
        <f>IFERROR(YEAR(Table1[[#This Row],[Exit Date]]), " ")</f>
        <v>2022</v>
      </c>
      <c r="G2290">
        <f>IFERROR((Table1[[#This Row],[Exit Year]]-Table1[[#This Row],[Join Year]])+1," ")</f>
        <v>4</v>
      </c>
      <c r="H2290" t="s">
        <v>38</v>
      </c>
      <c r="I2290" t="s">
        <v>23</v>
      </c>
      <c r="J2290" t="s">
        <v>12</v>
      </c>
      <c r="K2290">
        <v>24</v>
      </c>
      <c r="L2290" t="str">
        <f>IF(Table1[[#This Row],[Age]]&lt;30,"20-29",
IF(Table1[[#This Row],[Age]]&lt;40,"30-39",
IF(Table1[[#This Row],[Age]]&lt;50,"40-49",
IF(Table1[[#This Row],[Age]]&lt;60,"50-59","60+"))))</f>
        <v>20-29</v>
      </c>
      <c r="M2290" t="s">
        <v>13</v>
      </c>
      <c r="N2290" t="s">
        <v>19</v>
      </c>
    </row>
    <row r="2291" spans="1:14" x14ac:dyDescent="0.35">
      <c r="A2291">
        <v>2390</v>
      </c>
      <c r="B2291" t="s">
        <v>36</v>
      </c>
      <c r="C2291" s="6">
        <v>44180</v>
      </c>
      <c r="D2291">
        <f>YEAR(Table1[[#This Row],[Join Date]])</f>
        <v>2020</v>
      </c>
      <c r="E2291" s="6" t="s">
        <v>48</v>
      </c>
      <c r="F2291" t="str">
        <f>IFERROR(YEAR(Table1[[#This Row],[Exit Date]]), " ")</f>
        <v xml:space="preserve"> </v>
      </c>
      <c r="G2291" t="str">
        <f>IFERROR((Table1[[#This Row],[Exit Year]]-Table1[[#This Row],[Join Year]])+1," ")</f>
        <v xml:space="preserve"> </v>
      </c>
      <c r="H2291" t="s">
        <v>48</v>
      </c>
      <c r="I2291" t="s">
        <v>11</v>
      </c>
      <c r="J2291" t="s">
        <v>12</v>
      </c>
      <c r="K2291">
        <v>37</v>
      </c>
      <c r="L2291" t="str">
        <f>IF(Table1[[#This Row],[Age]]&lt;30,"20-29",
IF(Table1[[#This Row],[Age]]&lt;40,"30-39",
IF(Table1[[#This Row],[Age]]&lt;50,"40-49",
IF(Table1[[#This Row],[Age]]&lt;60,"50-59","60+"))))</f>
        <v>30-39</v>
      </c>
      <c r="M2291" t="s">
        <v>16</v>
      </c>
      <c r="N2291" t="s">
        <v>21</v>
      </c>
    </row>
    <row r="2292" spans="1:14" x14ac:dyDescent="0.35">
      <c r="A2292">
        <v>2391</v>
      </c>
      <c r="B2292" t="s">
        <v>34</v>
      </c>
      <c r="C2292" s="6">
        <v>44099</v>
      </c>
      <c r="D2292">
        <f>YEAR(Table1[[#This Row],[Join Date]])</f>
        <v>2020</v>
      </c>
      <c r="E2292" s="6" t="s">
        <v>48</v>
      </c>
      <c r="F2292" t="str">
        <f>IFERROR(YEAR(Table1[[#This Row],[Exit Date]]), " ")</f>
        <v xml:space="preserve"> </v>
      </c>
      <c r="G2292" t="str">
        <f>IFERROR((Table1[[#This Row],[Exit Year]]-Table1[[#This Row],[Join Year]])+1," ")</f>
        <v xml:space="preserve"> </v>
      </c>
      <c r="H2292" t="s">
        <v>48</v>
      </c>
      <c r="I2292" t="s">
        <v>11</v>
      </c>
      <c r="J2292" t="s">
        <v>12</v>
      </c>
      <c r="K2292">
        <v>23</v>
      </c>
      <c r="L2292" t="str">
        <f>IF(Table1[[#This Row],[Age]]&lt;30,"20-29",
IF(Table1[[#This Row],[Age]]&lt;40,"30-39",
IF(Table1[[#This Row],[Age]]&lt;50,"40-49",
IF(Table1[[#This Row],[Age]]&lt;60,"50-59","60+"))))</f>
        <v>20-29</v>
      </c>
      <c r="M2292" t="s">
        <v>16</v>
      </c>
      <c r="N2292" t="s">
        <v>25</v>
      </c>
    </row>
    <row r="2293" spans="1:14" x14ac:dyDescent="0.35">
      <c r="A2293">
        <v>2392</v>
      </c>
      <c r="B2293" t="s">
        <v>34</v>
      </c>
      <c r="C2293" s="6">
        <v>45632</v>
      </c>
      <c r="D2293">
        <f>YEAR(Table1[[#This Row],[Join Date]])</f>
        <v>2024</v>
      </c>
      <c r="E2293" s="6" t="s">
        <v>48</v>
      </c>
      <c r="F2293" t="str">
        <f>IFERROR(YEAR(Table1[[#This Row],[Exit Date]]), " ")</f>
        <v xml:space="preserve"> </v>
      </c>
      <c r="G2293" t="str">
        <f>IFERROR((Table1[[#This Row],[Exit Year]]-Table1[[#This Row],[Join Year]])+1," ")</f>
        <v xml:space="preserve"> </v>
      </c>
      <c r="H2293" t="s">
        <v>48</v>
      </c>
      <c r="I2293" t="s">
        <v>11</v>
      </c>
      <c r="J2293" t="s">
        <v>18</v>
      </c>
      <c r="K2293">
        <v>31</v>
      </c>
      <c r="L2293" t="str">
        <f>IF(Table1[[#This Row],[Age]]&lt;30,"20-29",
IF(Table1[[#This Row],[Age]]&lt;40,"30-39",
IF(Table1[[#This Row],[Age]]&lt;50,"40-49",
IF(Table1[[#This Row],[Age]]&lt;60,"50-59","60+"))))</f>
        <v>30-39</v>
      </c>
      <c r="M2293" t="s">
        <v>20</v>
      </c>
      <c r="N2293" t="s">
        <v>35</v>
      </c>
    </row>
    <row r="2294" spans="1:14" x14ac:dyDescent="0.35">
      <c r="A2294">
        <v>2393</v>
      </c>
      <c r="B2294" t="s">
        <v>36</v>
      </c>
      <c r="C2294" s="6">
        <v>45294</v>
      </c>
      <c r="D2294">
        <f>YEAR(Table1[[#This Row],[Join Date]])</f>
        <v>2024</v>
      </c>
      <c r="E2294" s="6" t="s">
        <v>48</v>
      </c>
      <c r="F2294" t="str">
        <f>IFERROR(YEAR(Table1[[#This Row],[Exit Date]]), " ")</f>
        <v xml:space="preserve"> </v>
      </c>
      <c r="G2294" t="str">
        <f>IFERROR((Table1[[#This Row],[Exit Year]]-Table1[[#This Row],[Join Year]])+1," ")</f>
        <v xml:space="preserve"> </v>
      </c>
      <c r="H2294" t="s">
        <v>48</v>
      </c>
      <c r="I2294" t="s">
        <v>11</v>
      </c>
      <c r="J2294" t="s">
        <v>18</v>
      </c>
      <c r="K2294">
        <v>52</v>
      </c>
      <c r="L2294" t="str">
        <f>IF(Table1[[#This Row],[Age]]&lt;30,"20-29",
IF(Table1[[#This Row],[Age]]&lt;40,"30-39",
IF(Table1[[#This Row],[Age]]&lt;50,"40-49",
IF(Table1[[#This Row],[Age]]&lt;60,"50-59","60+"))))</f>
        <v>50-59</v>
      </c>
      <c r="M2294" t="s">
        <v>24</v>
      </c>
      <c r="N2294" t="s">
        <v>14</v>
      </c>
    </row>
    <row r="2295" spans="1:14" x14ac:dyDescent="0.35">
      <c r="A2295">
        <v>2394</v>
      </c>
      <c r="B2295" t="s">
        <v>26</v>
      </c>
      <c r="C2295" s="6">
        <v>44590</v>
      </c>
      <c r="D2295">
        <f>YEAR(Table1[[#This Row],[Join Date]])</f>
        <v>2022</v>
      </c>
      <c r="E2295" s="6" t="s">
        <v>48</v>
      </c>
      <c r="F2295" t="str">
        <f>IFERROR(YEAR(Table1[[#This Row],[Exit Date]]), " ")</f>
        <v xml:space="preserve"> </v>
      </c>
      <c r="G2295" t="str">
        <f>IFERROR((Table1[[#This Row],[Exit Year]]-Table1[[#This Row],[Join Year]])+1," ")</f>
        <v xml:space="preserve"> </v>
      </c>
      <c r="H2295" t="s">
        <v>48</v>
      </c>
      <c r="I2295" t="s">
        <v>11</v>
      </c>
      <c r="J2295" t="s">
        <v>12</v>
      </c>
      <c r="K2295">
        <v>25</v>
      </c>
      <c r="L2295" t="str">
        <f>IF(Table1[[#This Row],[Age]]&lt;30,"20-29",
IF(Table1[[#This Row],[Age]]&lt;40,"30-39",
IF(Table1[[#This Row],[Age]]&lt;50,"40-49",
IF(Table1[[#This Row],[Age]]&lt;60,"50-59","60+"))))</f>
        <v>20-29</v>
      </c>
      <c r="M2295" t="s">
        <v>13</v>
      </c>
      <c r="N2295" t="s">
        <v>19</v>
      </c>
    </row>
    <row r="2296" spans="1:14" x14ac:dyDescent="0.35">
      <c r="A2296">
        <v>2395</v>
      </c>
      <c r="B2296" t="s">
        <v>15</v>
      </c>
      <c r="C2296" s="6">
        <v>45215</v>
      </c>
      <c r="D2296">
        <f>YEAR(Table1[[#This Row],[Join Date]])</f>
        <v>2023</v>
      </c>
      <c r="E2296" s="6" t="s">
        <v>48</v>
      </c>
      <c r="F2296" t="str">
        <f>IFERROR(YEAR(Table1[[#This Row],[Exit Date]]), " ")</f>
        <v xml:space="preserve"> </v>
      </c>
      <c r="G2296" t="str">
        <f>IFERROR((Table1[[#This Row],[Exit Year]]-Table1[[#This Row],[Join Year]])+1," ")</f>
        <v xml:space="preserve"> </v>
      </c>
      <c r="H2296" t="s">
        <v>48</v>
      </c>
      <c r="I2296" t="s">
        <v>11</v>
      </c>
      <c r="J2296" t="s">
        <v>18</v>
      </c>
      <c r="K2296">
        <v>46</v>
      </c>
      <c r="L2296" t="str">
        <f>IF(Table1[[#This Row],[Age]]&lt;30,"20-29",
IF(Table1[[#This Row],[Age]]&lt;40,"30-39",
IF(Table1[[#This Row],[Age]]&lt;50,"40-49",
IF(Table1[[#This Row],[Age]]&lt;60,"50-59","60+"))))</f>
        <v>40-49</v>
      </c>
      <c r="M2296" t="s">
        <v>42</v>
      </c>
      <c r="N2296" t="s">
        <v>21</v>
      </c>
    </row>
    <row r="2297" spans="1:14" x14ac:dyDescent="0.35">
      <c r="A2297">
        <v>2396</v>
      </c>
      <c r="B2297" t="s">
        <v>15</v>
      </c>
      <c r="C2297" s="6">
        <v>43624</v>
      </c>
      <c r="D2297">
        <f>YEAR(Table1[[#This Row],[Join Date]])</f>
        <v>2019</v>
      </c>
      <c r="E2297" s="6">
        <v>44228</v>
      </c>
      <c r="F2297">
        <f>IFERROR(YEAR(Table1[[#This Row],[Exit Date]]), " ")</f>
        <v>2021</v>
      </c>
      <c r="G2297">
        <f>IFERROR((Table1[[#This Row],[Exit Year]]-Table1[[#This Row],[Join Year]])+1," ")</f>
        <v>3</v>
      </c>
      <c r="H2297" t="s">
        <v>41</v>
      </c>
      <c r="I2297" t="s">
        <v>23</v>
      </c>
      <c r="J2297" t="s">
        <v>12</v>
      </c>
      <c r="K2297">
        <v>24</v>
      </c>
      <c r="L2297" t="str">
        <f>IF(Table1[[#This Row],[Age]]&lt;30,"20-29",
IF(Table1[[#This Row],[Age]]&lt;40,"30-39",
IF(Table1[[#This Row],[Age]]&lt;50,"40-49",
IF(Table1[[#This Row],[Age]]&lt;60,"50-59","60+"))))</f>
        <v>20-29</v>
      </c>
      <c r="M2297" t="s">
        <v>13</v>
      </c>
      <c r="N2297" t="s">
        <v>37</v>
      </c>
    </row>
    <row r="2298" spans="1:14" x14ac:dyDescent="0.35">
      <c r="A2298">
        <v>2397</v>
      </c>
      <c r="B2298" t="s">
        <v>15</v>
      </c>
      <c r="C2298" s="6">
        <v>44514</v>
      </c>
      <c r="D2298">
        <f>YEAR(Table1[[#This Row],[Join Date]])</f>
        <v>2021</v>
      </c>
      <c r="E2298" s="6">
        <v>45529</v>
      </c>
      <c r="F2298">
        <f>IFERROR(YEAR(Table1[[#This Row],[Exit Date]]), " ")</f>
        <v>2024</v>
      </c>
      <c r="G2298">
        <f>IFERROR((Table1[[#This Row],[Exit Year]]-Table1[[#This Row],[Join Year]])+1," ")</f>
        <v>4</v>
      </c>
      <c r="H2298" t="s">
        <v>46</v>
      </c>
      <c r="I2298" t="s">
        <v>23</v>
      </c>
      <c r="J2298" t="s">
        <v>12</v>
      </c>
      <c r="K2298">
        <v>38</v>
      </c>
      <c r="L2298" t="str">
        <f>IF(Table1[[#This Row],[Age]]&lt;30,"20-29",
IF(Table1[[#This Row],[Age]]&lt;40,"30-39",
IF(Table1[[#This Row],[Age]]&lt;50,"40-49",
IF(Table1[[#This Row],[Age]]&lt;60,"50-59","60+"))))</f>
        <v>30-39</v>
      </c>
      <c r="M2298" t="s">
        <v>13</v>
      </c>
      <c r="N2298" t="s">
        <v>25</v>
      </c>
    </row>
    <row r="2299" spans="1:14" x14ac:dyDescent="0.35">
      <c r="A2299">
        <v>2398</v>
      </c>
      <c r="B2299" t="s">
        <v>29</v>
      </c>
      <c r="C2299" s="6">
        <v>43700</v>
      </c>
      <c r="D2299">
        <f>YEAR(Table1[[#This Row],[Join Date]])</f>
        <v>2019</v>
      </c>
      <c r="E2299" s="6" t="s">
        <v>48</v>
      </c>
      <c r="F2299" t="str">
        <f>IFERROR(YEAR(Table1[[#This Row],[Exit Date]]), " ")</f>
        <v xml:space="preserve"> </v>
      </c>
      <c r="G2299" t="str">
        <f>IFERROR((Table1[[#This Row],[Exit Year]]-Table1[[#This Row],[Join Year]])+1," ")</f>
        <v xml:space="preserve"> </v>
      </c>
      <c r="H2299" t="s">
        <v>48</v>
      </c>
      <c r="I2299" t="s">
        <v>11</v>
      </c>
      <c r="J2299" t="s">
        <v>12</v>
      </c>
      <c r="K2299">
        <v>49</v>
      </c>
      <c r="L2299" t="str">
        <f>IF(Table1[[#This Row],[Age]]&lt;30,"20-29",
IF(Table1[[#This Row],[Age]]&lt;40,"30-39",
IF(Table1[[#This Row],[Age]]&lt;50,"40-49",
IF(Table1[[#This Row],[Age]]&lt;60,"50-59","60+"))))</f>
        <v>40-49</v>
      </c>
      <c r="M2299" t="s">
        <v>16</v>
      </c>
      <c r="N2299" t="s">
        <v>35</v>
      </c>
    </row>
    <row r="2300" spans="1:14" x14ac:dyDescent="0.35">
      <c r="A2300">
        <v>2399</v>
      </c>
      <c r="B2300" t="s">
        <v>34</v>
      </c>
      <c r="C2300" s="6">
        <v>45540</v>
      </c>
      <c r="D2300">
        <f>YEAR(Table1[[#This Row],[Join Date]])</f>
        <v>2024</v>
      </c>
      <c r="E2300" s="6" t="s">
        <v>48</v>
      </c>
      <c r="F2300" t="str">
        <f>IFERROR(YEAR(Table1[[#This Row],[Exit Date]]), " ")</f>
        <v xml:space="preserve"> </v>
      </c>
      <c r="G2300" t="str">
        <f>IFERROR((Table1[[#This Row],[Exit Year]]-Table1[[#This Row],[Join Year]])+1," ")</f>
        <v xml:space="preserve"> </v>
      </c>
      <c r="H2300" t="s">
        <v>48</v>
      </c>
      <c r="I2300" t="s">
        <v>11</v>
      </c>
      <c r="J2300" t="s">
        <v>18</v>
      </c>
      <c r="K2300">
        <v>31</v>
      </c>
      <c r="L2300" t="str">
        <f>IF(Table1[[#This Row],[Age]]&lt;30,"20-29",
IF(Table1[[#This Row],[Age]]&lt;40,"30-39",
IF(Table1[[#This Row],[Age]]&lt;50,"40-49",
IF(Table1[[#This Row],[Age]]&lt;60,"50-59","60+"))))</f>
        <v>30-39</v>
      </c>
      <c r="M2300" t="s">
        <v>13</v>
      </c>
      <c r="N2300" t="s">
        <v>25</v>
      </c>
    </row>
    <row r="2301" spans="1:14" x14ac:dyDescent="0.35">
      <c r="A2301">
        <v>2400</v>
      </c>
      <c r="B2301" t="s">
        <v>10</v>
      </c>
      <c r="C2301" s="6">
        <v>43297</v>
      </c>
      <c r="D2301">
        <f>YEAR(Table1[[#This Row],[Join Date]])</f>
        <v>2018</v>
      </c>
      <c r="E2301" s="6">
        <v>44682</v>
      </c>
      <c r="F2301">
        <f>IFERROR(YEAR(Table1[[#This Row],[Exit Date]]), " ")</f>
        <v>2022</v>
      </c>
      <c r="G2301">
        <f>IFERROR((Table1[[#This Row],[Exit Year]]-Table1[[#This Row],[Join Year]])+1," ")</f>
        <v>5</v>
      </c>
      <c r="H2301" t="s">
        <v>40</v>
      </c>
      <c r="I2301" t="s">
        <v>23</v>
      </c>
      <c r="J2301" t="s">
        <v>12</v>
      </c>
      <c r="K2301">
        <v>51</v>
      </c>
      <c r="L2301" t="str">
        <f>IF(Table1[[#This Row],[Age]]&lt;30,"20-29",
IF(Table1[[#This Row],[Age]]&lt;40,"30-39",
IF(Table1[[#This Row],[Age]]&lt;50,"40-49",
IF(Table1[[#This Row],[Age]]&lt;60,"50-59","60+"))))</f>
        <v>50-59</v>
      </c>
      <c r="M2301" t="s">
        <v>20</v>
      </c>
      <c r="N2301" t="s">
        <v>28</v>
      </c>
    </row>
    <row r="2302" spans="1:14" x14ac:dyDescent="0.35">
      <c r="A2302">
        <v>2401</v>
      </c>
      <c r="B2302" t="s">
        <v>10</v>
      </c>
      <c r="C2302" s="6">
        <v>43407</v>
      </c>
      <c r="D2302">
        <f>YEAR(Table1[[#This Row],[Join Date]])</f>
        <v>2018</v>
      </c>
      <c r="E2302" s="6" t="s">
        <v>48</v>
      </c>
      <c r="F2302" t="str">
        <f>IFERROR(YEAR(Table1[[#This Row],[Exit Date]]), " ")</f>
        <v xml:space="preserve"> </v>
      </c>
      <c r="G2302" t="str">
        <f>IFERROR((Table1[[#This Row],[Exit Year]]-Table1[[#This Row],[Join Year]])+1," ")</f>
        <v xml:space="preserve"> </v>
      </c>
      <c r="H2302" t="s">
        <v>48</v>
      </c>
      <c r="I2302" t="s">
        <v>11</v>
      </c>
      <c r="J2302" t="s">
        <v>18</v>
      </c>
      <c r="K2302">
        <v>27</v>
      </c>
      <c r="L2302" t="str">
        <f>IF(Table1[[#This Row],[Age]]&lt;30,"20-29",
IF(Table1[[#This Row],[Age]]&lt;40,"30-39",
IF(Table1[[#This Row],[Age]]&lt;50,"40-49",
IF(Table1[[#This Row],[Age]]&lt;60,"50-59","60+"))))</f>
        <v>20-29</v>
      </c>
      <c r="M2302" t="s">
        <v>44</v>
      </c>
      <c r="N2302" t="s">
        <v>31</v>
      </c>
    </row>
    <row r="2303" spans="1:14" x14ac:dyDescent="0.35">
      <c r="A2303">
        <v>2402</v>
      </c>
      <c r="B2303" t="s">
        <v>15</v>
      </c>
      <c r="C2303" s="6">
        <v>44121</v>
      </c>
      <c r="D2303">
        <f>YEAR(Table1[[#This Row],[Join Date]])</f>
        <v>2020</v>
      </c>
      <c r="E2303" s="6" t="s">
        <v>48</v>
      </c>
      <c r="F2303" t="str">
        <f>IFERROR(YEAR(Table1[[#This Row],[Exit Date]]), " ")</f>
        <v xml:space="preserve"> </v>
      </c>
      <c r="G2303" t="str">
        <f>IFERROR((Table1[[#This Row],[Exit Year]]-Table1[[#This Row],[Join Year]])+1," ")</f>
        <v xml:space="preserve"> </v>
      </c>
      <c r="H2303" t="s">
        <v>48</v>
      </c>
      <c r="I2303" t="s">
        <v>11</v>
      </c>
      <c r="J2303" t="s">
        <v>12</v>
      </c>
      <c r="K2303">
        <v>22</v>
      </c>
      <c r="L2303" t="str">
        <f>IF(Table1[[#This Row],[Age]]&lt;30,"20-29",
IF(Table1[[#This Row],[Age]]&lt;40,"30-39",
IF(Table1[[#This Row],[Age]]&lt;50,"40-49",
IF(Table1[[#This Row],[Age]]&lt;60,"50-59","60+"))))</f>
        <v>20-29</v>
      </c>
      <c r="M2303" t="s">
        <v>13</v>
      </c>
      <c r="N2303" t="s">
        <v>32</v>
      </c>
    </row>
    <row r="2304" spans="1:14" x14ac:dyDescent="0.35">
      <c r="A2304">
        <v>2403</v>
      </c>
      <c r="B2304" t="s">
        <v>15</v>
      </c>
      <c r="C2304" s="6">
        <v>44423</v>
      </c>
      <c r="D2304">
        <f>YEAR(Table1[[#This Row],[Join Date]])</f>
        <v>2021</v>
      </c>
      <c r="E2304" s="6" t="s">
        <v>48</v>
      </c>
      <c r="F2304" t="str">
        <f>IFERROR(YEAR(Table1[[#This Row],[Exit Date]]), " ")</f>
        <v xml:space="preserve"> </v>
      </c>
      <c r="G2304" t="str">
        <f>IFERROR((Table1[[#This Row],[Exit Year]]-Table1[[#This Row],[Join Year]])+1," ")</f>
        <v xml:space="preserve"> </v>
      </c>
      <c r="H2304" t="s">
        <v>48</v>
      </c>
      <c r="I2304" t="s">
        <v>11</v>
      </c>
      <c r="J2304" t="s">
        <v>18</v>
      </c>
      <c r="K2304">
        <v>50</v>
      </c>
      <c r="L2304" t="str">
        <f>IF(Table1[[#This Row],[Age]]&lt;30,"20-29",
IF(Table1[[#This Row],[Age]]&lt;40,"30-39",
IF(Table1[[#This Row],[Age]]&lt;50,"40-49",
IF(Table1[[#This Row],[Age]]&lt;60,"50-59","60+"))))</f>
        <v>50-59</v>
      </c>
      <c r="M2304" t="s">
        <v>16</v>
      </c>
      <c r="N2304" t="s">
        <v>33</v>
      </c>
    </row>
    <row r="2305" spans="1:14" x14ac:dyDescent="0.35">
      <c r="A2305">
        <v>2404</v>
      </c>
      <c r="B2305" t="s">
        <v>15</v>
      </c>
      <c r="C2305" s="6">
        <v>45087</v>
      </c>
      <c r="D2305">
        <f>YEAR(Table1[[#This Row],[Join Date]])</f>
        <v>2023</v>
      </c>
      <c r="E2305" s="6" t="s">
        <v>48</v>
      </c>
      <c r="F2305" t="str">
        <f>IFERROR(YEAR(Table1[[#This Row],[Exit Date]]), " ")</f>
        <v xml:space="preserve"> </v>
      </c>
      <c r="G2305" t="str">
        <f>IFERROR((Table1[[#This Row],[Exit Year]]-Table1[[#This Row],[Join Year]])+1," ")</f>
        <v xml:space="preserve"> </v>
      </c>
      <c r="H2305" t="s">
        <v>48</v>
      </c>
      <c r="I2305" t="s">
        <v>11</v>
      </c>
      <c r="J2305" t="s">
        <v>18</v>
      </c>
      <c r="K2305">
        <v>24</v>
      </c>
      <c r="L2305" t="str">
        <f>IF(Table1[[#This Row],[Age]]&lt;30,"20-29",
IF(Table1[[#This Row],[Age]]&lt;40,"30-39",
IF(Table1[[#This Row],[Age]]&lt;50,"40-49",
IF(Table1[[#This Row],[Age]]&lt;60,"50-59","60+"))))</f>
        <v>20-29</v>
      </c>
      <c r="M2305" t="s">
        <v>16</v>
      </c>
      <c r="N2305" t="s">
        <v>35</v>
      </c>
    </row>
    <row r="2306" spans="1:14" x14ac:dyDescent="0.35">
      <c r="A2306">
        <v>2405</v>
      </c>
      <c r="B2306" t="s">
        <v>15</v>
      </c>
      <c r="C2306" s="6">
        <v>43479</v>
      </c>
      <c r="D2306">
        <f>YEAR(Table1[[#This Row],[Join Date]])</f>
        <v>2019</v>
      </c>
      <c r="E2306" s="6">
        <v>44449</v>
      </c>
      <c r="F2306">
        <f>IFERROR(YEAR(Table1[[#This Row],[Exit Date]]), " ")</f>
        <v>2021</v>
      </c>
      <c r="G2306">
        <f>IFERROR((Table1[[#This Row],[Exit Year]]-Table1[[#This Row],[Join Year]])+1," ")</f>
        <v>3</v>
      </c>
      <c r="H2306" t="s">
        <v>22</v>
      </c>
      <c r="I2306" t="s">
        <v>23</v>
      </c>
      <c r="J2306" t="s">
        <v>12</v>
      </c>
      <c r="K2306">
        <v>50</v>
      </c>
      <c r="L2306" t="str">
        <f>IF(Table1[[#This Row],[Age]]&lt;30,"20-29",
IF(Table1[[#This Row],[Age]]&lt;40,"30-39",
IF(Table1[[#This Row],[Age]]&lt;50,"40-49",
IF(Table1[[#This Row],[Age]]&lt;60,"50-59","60+"))))</f>
        <v>50-59</v>
      </c>
      <c r="M2306" t="s">
        <v>20</v>
      </c>
      <c r="N2306" t="s">
        <v>37</v>
      </c>
    </row>
    <row r="2307" spans="1:14" x14ac:dyDescent="0.35">
      <c r="A2307">
        <v>2406</v>
      </c>
      <c r="B2307" t="s">
        <v>26</v>
      </c>
      <c r="C2307" s="6">
        <v>44749</v>
      </c>
      <c r="D2307">
        <f>YEAR(Table1[[#This Row],[Join Date]])</f>
        <v>2022</v>
      </c>
      <c r="E2307" s="6">
        <v>44972</v>
      </c>
      <c r="F2307">
        <f>IFERROR(YEAR(Table1[[#This Row],[Exit Date]]), " ")</f>
        <v>2023</v>
      </c>
      <c r="G2307">
        <f>IFERROR((Table1[[#This Row],[Exit Year]]-Table1[[#This Row],[Join Year]])+1," ")</f>
        <v>2</v>
      </c>
      <c r="H2307" t="s">
        <v>46</v>
      </c>
      <c r="I2307" t="s">
        <v>23</v>
      </c>
      <c r="J2307" t="s">
        <v>18</v>
      </c>
      <c r="K2307">
        <v>28</v>
      </c>
      <c r="L2307" t="str">
        <f>IF(Table1[[#This Row],[Age]]&lt;30,"20-29",
IF(Table1[[#This Row],[Age]]&lt;40,"30-39",
IF(Table1[[#This Row],[Age]]&lt;50,"40-49",
IF(Table1[[#This Row],[Age]]&lt;60,"50-59","60+"))))</f>
        <v>20-29</v>
      </c>
      <c r="M2307" t="s">
        <v>24</v>
      </c>
      <c r="N2307" t="s">
        <v>19</v>
      </c>
    </row>
    <row r="2308" spans="1:14" x14ac:dyDescent="0.35">
      <c r="A2308">
        <v>2407</v>
      </c>
      <c r="B2308" t="s">
        <v>29</v>
      </c>
      <c r="C2308" s="6">
        <v>45457</v>
      </c>
      <c r="D2308">
        <f>YEAR(Table1[[#This Row],[Join Date]])</f>
        <v>2024</v>
      </c>
      <c r="E2308" s="6" t="s">
        <v>48</v>
      </c>
      <c r="F2308" t="str">
        <f>IFERROR(YEAR(Table1[[#This Row],[Exit Date]]), " ")</f>
        <v xml:space="preserve"> </v>
      </c>
      <c r="G2308" t="str">
        <f>IFERROR((Table1[[#This Row],[Exit Year]]-Table1[[#This Row],[Join Year]])+1," ")</f>
        <v xml:space="preserve"> </v>
      </c>
      <c r="H2308" t="s">
        <v>48</v>
      </c>
      <c r="I2308" t="s">
        <v>11</v>
      </c>
      <c r="J2308" t="s">
        <v>18</v>
      </c>
      <c r="K2308">
        <v>40</v>
      </c>
      <c r="L2308" t="str">
        <f>IF(Table1[[#This Row],[Age]]&lt;30,"20-29",
IF(Table1[[#This Row],[Age]]&lt;40,"30-39",
IF(Table1[[#This Row],[Age]]&lt;50,"40-49",
IF(Table1[[#This Row],[Age]]&lt;60,"50-59","60+"))))</f>
        <v>40-49</v>
      </c>
      <c r="M2308" t="s">
        <v>13</v>
      </c>
      <c r="N2308" t="s">
        <v>25</v>
      </c>
    </row>
    <row r="2309" spans="1:14" x14ac:dyDescent="0.35">
      <c r="A2309">
        <v>2408</v>
      </c>
      <c r="B2309" t="s">
        <v>10</v>
      </c>
      <c r="C2309" s="6">
        <v>43304</v>
      </c>
      <c r="D2309">
        <f>YEAR(Table1[[#This Row],[Join Date]])</f>
        <v>2018</v>
      </c>
      <c r="E2309" s="6" t="s">
        <v>48</v>
      </c>
      <c r="F2309" t="str">
        <f>IFERROR(YEAR(Table1[[#This Row],[Exit Date]]), " ")</f>
        <v xml:space="preserve"> </v>
      </c>
      <c r="G2309" t="str">
        <f>IFERROR((Table1[[#This Row],[Exit Year]]-Table1[[#This Row],[Join Year]])+1," ")</f>
        <v xml:space="preserve"> </v>
      </c>
      <c r="H2309" t="s">
        <v>48</v>
      </c>
      <c r="I2309" t="s">
        <v>11</v>
      </c>
      <c r="J2309" t="s">
        <v>12</v>
      </c>
      <c r="K2309">
        <v>32</v>
      </c>
      <c r="L2309" t="str">
        <f>IF(Table1[[#This Row],[Age]]&lt;30,"20-29",
IF(Table1[[#This Row],[Age]]&lt;40,"30-39",
IF(Table1[[#This Row],[Age]]&lt;50,"40-49",
IF(Table1[[#This Row],[Age]]&lt;60,"50-59","60+"))))</f>
        <v>30-39</v>
      </c>
      <c r="M2309" t="s">
        <v>30</v>
      </c>
      <c r="N2309" t="s">
        <v>35</v>
      </c>
    </row>
    <row r="2310" spans="1:14" x14ac:dyDescent="0.35">
      <c r="A2310">
        <v>2409</v>
      </c>
      <c r="B2310" t="s">
        <v>15</v>
      </c>
      <c r="C2310" s="6">
        <v>44987</v>
      </c>
      <c r="D2310">
        <f>YEAR(Table1[[#This Row],[Join Date]])</f>
        <v>2023</v>
      </c>
      <c r="E2310" s="6" t="s">
        <v>48</v>
      </c>
      <c r="F2310" t="str">
        <f>IFERROR(YEAR(Table1[[#This Row],[Exit Date]]), " ")</f>
        <v xml:space="preserve"> </v>
      </c>
      <c r="G2310" t="str">
        <f>IFERROR((Table1[[#This Row],[Exit Year]]-Table1[[#This Row],[Join Year]])+1," ")</f>
        <v xml:space="preserve"> </v>
      </c>
      <c r="H2310" t="s">
        <v>48</v>
      </c>
      <c r="I2310" t="s">
        <v>11</v>
      </c>
      <c r="J2310" t="s">
        <v>18</v>
      </c>
      <c r="K2310">
        <v>50</v>
      </c>
      <c r="L2310" t="str">
        <f>IF(Table1[[#This Row],[Age]]&lt;30,"20-29",
IF(Table1[[#This Row],[Age]]&lt;40,"30-39",
IF(Table1[[#This Row],[Age]]&lt;50,"40-49",
IF(Table1[[#This Row],[Age]]&lt;60,"50-59","60+"))))</f>
        <v>50-59</v>
      </c>
      <c r="M2310" t="s">
        <v>13</v>
      </c>
      <c r="N2310" t="s">
        <v>17</v>
      </c>
    </row>
    <row r="2311" spans="1:14" x14ac:dyDescent="0.35">
      <c r="A2311">
        <v>2410</v>
      </c>
      <c r="B2311" t="s">
        <v>34</v>
      </c>
      <c r="C2311" s="6">
        <v>45326</v>
      </c>
      <c r="D2311">
        <f>YEAR(Table1[[#This Row],[Join Date]])</f>
        <v>2024</v>
      </c>
      <c r="E2311" s="6" t="s">
        <v>48</v>
      </c>
      <c r="F2311" t="str">
        <f>IFERROR(YEAR(Table1[[#This Row],[Exit Date]]), " ")</f>
        <v xml:space="preserve"> </v>
      </c>
      <c r="G2311" t="str">
        <f>IFERROR((Table1[[#This Row],[Exit Year]]-Table1[[#This Row],[Join Year]])+1," ")</f>
        <v xml:space="preserve"> </v>
      </c>
      <c r="H2311" t="s">
        <v>48</v>
      </c>
      <c r="I2311" t="s">
        <v>11</v>
      </c>
      <c r="J2311" t="s">
        <v>18</v>
      </c>
      <c r="K2311">
        <v>24</v>
      </c>
      <c r="L2311" t="str">
        <f>IF(Table1[[#This Row],[Age]]&lt;30,"20-29",
IF(Table1[[#This Row],[Age]]&lt;40,"30-39",
IF(Table1[[#This Row],[Age]]&lt;50,"40-49",
IF(Table1[[#This Row],[Age]]&lt;60,"50-59","60+"))))</f>
        <v>20-29</v>
      </c>
      <c r="M2311" t="s">
        <v>13</v>
      </c>
      <c r="N2311" t="s">
        <v>19</v>
      </c>
    </row>
    <row r="2312" spans="1:14" x14ac:dyDescent="0.35">
      <c r="A2312">
        <v>2411</v>
      </c>
      <c r="B2312" t="s">
        <v>36</v>
      </c>
      <c r="C2312" s="6">
        <v>45474</v>
      </c>
      <c r="D2312">
        <f>YEAR(Table1[[#This Row],[Join Date]])</f>
        <v>2024</v>
      </c>
      <c r="E2312" s="6" t="s">
        <v>48</v>
      </c>
      <c r="F2312" t="str">
        <f>IFERROR(YEAR(Table1[[#This Row],[Exit Date]]), " ")</f>
        <v xml:space="preserve"> </v>
      </c>
      <c r="G2312" t="str">
        <f>IFERROR((Table1[[#This Row],[Exit Year]]-Table1[[#This Row],[Join Year]])+1," ")</f>
        <v xml:space="preserve"> </v>
      </c>
      <c r="H2312" t="s">
        <v>48</v>
      </c>
      <c r="I2312" t="s">
        <v>11</v>
      </c>
      <c r="J2312" t="s">
        <v>12</v>
      </c>
      <c r="K2312">
        <v>36</v>
      </c>
      <c r="L2312" t="str">
        <f>IF(Table1[[#This Row],[Age]]&lt;30,"20-29",
IF(Table1[[#This Row],[Age]]&lt;40,"30-39",
IF(Table1[[#This Row],[Age]]&lt;50,"40-49",
IF(Table1[[#This Row],[Age]]&lt;60,"50-59","60+"))))</f>
        <v>30-39</v>
      </c>
      <c r="M2312" t="s">
        <v>16</v>
      </c>
      <c r="N2312" t="s">
        <v>21</v>
      </c>
    </row>
    <row r="2313" spans="1:14" x14ac:dyDescent="0.35">
      <c r="A2313">
        <v>2412</v>
      </c>
      <c r="B2313" t="s">
        <v>29</v>
      </c>
      <c r="C2313" s="6">
        <v>44227</v>
      </c>
      <c r="D2313">
        <f>YEAR(Table1[[#This Row],[Join Date]])</f>
        <v>2021</v>
      </c>
      <c r="E2313" s="6">
        <v>45322</v>
      </c>
      <c r="F2313">
        <f>IFERROR(YEAR(Table1[[#This Row],[Exit Date]]), " ")</f>
        <v>2024</v>
      </c>
      <c r="G2313">
        <f>IFERROR((Table1[[#This Row],[Exit Year]]-Table1[[#This Row],[Join Year]])+1," ")</f>
        <v>4</v>
      </c>
      <c r="H2313" t="s">
        <v>46</v>
      </c>
      <c r="I2313" t="s">
        <v>23</v>
      </c>
      <c r="J2313" t="s">
        <v>18</v>
      </c>
      <c r="K2313">
        <v>49</v>
      </c>
      <c r="L2313" t="str">
        <f>IF(Table1[[#This Row],[Age]]&lt;30,"20-29",
IF(Table1[[#This Row],[Age]]&lt;40,"30-39",
IF(Table1[[#This Row],[Age]]&lt;50,"40-49",
IF(Table1[[#This Row],[Age]]&lt;60,"50-59","60+"))))</f>
        <v>40-49</v>
      </c>
      <c r="M2313" t="s">
        <v>13</v>
      </c>
      <c r="N2313" t="s">
        <v>25</v>
      </c>
    </row>
    <row r="2314" spans="1:14" x14ac:dyDescent="0.35">
      <c r="A2314">
        <v>2413</v>
      </c>
      <c r="B2314" t="s">
        <v>10</v>
      </c>
      <c r="C2314" s="6">
        <v>43446</v>
      </c>
      <c r="D2314">
        <f>YEAR(Table1[[#This Row],[Join Date]])</f>
        <v>2018</v>
      </c>
      <c r="E2314" s="6">
        <v>43936</v>
      </c>
      <c r="F2314">
        <f>IFERROR(YEAR(Table1[[#This Row],[Exit Date]]), " ")</f>
        <v>2020</v>
      </c>
      <c r="G2314">
        <f>IFERROR((Table1[[#This Row],[Exit Year]]-Table1[[#This Row],[Join Year]])+1," ")</f>
        <v>3</v>
      </c>
      <c r="H2314" t="s">
        <v>46</v>
      </c>
      <c r="I2314" t="s">
        <v>23</v>
      </c>
      <c r="J2314" t="s">
        <v>12</v>
      </c>
      <c r="K2314">
        <v>43</v>
      </c>
      <c r="L2314" t="str">
        <f>IF(Table1[[#This Row],[Age]]&lt;30,"20-29",
IF(Table1[[#This Row],[Age]]&lt;40,"30-39",
IF(Table1[[#This Row],[Age]]&lt;50,"40-49",
IF(Table1[[#This Row],[Age]]&lt;60,"50-59","60+"))))</f>
        <v>40-49</v>
      </c>
      <c r="M2314" t="s">
        <v>20</v>
      </c>
      <c r="N2314" t="s">
        <v>35</v>
      </c>
    </row>
    <row r="2315" spans="1:14" x14ac:dyDescent="0.35">
      <c r="A2315">
        <v>2414</v>
      </c>
      <c r="B2315" t="s">
        <v>15</v>
      </c>
      <c r="C2315" s="6">
        <v>45314</v>
      </c>
      <c r="D2315">
        <f>YEAR(Table1[[#This Row],[Join Date]])</f>
        <v>2024</v>
      </c>
      <c r="E2315" s="6" t="s">
        <v>48</v>
      </c>
      <c r="F2315" t="str">
        <f>IFERROR(YEAR(Table1[[#This Row],[Exit Date]]), " ")</f>
        <v xml:space="preserve"> </v>
      </c>
      <c r="G2315" t="str">
        <f>IFERROR((Table1[[#This Row],[Exit Year]]-Table1[[#This Row],[Join Year]])+1," ")</f>
        <v xml:space="preserve"> </v>
      </c>
      <c r="H2315" t="s">
        <v>48</v>
      </c>
      <c r="I2315" t="s">
        <v>11</v>
      </c>
      <c r="J2315" t="s">
        <v>12</v>
      </c>
      <c r="K2315">
        <v>40</v>
      </c>
      <c r="L2315" t="str">
        <f>IF(Table1[[#This Row],[Age]]&lt;30,"20-29",
IF(Table1[[#This Row],[Age]]&lt;40,"30-39",
IF(Table1[[#This Row],[Age]]&lt;50,"40-49",
IF(Table1[[#This Row],[Age]]&lt;60,"50-59","60+"))))</f>
        <v>40-49</v>
      </c>
      <c r="M2315" t="s">
        <v>39</v>
      </c>
      <c r="N2315" t="s">
        <v>14</v>
      </c>
    </row>
    <row r="2316" spans="1:14" x14ac:dyDescent="0.35">
      <c r="A2316">
        <v>2415</v>
      </c>
      <c r="B2316" t="s">
        <v>15</v>
      </c>
      <c r="C2316" s="6">
        <v>43123</v>
      </c>
      <c r="D2316">
        <f>YEAR(Table1[[#This Row],[Join Date]])</f>
        <v>2018</v>
      </c>
      <c r="E2316" s="6" t="s">
        <v>48</v>
      </c>
      <c r="F2316" t="str">
        <f>IFERROR(YEAR(Table1[[#This Row],[Exit Date]]), " ")</f>
        <v xml:space="preserve"> </v>
      </c>
      <c r="G2316" t="str">
        <f>IFERROR((Table1[[#This Row],[Exit Year]]-Table1[[#This Row],[Join Year]])+1," ")</f>
        <v xml:space="preserve"> </v>
      </c>
      <c r="H2316" t="s">
        <v>48</v>
      </c>
      <c r="I2316" t="s">
        <v>11</v>
      </c>
      <c r="J2316" t="s">
        <v>12</v>
      </c>
      <c r="K2316">
        <v>42</v>
      </c>
      <c r="L2316" t="str">
        <f>IF(Table1[[#This Row],[Age]]&lt;30,"20-29",
IF(Table1[[#This Row],[Age]]&lt;40,"30-39",
IF(Table1[[#This Row],[Age]]&lt;50,"40-49",
IF(Table1[[#This Row],[Age]]&lt;60,"50-59","60+"))))</f>
        <v>40-49</v>
      </c>
      <c r="M2316" t="s">
        <v>13</v>
      </c>
      <c r="N2316" t="s">
        <v>19</v>
      </c>
    </row>
    <row r="2317" spans="1:14" x14ac:dyDescent="0.35">
      <c r="A2317">
        <v>2416</v>
      </c>
      <c r="B2317" t="s">
        <v>10</v>
      </c>
      <c r="C2317" s="6">
        <v>43717</v>
      </c>
      <c r="D2317">
        <f>YEAR(Table1[[#This Row],[Join Date]])</f>
        <v>2019</v>
      </c>
      <c r="E2317" s="6">
        <v>44677</v>
      </c>
      <c r="F2317">
        <f>IFERROR(YEAR(Table1[[#This Row],[Exit Date]]), " ")</f>
        <v>2022</v>
      </c>
      <c r="G2317">
        <f>IFERROR((Table1[[#This Row],[Exit Year]]-Table1[[#This Row],[Join Year]])+1," ")</f>
        <v>4</v>
      </c>
      <c r="H2317" t="s">
        <v>40</v>
      </c>
      <c r="I2317" t="s">
        <v>23</v>
      </c>
      <c r="J2317" t="s">
        <v>18</v>
      </c>
      <c r="K2317">
        <v>35</v>
      </c>
      <c r="L2317" t="str">
        <f>IF(Table1[[#This Row],[Age]]&lt;30,"20-29",
IF(Table1[[#This Row],[Age]]&lt;40,"30-39",
IF(Table1[[#This Row],[Age]]&lt;50,"40-49",
IF(Table1[[#This Row],[Age]]&lt;60,"50-59","60+"))))</f>
        <v>30-39</v>
      </c>
      <c r="M2317" t="s">
        <v>16</v>
      </c>
      <c r="N2317" t="s">
        <v>21</v>
      </c>
    </row>
    <row r="2318" spans="1:14" x14ac:dyDescent="0.35">
      <c r="A2318">
        <v>2417</v>
      </c>
      <c r="B2318" t="s">
        <v>29</v>
      </c>
      <c r="C2318" s="6">
        <v>43534</v>
      </c>
      <c r="D2318">
        <f>YEAR(Table1[[#This Row],[Join Date]])</f>
        <v>2019</v>
      </c>
      <c r="E2318" s="6">
        <v>44117</v>
      </c>
      <c r="F2318">
        <f>IFERROR(YEAR(Table1[[#This Row],[Exit Date]]), " ")</f>
        <v>2020</v>
      </c>
      <c r="G2318">
        <f>IFERROR((Table1[[#This Row],[Exit Year]]-Table1[[#This Row],[Join Year]])+1," ")</f>
        <v>2</v>
      </c>
      <c r="H2318" t="s">
        <v>38</v>
      </c>
      <c r="I2318" t="s">
        <v>23</v>
      </c>
      <c r="J2318" t="s">
        <v>12</v>
      </c>
      <c r="K2318">
        <v>31</v>
      </c>
      <c r="L2318" t="str">
        <f>IF(Table1[[#This Row],[Age]]&lt;30,"20-29",
IF(Table1[[#This Row],[Age]]&lt;40,"30-39",
IF(Table1[[#This Row],[Age]]&lt;50,"40-49",
IF(Table1[[#This Row],[Age]]&lt;60,"50-59","60+"))))</f>
        <v>30-39</v>
      </c>
      <c r="M2318" t="s">
        <v>16</v>
      </c>
      <c r="N2318" t="s">
        <v>37</v>
      </c>
    </row>
    <row r="2319" spans="1:14" x14ac:dyDescent="0.35">
      <c r="A2319">
        <v>2418</v>
      </c>
      <c r="B2319" t="s">
        <v>36</v>
      </c>
      <c r="C2319" s="6">
        <v>44619</v>
      </c>
      <c r="D2319">
        <f>YEAR(Table1[[#This Row],[Join Date]])</f>
        <v>2022</v>
      </c>
      <c r="E2319" s="6" t="s">
        <v>48</v>
      </c>
      <c r="F2319" t="str">
        <f>IFERROR(YEAR(Table1[[#This Row],[Exit Date]]), " ")</f>
        <v xml:space="preserve"> </v>
      </c>
      <c r="G2319" t="str">
        <f>IFERROR((Table1[[#This Row],[Exit Year]]-Table1[[#This Row],[Join Year]])+1," ")</f>
        <v xml:space="preserve"> </v>
      </c>
      <c r="H2319" t="s">
        <v>48</v>
      </c>
      <c r="I2319" t="s">
        <v>11</v>
      </c>
      <c r="J2319" t="s">
        <v>18</v>
      </c>
      <c r="K2319">
        <v>51</v>
      </c>
      <c r="L2319" t="str">
        <f>IF(Table1[[#This Row],[Age]]&lt;30,"20-29",
IF(Table1[[#This Row],[Age]]&lt;40,"30-39",
IF(Table1[[#This Row],[Age]]&lt;50,"40-49",
IF(Table1[[#This Row],[Age]]&lt;60,"50-59","60+"))))</f>
        <v>50-59</v>
      </c>
      <c r="M2319" t="s">
        <v>20</v>
      </c>
      <c r="N2319" t="s">
        <v>25</v>
      </c>
    </row>
    <row r="2320" spans="1:14" x14ac:dyDescent="0.35">
      <c r="A2320">
        <v>2419</v>
      </c>
      <c r="B2320" t="s">
        <v>10</v>
      </c>
      <c r="C2320" s="6">
        <v>45485</v>
      </c>
      <c r="D2320">
        <f>YEAR(Table1[[#This Row],[Join Date]])</f>
        <v>2024</v>
      </c>
      <c r="E2320" s="6" t="s">
        <v>48</v>
      </c>
      <c r="F2320" t="str">
        <f>IFERROR(YEAR(Table1[[#This Row],[Exit Date]]), " ")</f>
        <v xml:space="preserve"> </v>
      </c>
      <c r="G2320" t="str">
        <f>IFERROR((Table1[[#This Row],[Exit Year]]-Table1[[#This Row],[Join Year]])+1," ")</f>
        <v xml:space="preserve"> </v>
      </c>
      <c r="H2320" t="s">
        <v>48</v>
      </c>
      <c r="I2320" t="s">
        <v>11</v>
      </c>
      <c r="J2320" t="s">
        <v>12</v>
      </c>
      <c r="K2320">
        <v>48</v>
      </c>
      <c r="L2320" t="str">
        <f>IF(Table1[[#This Row],[Age]]&lt;30,"20-29",
IF(Table1[[#This Row],[Age]]&lt;40,"30-39",
IF(Table1[[#This Row],[Age]]&lt;50,"40-49",
IF(Table1[[#This Row],[Age]]&lt;60,"50-59","60+"))))</f>
        <v>40-49</v>
      </c>
      <c r="M2320" t="s">
        <v>24</v>
      </c>
      <c r="N2320" t="s">
        <v>35</v>
      </c>
    </row>
    <row r="2321" spans="1:14" x14ac:dyDescent="0.35">
      <c r="A2321">
        <v>2420</v>
      </c>
      <c r="B2321" t="s">
        <v>29</v>
      </c>
      <c r="C2321" s="6">
        <v>43588</v>
      </c>
      <c r="D2321">
        <f>YEAR(Table1[[#This Row],[Join Date]])</f>
        <v>2019</v>
      </c>
      <c r="E2321" s="6">
        <v>44896</v>
      </c>
      <c r="F2321">
        <f>IFERROR(YEAR(Table1[[#This Row],[Exit Date]]), " ")</f>
        <v>2022</v>
      </c>
      <c r="G2321">
        <f>IFERROR((Table1[[#This Row],[Exit Year]]-Table1[[#This Row],[Join Year]])+1," ")</f>
        <v>4</v>
      </c>
      <c r="H2321" t="s">
        <v>41</v>
      </c>
      <c r="I2321" t="s">
        <v>23</v>
      </c>
      <c r="J2321" t="s">
        <v>18</v>
      </c>
      <c r="K2321">
        <v>41</v>
      </c>
      <c r="L2321" t="str">
        <f>IF(Table1[[#This Row],[Age]]&lt;30,"20-29",
IF(Table1[[#This Row],[Age]]&lt;40,"30-39",
IF(Table1[[#This Row],[Age]]&lt;50,"40-49",
IF(Table1[[#This Row],[Age]]&lt;60,"50-59","60+"))))</f>
        <v>40-49</v>
      </c>
      <c r="M2321" t="s">
        <v>13</v>
      </c>
      <c r="N2321" t="s">
        <v>19</v>
      </c>
    </row>
    <row r="2322" spans="1:14" x14ac:dyDescent="0.35">
      <c r="A2322">
        <v>2421</v>
      </c>
      <c r="B2322" t="s">
        <v>36</v>
      </c>
      <c r="C2322" s="6">
        <v>44250</v>
      </c>
      <c r="D2322">
        <f>YEAR(Table1[[#This Row],[Join Date]])</f>
        <v>2021</v>
      </c>
      <c r="E2322" s="6">
        <v>45392</v>
      </c>
      <c r="F2322">
        <f>IFERROR(YEAR(Table1[[#This Row],[Exit Date]]), " ")</f>
        <v>2024</v>
      </c>
      <c r="G2322">
        <f>IFERROR((Table1[[#This Row],[Exit Year]]-Table1[[#This Row],[Join Year]])+1," ")</f>
        <v>4</v>
      </c>
      <c r="H2322" t="s">
        <v>46</v>
      </c>
      <c r="I2322" t="s">
        <v>23</v>
      </c>
      <c r="J2322" t="s">
        <v>18</v>
      </c>
      <c r="K2322">
        <v>35</v>
      </c>
      <c r="L2322" t="str">
        <f>IF(Table1[[#This Row],[Age]]&lt;30,"20-29",
IF(Table1[[#This Row],[Age]]&lt;40,"30-39",
IF(Table1[[#This Row],[Age]]&lt;50,"40-49",
IF(Table1[[#This Row],[Age]]&lt;60,"50-59","60+"))))</f>
        <v>30-39</v>
      </c>
      <c r="M2322" t="s">
        <v>42</v>
      </c>
      <c r="N2322" t="s">
        <v>21</v>
      </c>
    </row>
    <row r="2323" spans="1:14" x14ac:dyDescent="0.35">
      <c r="A2323">
        <v>2422</v>
      </c>
      <c r="B2323" t="s">
        <v>26</v>
      </c>
      <c r="C2323" s="6">
        <v>45244</v>
      </c>
      <c r="D2323">
        <f>YEAR(Table1[[#This Row],[Join Date]])</f>
        <v>2023</v>
      </c>
      <c r="E2323" s="6">
        <v>45446</v>
      </c>
      <c r="F2323">
        <f>IFERROR(YEAR(Table1[[#This Row],[Exit Date]]), " ")</f>
        <v>2024</v>
      </c>
      <c r="G2323">
        <f>IFERROR((Table1[[#This Row],[Exit Year]]-Table1[[#This Row],[Join Year]])+1," ")</f>
        <v>2</v>
      </c>
      <c r="H2323" t="s">
        <v>40</v>
      </c>
      <c r="I2323" t="s">
        <v>23</v>
      </c>
      <c r="J2323" t="s">
        <v>12</v>
      </c>
      <c r="K2323">
        <v>24</v>
      </c>
      <c r="L2323" t="str">
        <f>IF(Table1[[#This Row],[Age]]&lt;30,"20-29",
IF(Table1[[#This Row],[Age]]&lt;40,"30-39",
IF(Table1[[#This Row],[Age]]&lt;50,"40-49",
IF(Table1[[#This Row],[Age]]&lt;60,"50-59","60+"))))</f>
        <v>20-29</v>
      </c>
      <c r="M2323" t="s">
        <v>13</v>
      </c>
      <c r="N2323" t="s">
        <v>25</v>
      </c>
    </row>
    <row r="2324" spans="1:14" x14ac:dyDescent="0.35">
      <c r="A2324">
        <v>2423</v>
      </c>
      <c r="B2324" t="s">
        <v>15</v>
      </c>
      <c r="C2324" s="6">
        <v>45256</v>
      </c>
      <c r="D2324">
        <f>YEAR(Table1[[#This Row],[Join Date]])</f>
        <v>2023</v>
      </c>
      <c r="E2324" s="6" t="s">
        <v>48</v>
      </c>
      <c r="F2324" t="str">
        <f>IFERROR(YEAR(Table1[[#This Row],[Exit Date]]), " ")</f>
        <v xml:space="preserve"> </v>
      </c>
      <c r="G2324" t="str">
        <f>IFERROR((Table1[[#This Row],[Exit Year]]-Table1[[#This Row],[Join Year]])+1," ")</f>
        <v xml:space="preserve"> </v>
      </c>
      <c r="H2324" t="s">
        <v>48</v>
      </c>
      <c r="I2324" t="s">
        <v>11</v>
      </c>
      <c r="J2324" t="s">
        <v>18</v>
      </c>
      <c r="K2324">
        <v>41</v>
      </c>
      <c r="L2324" t="str">
        <f>IF(Table1[[#This Row],[Age]]&lt;30,"20-29",
IF(Table1[[#This Row],[Age]]&lt;40,"30-39",
IF(Table1[[#This Row],[Age]]&lt;50,"40-49",
IF(Table1[[#This Row],[Age]]&lt;60,"50-59","60+"))))</f>
        <v>40-49</v>
      </c>
      <c r="M2324" t="s">
        <v>13</v>
      </c>
      <c r="N2324" t="s">
        <v>28</v>
      </c>
    </row>
    <row r="2325" spans="1:14" x14ac:dyDescent="0.35">
      <c r="A2325">
        <v>2424</v>
      </c>
      <c r="B2325" t="s">
        <v>26</v>
      </c>
      <c r="C2325" s="6">
        <v>45465</v>
      </c>
      <c r="D2325">
        <f>YEAR(Table1[[#This Row],[Join Date]])</f>
        <v>2024</v>
      </c>
      <c r="E2325" s="6" t="s">
        <v>48</v>
      </c>
      <c r="F2325" t="str">
        <f>IFERROR(YEAR(Table1[[#This Row],[Exit Date]]), " ")</f>
        <v xml:space="preserve"> </v>
      </c>
      <c r="G2325" t="str">
        <f>IFERROR((Table1[[#This Row],[Exit Year]]-Table1[[#This Row],[Join Year]])+1," ")</f>
        <v xml:space="preserve"> </v>
      </c>
      <c r="H2325" t="s">
        <v>48</v>
      </c>
      <c r="I2325" t="s">
        <v>11</v>
      </c>
      <c r="J2325" t="s">
        <v>18</v>
      </c>
      <c r="K2325">
        <v>40</v>
      </c>
      <c r="L2325" t="str">
        <f>IF(Table1[[#This Row],[Age]]&lt;30,"20-29",
IF(Table1[[#This Row],[Age]]&lt;40,"30-39",
IF(Table1[[#This Row],[Age]]&lt;50,"40-49",
IF(Table1[[#This Row],[Age]]&lt;60,"50-59","60+"))))</f>
        <v>40-49</v>
      </c>
      <c r="M2325" t="s">
        <v>16</v>
      </c>
      <c r="N2325" t="s">
        <v>31</v>
      </c>
    </row>
    <row r="2326" spans="1:14" x14ac:dyDescent="0.35">
      <c r="A2326">
        <v>2425</v>
      </c>
      <c r="B2326" t="s">
        <v>10</v>
      </c>
      <c r="C2326" s="6">
        <v>43597</v>
      </c>
      <c r="D2326">
        <f>YEAR(Table1[[#This Row],[Join Date]])</f>
        <v>2019</v>
      </c>
      <c r="E2326" s="6" t="s">
        <v>48</v>
      </c>
      <c r="F2326" t="str">
        <f>IFERROR(YEAR(Table1[[#This Row],[Exit Date]]), " ")</f>
        <v xml:space="preserve"> </v>
      </c>
      <c r="G2326" t="str">
        <f>IFERROR((Table1[[#This Row],[Exit Year]]-Table1[[#This Row],[Join Year]])+1," ")</f>
        <v xml:space="preserve"> </v>
      </c>
      <c r="H2326" t="s">
        <v>48</v>
      </c>
      <c r="I2326" t="s">
        <v>11</v>
      </c>
      <c r="J2326" t="s">
        <v>12</v>
      </c>
      <c r="K2326">
        <v>48</v>
      </c>
      <c r="L2326" t="str">
        <f>IF(Table1[[#This Row],[Age]]&lt;30,"20-29",
IF(Table1[[#This Row],[Age]]&lt;40,"30-39",
IF(Table1[[#This Row],[Age]]&lt;50,"40-49",
IF(Table1[[#This Row],[Age]]&lt;60,"50-59","60+"))))</f>
        <v>40-49</v>
      </c>
      <c r="M2326" t="s">
        <v>13</v>
      </c>
      <c r="N2326" t="s">
        <v>32</v>
      </c>
    </row>
    <row r="2327" spans="1:14" x14ac:dyDescent="0.35">
      <c r="A2327">
        <v>2426</v>
      </c>
      <c r="B2327" t="s">
        <v>15</v>
      </c>
      <c r="C2327" s="6">
        <v>44866</v>
      </c>
      <c r="D2327">
        <f>YEAR(Table1[[#This Row],[Join Date]])</f>
        <v>2022</v>
      </c>
      <c r="E2327" s="6" t="s">
        <v>48</v>
      </c>
      <c r="F2327" t="str">
        <f>IFERROR(YEAR(Table1[[#This Row],[Exit Date]]), " ")</f>
        <v xml:space="preserve"> </v>
      </c>
      <c r="G2327" t="str">
        <f>IFERROR((Table1[[#This Row],[Exit Year]]-Table1[[#This Row],[Join Year]])+1," ")</f>
        <v xml:space="preserve"> </v>
      </c>
      <c r="H2327" t="s">
        <v>48</v>
      </c>
      <c r="I2327" t="s">
        <v>11</v>
      </c>
      <c r="J2327" t="s">
        <v>18</v>
      </c>
      <c r="K2327">
        <v>52</v>
      </c>
      <c r="L2327" t="str">
        <f>IF(Table1[[#This Row],[Age]]&lt;30,"20-29",
IF(Table1[[#This Row],[Age]]&lt;40,"30-39",
IF(Table1[[#This Row],[Age]]&lt;50,"40-49",
IF(Table1[[#This Row],[Age]]&lt;60,"50-59","60+"))))</f>
        <v>50-59</v>
      </c>
      <c r="M2327" t="s">
        <v>20</v>
      </c>
      <c r="N2327" t="s">
        <v>33</v>
      </c>
    </row>
    <row r="2328" spans="1:14" x14ac:dyDescent="0.35">
      <c r="A2328">
        <v>2427</v>
      </c>
      <c r="B2328" t="s">
        <v>34</v>
      </c>
      <c r="C2328" s="6">
        <v>44006</v>
      </c>
      <c r="D2328">
        <f>YEAR(Table1[[#This Row],[Join Date]])</f>
        <v>2020</v>
      </c>
      <c r="E2328" s="6">
        <v>44463</v>
      </c>
      <c r="F2328">
        <f>IFERROR(YEAR(Table1[[#This Row],[Exit Date]]), " ")</f>
        <v>2021</v>
      </c>
      <c r="G2328">
        <f>IFERROR((Table1[[#This Row],[Exit Year]]-Table1[[#This Row],[Join Year]])+1," ")</f>
        <v>2</v>
      </c>
      <c r="H2328" t="s">
        <v>43</v>
      </c>
      <c r="I2328" t="s">
        <v>23</v>
      </c>
      <c r="J2328" t="s">
        <v>18</v>
      </c>
      <c r="K2328">
        <v>33</v>
      </c>
      <c r="L2328" t="str">
        <f>IF(Table1[[#This Row],[Age]]&lt;30,"20-29",
IF(Table1[[#This Row],[Age]]&lt;40,"30-39",
IF(Table1[[#This Row],[Age]]&lt;50,"40-49",
IF(Table1[[#This Row],[Age]]&lt;60,"50-59","60+"))))</f>
        <v>30-39</v>
      </c>
      <c r="M2328" t="s">
        <v>44</v>
      </c>
      <c r="N2328" t="s">
        <v>35</v>
      </c>
    </row>
    <row r="2329" spans="1:14" x14ac:dyDescent="0.35">
      <c r="A2329">
        <v>2428</v>
      </c>
      <c r="B2329" t="s">
        <v>26</v>
      </c>
      <c r="C2329" s="6">
        <v>45095</v>
      </c>
      <c r="D2329">
        <f>YEAR(Table1[[#This Row],[Join Date]])</f>
        <v>2023</v>
      </c>
      <c r="E2329" s="6" t="s">
        <v>48</v>
      </c>
      <c r="F2329" t="str">
        <f>IFERROR(YEAR(Table1[[#This Row],[Exit Date]]), " ")</f>
        <v xml:space="preserve"> </v>
      </c>
      <c r="G2329" t="str">
        <f>IFERROR((Table1[[#This Row],[Exit Year]]-Table1[[#This Row],[Join Year]])+1," ")</f>
        <v xml:space="preserve"> </v>
      </c>
      <c r="H2329" t="s">
        <v>48</v>
      </c>
      <c r="I2329" t="s">
        <v>11</v>
      </c>
      <c r="J2329" t="s">
        <v>18</v>
      </c>
      <c r="K2329">
        <v>51</v>
      </c>
      <c r="L2329" t="str">
        <f>IF(Table1[[#This Row],[Age]]&lt;30,"20-29",
IF(Table1[[#This Row],[Age]]&lt;40,"30-39",
IF(Table1[[#This Row],[Age]]&lt;50,"40-49",
IF(Table1[[#This Row],[Age]]&lt;60,"50-59","60+"))))</f>
        <v>50-59</v>
      </c>
      <c r="M2329" t="s">
        <v>13</v>
      </c>
      <c r="N2329" t="s">
        <v>37</v>
      </c>
    </row>
    <row r="2330" spans="1:14" x14ac:dyDescent="0.35">
      <c r="A2330">
        <v>2429</v>
      </c>
      <c r="B2330" t="s">
        <v>10</v>
      </c>
      <c r="C2330" s="6">
        <v>44360</v>
      </c>
      <c r="D2330">
        <f>YEAR(Table1[[#This Row],[Join Date]])</f>
        <v>2021</v>
      </c>
      <c r="E2330" s="6">
        <v>44755</v>
      </c>
      <c r="F2330">
        <f>IFERROR(YEAR(Table1[[#This Row],[Exit Date]]), " ")</f>
        <v>2022</v>
      </c>
      <c r="G2330">
        <f>IFERROR((Table1[[#This Row],[Exit Year]]-Table1[[#This Row],[Join Year]])+1," ")</f>
        <v>2</v>
      </c>
      <c r="H2330" t="s">
        <v>46</v>
      </c>
      <c r="I2330" t="s">
        <v>23</v>
      </c>
      <c r="J2330" t="s">
        <v>12</v>
      </c>
      <c r="K2330">
        <v>46</v>
      </c>
      <c r="L2330" t="str">
        <f>IF(Table1[[#This Row],[Age]]&lt;30,"20-29",
IF(Table1[[#This Row],[Age]]&lt;40,"30-39",
IF(Table1[[#This Row],[Age]]&lt;50,"40-49",
IF(Table1[[#This Row],[Age]]&lt;60,"50-59","60+"))))</f>
        <v>40-49</v>
      </c>
      <c r="M2330" t="s">
        <v>16</v>
      </c>
      <c r="N2330" t="s">
        <v>19</v>
      </c>
    </row>
    <row r="2331" spans="1:14" x14ac:dyDescent="0.35">
      <c r="A2331">
        <v>2430</v>
      </c>
      <c r="B2331" t="s">
        <v>26</v>
      </c>
      <c r="C2331" s="6">
        <v>43419</v>
      </c>
      <c r="D2331">
        <f>YEAR(Table1[[#This Row],[Join Date]])</f>
        <v>2018</v>
      </c>
      <c r="E2331" s="6">
        <v>44303</v>
      </c>
      <c r="F2331">
        <f>IFERROR(YEAR(Table1[[#This Row],[Exit Date]]), " ")</f>
        <v>2021</v>
      </c>
      <c r="G2331">
        <f>IFERROR((Table1[[#This Row],[Exit Year]]-Table1[[#This Row],[Join Year]])+1," ")</f>
        <v>4</v>
      </c>
      <c r="H2331" t="s">
        <v>22</v>
      </c>
      <c r="I2331" t="s">
        <v>23</v>
      </c>
      <c r="J2331" t="s">
        <v>18</v>
      </c>
      <c r="K2331">
        <v>53</v>
      </c>
      <c r="L2331" t="str">
        <f>IF(Table1[[#This Row],[Age]]&lt;30,"20-29",
IF(Table1[[#This Row],[Age]]&lt;40,"30-39",
IF(Table1[[#This Row],[Age]]&lt;50,"40-49",
IF(Table1[[#This Row],[Age]]&lt;60,"50-59","60+"))))</f>
        <v>50-59</v>
      </c>
      <c r="M2331" t="s">
        <v>16</v>
      </c>
      <c r="N2331" t="s">
        <v>25</v>
      </c>
    </row>
    <row r="2332" spans="1:14" x14ac:dyDescent="0.35">
      <c r="A2332">
        <v>2431</v>
      </c>
      <c r="B2332" t="s">
        <v>36</v>
      </c>
      <c r="C2332" s="6">
        <v>44249</v>
      </c>
      <c r="D2332">
        <f>YEAR(Table1[[#This Row],[Join Date]])</f>
        <v>2021</v>
      </c>
      <c r="E2332" s="6" t="s">
        <v>48</v>
      </c>
      <c r="F2332" t="str">
        <f>IFERROR(YEAR(Table1[[#This Row],[Exit Date]]), " ")</f>
        <v xml:space="preserve"> </v>
      </c>
      <c r="G2332" t="str">
        <f>IFERROR((Table1[[#This Row],[Exit Year]]-Table1[[#This Row],[Join Year]])+1," ")</f>
        <v xml:space="preserve"> </v>
      </c>
      <c r="H2332" t="s">
        <v>48</v>
      </c>
      <c r="I2332" t="s">
        <v>11</v>
      </c>
      <c r="J2332" t="s">
        <v>12</v>
      </c>
      <c r="K2332">
        <v>35</v>
      </c>
      <c r="L2332" t="str">
        <f>IF(Table1[[#This Row],[Age]]&lt;30,"20-29",
IF(Table1[[#This Row],[Age]]&lt;40,"30-39",
IF(Table1[[#This Row],[Age]]&lt;50,"40-49",
IF(Table1[[#This Row],[Age]]&lt;60,"50-59","60+"))))</f>
        <v>30-39</v>
      </c>
      <c r="M2332" t="s">
        <v>20</v>
      </c>
      <c r="N2332" t="s">
        <v>35</v>
      </c>
    </row>
    <row r="2333" spans="1:14" x14ac:dyDescent="0.35">
      <c r="A2333">
        <v>2432</v>
      </c>
      <c r="B2333" t="s">
        <v>10</v>
      </c>
      <c r="C2333" s="6">
        <v>45533</v>
      </c>
      <c r="D2333">
        <f>YEAR(Table1[[#This Row],[Join Date]])</f>
        <v>2024</v>
      </c>
      <c r="E2333" s="6" t="s">
        <v>48</v>
      </c>
      <c r="F2333" t="str">
        <f>IFERROR(YEAR(Table1[[#This Row],[Exit Date]]), " ")</f>
        <v xml:space="preserve"> </v>
      </c>
      <c r="G2333" t="str">
        <f>IFERROR((Table1[[#This Row],[Exit Year]]-Table1[[#This Row],[Join Year]])+1," ")</f>
        <v xml:space="preserve"> </v>
      </c>
      <c r="H2333" t="s">
        <v>48</v>
      </c>
      <c r="I2333" t="s">
        <v>11</v>
      </c>
      <c r="J2333" t="s">
        <v>12</v>
      </c>
      <c r="K2333">
        <v>32</v>
      </c>
      <c r="L2333" t="str">
        <f>IF(Table1[[#This Row],[Age]]&lt;30,"20-29",
IF(Table1[[#This Row],[Age]]&lt;40,"30-39",
IF(Table1[[#This Row],[Age]]&lt;50,"40-49",
IF(Table1[[#This Row],[Age]]&lt;60,"50-59","60+"))))</f>
        <v>30-39</v>
      </c>
      <c r="M2333" t="s">
        <v>24</v>
      </c>
      <c r="N2333" t="s">
        <v>17</v>
      </c>
    </row>
    <row r="2334" spans="1:14" x14ac:dyDescent="0.35">
      <c r="A2334">
        <v>2433</v>
      </c>
      <c r="B2334" t="s">
        <v>36</v>
      </c>
      <c r="C2334" s="6">
        <v>44377</v>
      </c>
      <c r="D2334">
        <f>YEAR(Table1[[#This Row],[Join Date]])</f>
        <v>2021</v>
      </c>
      <c r="E2334" s="6" t="s">
        <v>48</v>
      </c>
      <c r="F2334" t="str">
        <f>IFERROR(YEAR(Table1[[#This Row],[Exit Date]]), " ")</f>
        <v xml:space="preserve"> </v>
      </c>
      <c r="G2334" t="str">
        <f>IFERROR((Table1[[#This Row],[Exit Year]]-Table1[[#This Row],[Join Year]])+1," ")</f>
        <v xml:space="preserve"> </v>
      </c>
      <c r="H2334" t="s">
        <v>48</v>
      </c>
      <c r="I2334" t="s">
        <v>11</v>
      </c>
      <c r="J2334" t="s">
        <v>12</v>
      </c>
      <c r="K2334">
        <v>46</v>
      </c>
      <c r="L2334" t="str">
        <f>IF(Table1[[#This Row],[Age]]&lt;30,"20-29",
IF(Table1[[#This Row],[Age]]&lt;40,"30-39",
IF(Table1[[#This Row],[Age]]&lt;50,"40-49",
IF(Table1[[#This Row],[Age]]&lt;60,"50-59","60+"))))</f>
        <v>40-49</v>
      </c>
      <c r="M2334" t="s">
        <v>13</v>
      </c>
      <c r="N2334" t="s">
        <v>19</v>
      </c>
    </row>
    <row r="2335" spans="1:14" x14ac:dyDescent="0.35">
      <c r="A2335">
        <v>2434</v>
      </c>
      <c r="B2335" t="s">
        <v>10</v>
      </c>
      <c r="C2335" s="6">
        <v>44088</v>
      </c>
      <c r="D2335">
        <f>YEAR(Table1[[#This Row],[Join Date]])</f>
        <v>2020</v>
      </c>
      <c r="E2335" s="6" t="s">
        <v>48</v>
      </c>
      <c r="F2335" t="str">
        <f>IFERROR(YEAR(Table1[[#This Row],[Exit Date]]), " ")</f>
        <v xml:space="preserve"> </v>
      </c>
      <c r="G2335" t="str">
        <f>IFERROR((Table1[[#This Row],[Exit Year]]-Table1[[#This Row],[Join Year]])+1," ")</f>
        <v xml:space="preserve"> </v>
      </c>
      <c r="H2335" t="s">
        <v>48</v>
      </c>
      <c r="I2335" t="s">
        <v>11</v>
      </c>
      <c r="J2335" t="s">
        <v>18</v>
      </c>
      <c r="K2335">
        <v>50</v>
      </c>
      <c r="L2335" t="str">
        <f>IF(Table1[[#This Row],[Age]]&lt;30,"20-29",
IF(Table1[[#This Row],[Age]]&lt;40,"30-39",
IF(Table1[[#This Row],[Age]]&lt;50,"40-49",
IF(Table1[[#This Row],[Age]]&lt;60,"50-59","60+"))))</f>
        <v>50-59</v>
      </c>
      <c r="M2335" t="s">
        <v>42</v>
      </c>
      <c r="N2335" t="s">
        <v>21</v>
      </c>
    </row>
    <row r="2336" spans="1:14" x14ac:dyDescent="0.35">
      <c r="A2336">
        <v>2435</v>
      </c>
      <c r="B2336" t="s">
        <v>26</v>
      </c>
      <c r="C2336" s="6">
        <v>43373</v>
      </c>
      <c r="D2336">
        <f>YEAR(Table1[[#This Row],[Join Date]])</f>
        <v>2018</v>
      </c>
      <c r="E2336" s="6">
        <v>44825</v>
      </c>
      <c r="F2336">
        <f>IFERROR(YEAR(Table1[[#This Row],[Exit Date]]), " ")</f>
        <v>2022</v>
      </c>
      <c r="G2336">
        <f>IFERROR((Table1[[#This Row],[Exit Year]]-Table1[[#This Row],[Join Year]])+1," ")</f>
        <v>5</v>
      </c>
      <c r="H2336" t="s">
        <v>27</v>
      </c>
      <c r="I2336" t="s">
        <v>23</v>
      </c>
      <c r="J2336" t="s">
        <v>12</v>
      </c>
      <c r="K2336">
        <v>61</v>
      </c>
      <c r="L2336" t="str">
        <f>IF(Table1[[#This Row],[Age]]&lt;30,"20-29",
IF(Table1[[#This Row],[Age]]&lt;40,"30-39",
IF(Table1[[#This Row],[Age]]&lt;50,"40-49",
IF(Table1[[#This Row],[Age]]&lt;60,"50-59","60+"))))</f>
        <v>60+</v>
      </c>
      <c r="M2336" t="s">
        <v>13</v>
      </c>
      <c r="N2336" t="s">
        <v>25</v>
      </c>
    </row>
    <row r="2337" spans="1:14" x14ac:dyDescent="0.35">
      <c r="A2337">
        <v>2436</v>
      </c>
      <c r="B2337" t="s">
        <v>26</v>
      </c>
      <c r="C2337" s="6">
        <v>43314</v>
      </c>
      <c r="D2337">
        <f>YEAR(Table1[[#This Row],[Join Date]])</f>
        <v>2018</v>
      </c>
      <c r="E2337" s="6" t="s">
        <v>48</v>
      </c>
      <c r="F2337" t="str">
        <f>IFERROR(YEAR(Table1[[#This Row],[Exit Date]]), " ")</f>
        <v xml:space="preserve"> </v>
      </c>
      <c r="G2337" t="str">
        <f>IFERROR((Table1[[#This Row],[Exit Year]]-Table1[[#This Row],[Join Year]])+1," ")</f>
        <v xml:space="preserve"> </v>
      </c>
      <c r="H2337" t="s">
        <v>48</v>
      </c>
      <c r="I2337" t="s">
        <v>11</v>
      </c>
      <c r="J2337" t="s">
        <v>18</v>
      </c>
      <c r="K2337">
        <v>29</v>
      </c>
      <c r="L2337" t="str">
        <f>IF(Table1[[#This Row],[Age]]&lt;30,"20-29",
IF(Table1[[#This Row],[Age]]&lt;40,"30-39",
IF(Table1[[#This Row],[Age]]&lt;50,"40-49",
IF(Table1[[#This Row],[Age]]&lt;60,"50-59","60+"))))</f>
        <v>20-29</v>
      </c>
      <c r="M2337" t="s">
        <v>13</v>
      </c>
      <c r="N2337" t="s">
        <v>35</v>
      </c>
    </row>
    <row r="2338" spans="1:14" x14ac:dyDescent="0.35">
      <c r="A2338">
        <v>2437</v>
      </c>
      <c r="B2338" t="s">
        <v>26</v>
      </c>
      <c r="C2338" s="6">
        <v>44418</v>
      </c>
      <c r="D2338">
        <f>YEAR(Table1[[#This Row],[Join Date]])</f>
        <v>2021</v>
      </c>
      <c r="E2338" s="6">
        <v>45628</v>
      </c>
      <c r="F2338">
        <f>IFERROR(YEAR(Table1[[#This Row],[Exit Date]]), " ")</f>
        <v>2024</v>
      </c>
      <c r="G2338">
        <f>IFERROR((Table1[[#This Row],[Exit Year]]-Table1[[#This Row],[Join Year]])+1," ")</f>
        <v>4</v>
      </c>
      <c r="H2338" t="s">
        <v>22</v>
      </c>
      <c r="I2338" t="s">
        <v>23</v>
      </c>
      <c r="J2338" t="s">
        <v>12</v>
      </c>
      <c r="K2338">
        <v>27</v>
      </c>
      <c r="L2338" t="str">
        <f>IF(Table1[[#This Row],[Age]]&lt;30,"20-29",
IF(Table1[[#This Row],[Age]]&lt;40,"30-39",
IF(Table1[[#This Row],[Age]]&lt;50,"40-49",
IF(Table1[[#This Row],[Age]]&lt;60,"50-59","60+"))))</f>
        <v>20-29</v>
      </c>
      <c r="M2338" t="s">
        <v>16</v>
      </c>
      <c r="N2338" t="s">
        <v>14</v>
      </c>
    </row>
    <row r="2339" spans="1:14" x14ac:dyDescent="0.35">
      <c r="A2339">
        <v>2438</v>
      </c>
      <c r="B2339" t="s">
        <v>34</v>
      </c>
      <c r="C2339" s="6">
        <v>44324</v>
      </c>
      <c r="D2339">
        <f>YEAR(Table1[[#This Row],[Join Date]])</f>
        <v>2021</v>
      </c>
      <c r="E2339" s="6">
        <v>45076</v>
      </c>
      <c r="F2339">
        <f>IFERROR(YEAR(Table1[[#This Row],[Exit Date]]), " ")</f>
        <v>2023</v>
      </c>
      <c r="G2339">
        <f>IFERROR((Table1[[#This Row],[Exit Year]]-Table1[[#This Row],[Join Year]])+1," ")</f>
        <v>3</v>
      </c>
      <c r="H2339" t="s">
        <v>40</v>
      </c>
      <c r="I2339" t="s">
        <v>23</v>
      </c>
      <c r="J2339" t="s">
        <v>18</v>
      </c>
      <c r="K2339">
        <v>31</v>
      </c>
      <c r="L2339" t="str">
        <f>IF(Table1[[#This Row],[Age]]&lt;30,"20-29",
IF(Table1[[#This Row],[Age]]&lt;40,"30-39",
IF(Table1[[#This Row],[Age]]&lt;50,"40-49",
IF(Table1[[#This Row],[Age]]&lt;60,"50-59","60+"))))</f>
        <v>30-39</v>
      </c>
      <c r="M2339" t="s">
        <v>13</v>
      </c>
      <c r="N2339" t="s">
        <v>19</v>
      </c>
    </row>
    <row r="2340" spans="1:14" x14ac:dyDescent="0.35">
      <c r="A2340">
        <v>2439</v>
      </c>
      <c r="B2340" t="s">
        <v>10</v>
      </c>
      <c r="C2340" s="6">
        <v>43513</v>
      </c>
      <c r="D2340">
        <f>YEAR(Table1[[#This Row],[Join Date]])</f>
        <v>2019</v>
      </c>
      <c r="E2340" s="6">
        <v>44923</v>
      </c>
      <c r="F2340">
        <f>IFERROR(YEAR(Table1[[#This Row],[Exit Date]]), " ")</f>
        <v>2022</v>
      </c>
      <c r="G2340">
        <f>IFERROR((Table1[[#This Row],[Exit Year]]-Table1[[#This Row],[Join Year]])+1," ")</f>
        <v>4</v>
      </c>
      <c r="H2340" t="s">
        <v>38</v>
      </c>
      <c r="I2340" t="s">
        <v>23</v>
      </c>
      <c r="J2340" t="s">
        <v>18</v>
      </c>
      <c r="K2340">
        <v>24</v>
      </c>
      <c r="L2340" t="str">
        <f>IF(Table1[[#This Row],[Age]]&lt;30,"20-29",
IF(Table1[[#This Row],[Age]]&lt;40,"30-39",
IF(Table1[[#This Row],[Age]]&lt;50,"40-49",
IF(Table1[[#This Row],[Age]]&lt;60,"50-59","60+"))))</f>
        <v>20-29</v>
      </c>
      <c r="M2340" t="s">
        <v>20</v>
      </c>
      <c r="N2340" t="s">
        <v>21</v>
      </c>
    </row>
    <row r="2341" spans="1:14" x14ac:dyDescent="0.35">
      <c r="A2341">
        <v>2440</v>
      </c>
      <c r="B2341" t="s">
        <v>36</v>
      </c>
      <c r="C2341" s="6">
        <v>44180</v>
      </c>
      <c r="D2341">
        <f>YEAR(Table1[[#This Row],[Join Date]])</f>
        <v>2020</v>
      </c>
      <c r="E2341" s="6" t="s">
        <v>48</v>
      </c>
      <c r="F2341" t="str">
        <f>IFERROR(YEAR(Table1[[#This Row],[Exit Date]]), " ")</f>
        <v xml:space="preserve"> </v>
      </c>
      <c r="G2341" t="str">
        <f>IFERROR((Table1[[#This Row],[Exit Year]]-Table1[[#This Row],[Join Year]])+1," ")</f>
        <v xml:space="preserve"> </v>
      </c>
      <c r="H2341" t="s">
        <v>48</v>
      </c>
      <c r="I2341" t="s">
        <v>11</v>
      </c>
      <c r="J2341" t="s">
        <v>12</v>
      </c>
      <c r="K2341">
        <v>37</v>
      </c>
      <c r="L2341" t="str">
        <f>IF(Table1[[#This Row],[Age]]&lt;30,"20-29",
IF(Table1[[#This Row],[Age]]&lt;40,"30-39",
IF(Table1[[#This Row],[Age]]&lt;50,"40-49",
IF(Table1[[#This Row],[Age]]&lt;60,"50-59","60+"))))</f>
        <v>30-39</v>
      </c>
      <c r="M2341" t="s">
        <v>39</v>
      </c>
      <c r="N2341" t="s">
        <v>37</v>
      </c>
    </row>
    <row r="2342" spans="1:14" x14ac:dyDescent="0.35">
      <c r="A2342">
        <v>2441</v>
      </c>
      <c r="B2342" t="s">
        <v>34</v>
      </c>
      <c r="C2342" s="6">
        <v>44099</v>
      </c>
      <c r="D2342">
        <f>YEAR(Table1[[#This Row],[Join Date]])</f>
        <v>2020</v>
      </c>
      <c r="E2342" s="6" t="s">
        <v>48</v>
      </c>
      <c r="F2342" t="str">
        <f>IFERROR(YEAR(Table1[[#This Row],[Exit Date]]), " ")</f>
        <v xml:space="preserve"> </v>
      </c>
      <c r="G2342" t="str">
        <f>IFERROR((Table1[[#This Row],[Exit Year]]-Table1[[#This Row],[Join Year]])+1," ")</f>
        <v xml:space="preserve"> </v>
      </c>
      <c r="H2342" t="s">
        <v>48</v>
      </c>
      <c r="I2342" t="s">
        <v>11</v>
      </c>
      <c r="J2342" t="s">
        <v>18</v>
      </c>
      <c r="K2342">
        <v>23</v>
      </c>
      <c r="L2342" t="str">
        <f>IF(Table1[[#This Row],[Age]]&lt;30,"20-29",
IF(Table1[[#This Row],[Age]]&lt;40,"30-39",
IF(Table1[[#This Row],[Age]]&lt;50,"40-49",
IF(Table1[[#This Row],[Age]]&lt;60,"50-59","60+"))))</f>
        <v>20-29</v>
      </c>
      <c r="M2342" t="s">
        <v>13</v>
      </c>
      <c r="N2342" t="s">
        <v>25</v>
      </c>
    </row>
    <row r="2343" spans="1:14" x14ac:dyDescent="0.35">
      <c r="A2343">
        <v>2442</v>
      </c>
      <c r="B2343" t="s">
        <v>34</v>
      </c>
      <c r="C2343" s="6">
        <v>45632</v>
      </c>
      <c r="D2343">
        <f>YEAR(Table1[[#This Row],[Join Date]])</f>
        <v>2024</v>
      </c>
      <c r="E2343" s="6" t="s">
        <v>48</v>
      </c>
      <c r="F2343" t="str">
        <f>IFERROR(YEAR(Table1[[#This Row],[Exit Date]]), " ")</f>
        <v xml:space="preserve"> </v>
      </c>
      <c r="G2343" t="str">
        <f>IFERROR((Table1[[#This Row],[Exit Year]]-Table1[[#This Row],[Join Year]])+1," ")</f>
        <v xml:space="preserve"> </v>
      </c>
      <c r="H2343" t="s">
        <v>48</v>
      </c>
      <c r="I2343" t="s">
        <v>11</v>
      </c>
      <c r="J2343" t="s">
        <v>18</v>
      </c>
      <c r="K2343">
        <v>31</v>
      </c>
      <c r="L2343" t="str">
        <f>IF(Table1[[#This Row],[Age]]&lt;30,"20-29",
IF(Table1[[#This Row],[Age]]&lt;40,"30-39",
IF(Table1[[#This Row],[Age]]&lt;50,"40-49",
IF(Table1[[#This Row],[Age]]&lt;60,"50-59","60+"))))</f>
        <v>30-39</v>
      </c>
      <c r="M2343" t="s">
        <v>16</v>
      </c>
      <c r="N2343" t="s">
        <v>35</v>
      </c>
    </row>
    <row r="2344" spans="1:14" x14ac:dyDescent="0.35">
      <c r="A2344">
        <v>2443</v>
      </c>
      <c r="B2344" t="s">
        <v>36</v>
      </c>
      <c r="C2344" s="6">
        <v>45294</v>
      </c>
      <c r="D2344">
        <f>YEAR(Table1[[#This Row],[Join Date]])</f>
        <v>2024</v>
      </c>
      <c r="E2344" s="6" t="s">
        <v>48</v>
      </c>
      <c r="F2344" t="str">
        <f>IFERROR(YEAR(Table1[[#This Row],[Exit Date]]), " ")</f>
        <v xml:space="preserve"> </v>
      </c>
      <c r="G2344" t="str">
        <f>IFERROR((Table1[[#This Row],[Exit Year]]-Table1[[#This Row],[Join Year]])+1," ")</f>
        <v xml:space="preserve"> </v>
      </c>
      <c r="H2344" t="s">
        <v>48</v>
      </c>
      <c r="I2344" t="s">
        <v>11</v>
      </c>
      <c r="J2344" t="s">
        <v>12</v>
      </c>
      <c r="K2344">
        <v>52</v>
      </c>
      <c r="L2344" t="str">
        <f>IF(Table1[[#This Row],[Age]]&lt;30,"20-29",
IF(Table1[[#This Row],[Age]]&lt;40,"30-39",
IF(Table1[[#This Row],[Age]]&lt;50,"40-49",
IF(Table1[[#This Row],[Age]]&lt;60,"50-59","60+"))))</f>
        <v>50-59</v>
      </c>
      <c r="M2344" t="s">
        <v>16</v>
      </c>
      <c r="N2344" t="s">
        <v>14</v>
      </c>
    </row>
    <row r="2345" spans="1:14" x14ac:dyDescent="0.35">
      <c r="A2345">
        <v>2444</v>
      </c>
      <c r="B2345" t="s">
        <v>26</v>
      </c>
      <c r="C2345" s="6">
        <v>44590</v>
      </c>
      <c r="D2345">
        <f>YEAR(Table1[[#This Row],[Join Date]])</f>
        <v>2022</v>
      </c>
      <c r="E2345" s="6" t="s">
        <v>48</v>
      </c>
      <c r="F2345" t="str">
        <f>IFERROR(YEAR(Table1[[#This Row],[Exit Date]]), " ")</f>
        <v xml:space="preserve"> </v>
      </c>
      <c r="G2345" t="str">
        <f>IFERROR((Table1[[#This Row],[Exit Year]]-Table1[[#This Row],[Join Year]])+1," ")</f>
        <v xml:space="preserve"> </v>
      </c>
      <c r="H2345" t="s">
        <v>48</v>
      </c>
      <c r="I2345" t="s">
        <v>11</v>
      </c>
      <c r="J2345" t="s">
        <v>18</v>
      </c>
      <c r="K2345">
        <v>25</v>
      </c>
      <c r="L2345" t="str">
        <f>IF(Table1[[#This Row],[Age]]&lt;30,"20-29",
IF(Table1[[#This Row],[Age]]&lt;40,"30-39",
IF(Table1[[#This Row],[Age]]&lt;50,"40-49",
IF(Table1[[#This Row],[Age]]&lt;60,"50-59","60+"))))</f>
        <v>20-29</v>
      </c>
      <c r="M2345" t="s">
        <v>20</v>
      </c>
      <c r="N2345" t="s">
        <v>17</v>
      </c>
    </row>
    <row r="2346" spans="1:14" x14ac:dyDescent="0.35">
      <c r="A2346">
        <v>2445</v>
      </c>
      <c r="B2346" t="s">
        <v>15</v>
      </c>
      <c r="C2346" s="6">
        <v>45215</v>
      </c>
      <c r="D2346">
        <f>YEAR(Table1[[#This Row],[Join Date]])</f>
        <v>2023</v>
      </c>
      <c r="E2346" s="6" t="s">
        <v>48</v>
      </c>
      <c r="F2346" t="str">
        <f>IFERROR(YEAR(Table1[[#This Row],[Exit Date]]), " ")</f>
        <v xml:space="preserve"> </v>
      </c>
      <c r="G2346" t="str">
        <f>IFERROR((Table1[[#This Row],[Exit Year]]-Table1[[#This Row],[Join Year]])+1," ")</f>
        <v xml:space="preserve"> </v>
      </c>
      <c r="H2346" t="s">
        <v>48</v>
      </c>
      <c r="I2346" t="s">
        <v>11</v>
      </c>
      <c r="J2346" t="s">
        <v>18</v>
      </c>
      <c r="K2346">
        <v>46</v>
      </c>
      <c r="L2346" t="str">
        <f>IF(Table1[[#This Row],[Age]]&lt;30,"20-29",
IF(Table1[[#This Row],[Age]]&lt;40,"30-39",
IF(Table1[[#This Row],[Age]]&lt;50,"40-49",
IF(Table1[[#This Row],[Age]]&lt;60,"50-59","60+"))))</f>
        <v>40-49</v>
      </c>
      <c r="M2346" t="s">
        <v>24</v>
      </c>
      <c r="N2346" t="s">
        <v>19</v>
      </c>
    </row>
    <row r="2347" spans="1:14" x14ac:dyDescent="0.35">
      <c r="A2347">
        <v>2446</v>
      </c>
      <c r="B2347" t="s">
        <v>15</v>
      </c>
      <c r="C2347" s="6">
        <v>43624</v>
      </c>
      <c r="D2347">
        <f>YEAR(Table1[[#This Row],[Join Date]])</f>
        <v>2019</v>
      </c>
      <c r="E2347" s="6">
        <v>44228</v>
      </c>
      <c r="F2347">
        <f>IFERROR(YEAR(Table1[[#This Row],[Exit Date]]), " ")</f>
        <v>2021</v>
      </c>
      <c r="G2347">
        <f>IFERROR((Table1[[#This Row],[Exit Year]]-Table1[[#This Row],[Join Year]])+1," ")</f>
        <v>3</v>
      </c>
      <c r="H2347" t="s">
        <v>41</v>
      </c>
      <c r="I2347" t="s">
        <v>23</v>
      </c>
      <c r="J2347" t="s">
        <v>18</v>
      </c>
      <c r="K2347">
        <v>24</v>
      </c>
      <c r="L2347" t="str">
        <f>IF(Table1[[#This Row],[Age]]&lt;30,"20-29",
IF(Table1[[#This Row],[Age]]&lt;40,"30-39",
IF(Table1[[#This Row],[Age]]&lt;50,"40-49",
IF(Table1[[#This Row],[Age]]&lt;60,"50-59","60+"))))</f>
        <v>20-29</v>
      </c>
      <c r="M2347" t="s">
        <v>13</v>
      </c>
      <c r="N2347" t="s">
        <v>21</v>
      </c>
    </row>
    <row r="2348" spans="1:14" x14ac:dyDescent="0.35">
      <c r="A2348">
        <v>2447</v>
      </c>
      <c r="B2348" t="s">
        <v>15</v>
      </c>
      <c r="C2348" s="6">
        <v>44514</v>
      </c>
      <c r="D2348">
        <f>YEAR(Table1[[#This Row],[Join Date]])</f>
        <v>2021</v>
      </c>
      <c r="E2348" s="6">
        <v>45529</v>
      </c>
      <c r="F2348">
        <f>IFERROR(YEAR(Table1[[#This Row],[Exit Date]]), " ")</f>
        <v>2024</v>
      </c>
      <c r="G2348">
        <f>IFERROR((Table1[[#This Row],[Exit Year]]-Table1[[#This Row],[Join Year]])+1," ")</f>
        <v>4</v>
      </c>
      <c r="H2348" t="s">
        <v>41</v>
      </c>
      <c r="I2348" t="s">
        <v>23</v>
      </c>
      <c r="J2348" t="s">
        <v>12</v>
      </c>
      <c r="K2348">
        <v>38</v>
      </c>
      <c r="L2348" t="str">
        <f>IF(Table1[[#This Row],[Age]]&lt;30,"20-29",
IF(Table1[[#This Row],[Age]]&lt;40,"30-39",
IF(Table1[[#This Row],[Age]]&lt;50,"40-49",
IF(Table1[[#This Row],[Age]]&lt;60,"50-59","60+"))))</f>
        <v>30-39</v>
      </c>
      <c r="M2348" t="s">
        <v>42</v>
      </c>
      <c r="N2348" t="s">
        <v>25</v>
      </c>
    </row>
    <row r="2349" spans="1:14" x14ac:dyDescent="0.35">
      <c r="A2349">
        <v>2448</v>
      </c>
      <c r="B2349" t="s">
        <v>29</v>
      </c>
      <c r="C2349" s="6">
        <v>43700</v>
      </c>
      <c r="D2349">
        <f>YEAR(Table1[[#This Row],[Join Date]])</f>
        <v>2019</v>
      </c>
      <c r="E2349" s="6" t="s">
        <v>48</v>
      </c>
      <c r="F2349" t="str">
        <f>IFERROR(YEAR(Table1[[#This Row],[Exit Date]]), " ")</f>
        <v xml:space="preserve"> </v>
      </c>
      <c r="G2349" t="str">
        <f>IFERROR((Table1[[#This Row],[Exit Year]]-Table1[[#This Row],[Join Year]])+1," ")</f>
        <v xml:space="preserve"> </v>
      </c>
      <c r="H2349" t="s">
        <v>48</v>
      </c>
      <c r="I2349" t="s">
        <v>11</v>
      </c>
      <c r="J2349" t="s">
        <v>18</v>
      </c>
      <c r="K2349">
        <v>49</v>
      </c>
      <c r="L2349" t="str">
        <f>IF(Table1[[#This Row],[Age]]&lt;30,"20-29",
IF(Table1[[#This Row],[Age]]&lt;40,"30-39",
IF(Table1[[#This Row],[Age]]&lt;50,"40-49",
IF(Table1[[#This Row],[Age]]&lt;60,"50-59","60+"))))</f>
        <v>40-49</v>
      </c>
      <c r="M2349" t="s">
        <v>13</v>
      </c>
      <c r="N2349" t="s">
        <v>28</v>
      </c>
    </row>
    <row r="2350" spans="1:14" x14ac:dyDescent="0.35">
      <c r="A2350">
        <v>2449</v>
      </c>
      <c r="B2350" t="s">
        <v>34</v>
      </c>
      <c r="C2350" s="6">
        <v>45540</v>
      </c>
      <c r="D2350">
        <f>YEAR(Table1[[#This Row],[Join Date]])</f>
        <v>2024</v>
      </c>
      <c r="E2350" s="6" t="s">
        <v>48</v>
      </c>
      <c r="F2350" t="str">
        <f>IFERROR(YEAR(Table1[[#This Row],[Exit Date]]), " ")</f>
        <v xml:space="preserve"> </v>
      </c>
      <c r="G2350" t="str">
        <f>IFERROR((Table1[[#This Row],[Exit Year]]-Table1[[#This Row],[Join Year]])+1," ")</f>
        <v xml:space="preserve"> </v>
      </c>
      <c r="H2350" t="s">
        <v>48</v>
      </c>
      <c r="I2350" t="s">
        <v>11</v>
      </c>
      <c r="J2350" t="s">
        <v>12</v>
      </c>
      <c r="K2350">
        <v>31</v>
      </c>
      <c r="L2350" t="str">
        <f>IF(Table1[[#This Row],[Age]]&lt;30,"20-29",
IF(Table1[[#This Row],[Age]]&lt;40,"30-39",
IF(Table1[[#This Row],[Age]]&lt;50,"40-49",
IF(Table1[[#This Row],[Age]]&lt;60,"50-59","60+"))))</f>
        <v>30-39</v>
      </c>
      <c r="M2350" t="s">
        <v>13</v>
      </c>
      <c r="N2350" t="s">
        <v>31</v>
      </c>
    </row>
    <row r="2351" spans="1:14" x14ac:dyDescent="0.35">
      <c r="A2351">
        <v>2450</v>
      </c>
      <c r="B2351" t="s">
        <v>10</v>
      </c>
      <c r="C2351" s="6">
        <v>43297</v>
      </c>
      <c r="D2351">
        <f>YEAR(Table1[[#This Row],[Join Date]])</f>
        <v>2018</v>
      </c>
      <c r="E2351" s="6">
        <v>44682</v>
      </c>
      <c r="F2351">
        <f>IFERROR(YEAR(Table1[[#This Row],[Exit Date]]), " ")</f>
        <v>2022</v>
      </c>
      <c r="G2351">
        <f>IFERROR((Table1[[#This Row],[Exit Year]]-Table1[[#This Row],[Join Year]])+1," ")</f>
        <v>5</v>
      </c>
      <c r="H2351" t="s">
        <v>40</v>
      </c>
      <c r="I2351" t="s">
        <v>23</v>
      </c>
      <c r="J2351" t="s">
        <v>12</v>
      </c>
      <c r="K2351">
        <v>51</v>
      </c>
      <c r="L2351" t="str">
        <f>IF(Table1[[#This Row],[Age]]&lt;30,"20-29",
IF(Table1[[#This Row],[Age]]&lt;40,"30-39",
IF(Table1[[#This Row],[Age]]&lt;50,"40-49",
IF(Table1[[#This Row],[Age]]&lt;60,"50-59","60+"))))</f>
        <v>50-59</v>
      </c>
      <c r="M2351" t="s">
        <v>16</v>
      </c>
      <c r="N2351" t="s">
        <v>32</v>
      </c>
    </row>
    <row r="2352" spans="1:14" x14ac:dyDescent="0.35">
      <c r="A2352">
        <v>2451</v>
      </c>
      <c r="B2352" t="s">
        <v>10</v>
      </c>
      <c r="C2352" s="6">
        <v>43407</v>
      </c>
      <c r="D2352">
        <f>YEAR(Table1[[#This Row],[Join Date]])</f>
        <v>2018</v>
      </c>
      <c r="E2352" s="6" t="s">
        <v>48</v>
      </c>
      <c r="F2352" t="str">
        <f>IFERROR(YEAR(Table1[[#This Row],[Exit Date]]), " ")</f>
        <v xml:space="preserve"> </v>
      </c>
      <c r="G2352" t="str">
        <f>IFERROR((Table1[[#This Row],[Exit Year]]-Table1[[#This Row],[Join Year]])+1," ")</f>
        <v xml:space="preserve"> </v>
      </c>
      <c r="H2352" t="s">
        <v>48</v>
      </c>
      <c r="I2352" t="s">
        <v>11</v>
      </c>
      <c r="J2352" t="s">
        <v>12</v>
      </c>
      <c r="K2352">
        <v>27</v>
      </c>
      <c r="L2352" t="str">
        <f>IF(Table1[[#This Row],[Age]]&lt;30,"20-29",
IF(Table1[[#This Row],[Age]]&lt;40,"30-39",
IF(Table1[[#This Row],[Age]]&lt;50,"40-49",
IF(Table1[[#This Row],[Age]]&lt;60,"50-59","60+"))))</f>
        <v>20-29</v>
      </c>
      <c r="M2352" t="s">
        <v>13</v>
      </c>
      <c r="N2352" t="s">
        <v>33</v>
      </c>
    </row>
    <row r="2353" spans="1:14" x14ac:dyDescent="0.35">
      <c r="A2353">
        <v>2452</v>
      </c>
      <c r="B2353" t="s">
        <v>15</v>
      </c>
      <c r="C2353" s="6">
        <v>44121</v>
      </c>
      <c r="D2353">
        <f>YEAR(Table1[[#This Row],[Join Date]])</f>
        <v>2020</v>
      </c>
      <c r="E2353" s="6" t="s">
        <v>48</v>
      </c>
      <c r="F2353" t="str">
        <f>IFERROR(YEAR(Table1[[#This Row],[Exit Date]]), " ")</f>
        <v xml:space="preserve"> </v>
      </c>
      <c r="G2353" t="str">
        <f>IFERROR((Table1[[#This Row],[Exit Year]]-Table1[[#This Row],[Join Year]])+1," ")</f>
        <v xml:space="preserve"> </v>
      </c>
      <c r="H2353" t="s">
        <v>48</v>
      </c>
      <c r="I2353" t="s">
        <v>11</v>
      </c>
      <c r="J2353" t="s">
        <v>12</v>
      </c>
      <c r="K2353">
        <v>22</v>
      </c>
      <c r="L2353" t="str">
        <f>IF(Table1[[#This Row],[Age]]&lt;30,"20-29",
IF(Table1[[#This Row],[Age]]&lt;40,"30-39",
IF(Table1[[#This Row],[Age]]&lt;50,"40-49",
IF(Table1[[#This Row],[Age]]&lt;60,"50-59","60+"))))</f>
        <v>20-29</v>
      </c>
      <c r="M2353" t="s">
        <v>20</v>
      </c>
      <c r="N2353" t="s">
        <v>35</v>
      </c>
    </row>
    <row r="2354" spans="1:14" x14ac:dyDescent="0.35">
      <c r="A2354">
        <v>2453</v>
      </c>
      <c r="B2354" t="s">
        <v>15</v>
      </c>
      <c r="C2354" s="6">
        <v>44423</v>
      </c>
      <c r="D2354">
        <f>YEAR(Table1[[#This Row],[Join Date]])</f>
        <v>2021</v>
      </c>
      <c r="E2354" s="6" t="s">
        <v>48</v>
      </c>
      <c r="F2354" t="str">
        <f>IFERROR(YEAR(Table1[[#This Row],[Exit Date]]), " ")</f>
        <v xml:space="preserve"> </v>
      </c>
      <c r="G2354" t="str">
        <f>IFERROR((Table1[[#This Row],[Exit Year]]-Table1[[#This Row],[Join Year]])+1," ")</f>
        <v xml:space="preserve"> </v>
      </c>
      <c r="H2354" t="s">
        <v>48</v>
      </c>
      <c r="I2354" t="s">
        <v>11</v>
      </c>
      <c r="J2354" t="s">
        <v>18</v>
      </c>
      <c r="K2354">
        <v>50</v>
      </c>
      <c r="L2354" t="str">
        <f>IF(Table1[[#This Row],[Age]]&lt;30,"20-29",
IF(Table1[[#This Row],[Age]]&lt;40,"30-39",
IF(Table1[[#This Row],[Age]]&lt;50,"40-49",
IF(Table1[[#This Row],[Age]]&lt;60,"50-59","60+"))))</f>
        <v>50-59</v>
      </c>
      <c r="M2354" t="s">
        <v>39</v>
      </c>
      <c r="N2354" t="s">
        <v>37</v>
      </c>
    </row>
    <row r="2355" spans="1:14" x14ac:dyDescent="0.35">
      <c r="A2355">
        <v>2454</v>
      </c>
      <c r="B2355" t="s">
        <v>15</v>
      </c>
      <c r="C2355" s="6">
        <v>45087</v>
      </c>
      <c r="D2355">
        <f>YEAR(Table1[[#This Row],[Join Date]])</f>
        <v>2023</v>
      </c>
      <c r="E2355" s="6" t="s">
        <v>48</v>
      </c>
      <c r="F2355" t="str">
        <f>IFERROR(YEAR(Table1[[#This Row],[Exit Date]]), " ")</f>
        <v xml:space="preserve"> </v>
      </c>
      <c r="G2355" t="str">
        <f>IFERROR((Table1[[#This Row],[Exit Year]]-Table1[[#This Row],[Join Year]])+1," ")</f>
        <v xml:space="preserve"> </v>
      </c>
      <c r="H2355" t="s">
        <v>48</v>
      </c>
      <c r="I2355" t="s">
        <v>11</v>
      </c>
      <c r="J2355" t="s">
        <v>18</v>
      </c>
      <c r="K2355">
        <v>24</v>
      </c>
      <c r="L2355" t="str">
        <f>IF(Table1[[#This Row],[Age]]&lt;30,"20-29",
IF(Table1[[#This Row],[Age]]&lt;40,"30-39",
IF(Table1[[#This Row],[Age]]&lt;50,"40-49",
IF(Table1[[#This Row],[Age]]&lt;60,"50-59","60+"))))</f>
        <v>20-29</v>
      </c>
      <c r="M2355" t="s">
        <v>13</v>
      </c>
      <c r="N2355" t="s">
        <v>19</v>
      </c>
    </row>
    <row r="2356" spans="1:14" x14ac:dyDescent="0.35">
      <c r="A2356">
        <v>2455</v>
      </c>
      <c r="B2356" t="s">
        <v>15</v>
      </c>
      <c r="C2356" s="6">
        <v>43479</v>
      </c>
      <c r="D2356">
        <f>YEAR(Table1[[#This Row],[Join Date]])</f>
        <v>2019</v>
      </c>
      <c r="E2356" s="6">
        <v>44449</v>
      </c>
      <c r="F2356">
        <f>IFERROR(YEAR(Table1[[#This Row],[Exit Date]]), " ")</f>
        <v>2021</v>
      </c>
      <c r="G2356">
        <f>IFERROR((Table1[[#This Row],[Exit Year]]-Table1[[#This Row],[Join Year]])+1," ")</f>
        <v>3</v>
      </c>
      <c r="H2356" t="s">
        <v>22</v>
      </c>
      <c r="I2356" t="s">
        <v>23</v>
      </c>
      <c r="J2356" t="s">
        <v>12</v>
      </c>
      <c r="K2356">
        <v>50</v>
      </c>
      <c r="L2356" t="str">
        <f>IF(Table1[[#This Row],[Age]]&lt;30,"20-29",
IF(Table1[[#This Row],[Age]]&lt;40,"30-39",
IF(Table1[[#This Row],[Age]]&lt;50,"40-49",
IF(Table1[[#This Row],[Age]]&lt;60,"50-59","60+"))))</f>
        <v>50-59</v>
      </c>
      <c r="M2356" t="s">
        <v>16</v>
      </c>
      <c r="N2356" t="s">
        <v>25</v>
      </c>
    </row>
    <row r="2357" spans="1:14" x14ac:dyDescent="0.35">
      <c r="A2357">
        <v>2456</v>
      </c>
      <c r="B2357" t="s">
        <v>26</v>
      </c>
      <c r="C2357" s="6">
        <v>44749</v>
      </c>
      <c r="D2357">
        <f>YEAR(Table1[[#This Row],[Join Date]])</f>
        <v>2022</v>
      </c>
      <c r="E2357" s="6">
        <v>44972</v>
      </c>
      <c r="F2357">
        <f>IFERROR(YEAR(Table1[[#This Row],[Exit Date]]), " ")</f>
        <v>2023</v>
      </c>
      <c r="G2357">
        <f>IFERROR((Table1[[#This Row],[Exit Year]]-Table1[[#This Row],[Join Year]])+1," ")</f>
        <v>2</v>
      </c>
      <c r="H2357" t="s">
        <v>46</v>
      </c>
      <c r="I2357" t="s">
        <v>23</v>
      </c>
      <c r="J2357" t="s">
        <v>12</v>
      </c>
      <c r="K2357">
        <v>28</v>
      </c>
      <c r="L2357" t="str">
        <f>IF(Table1[[#This Row],[Age]]&lt;30,"20-29",
IF(Table1[[#This Row],[Age]]&lt;40,"30-39",
IF(Table1[[#This Row],[Age]]&lt;50,"40-49",
IF(Table1[[#This Row],[Age]]&lt;60,"50-59","60+"))))</f>
        <v>20-29</v>
      </c>
      <c r="M2357" t="s">
        <v>16</v>
      </c>
      <c r="N2357" t="s">
        <v>35</v>
      </c>
    </row>
    <row r="2358" spans="1:14" x14ac:dyDescent="0.35">
      <c r="A2358">
        <v>2457</v>
      </c>
      <c r="B2358" t="s">
        <v>29</v>
      </c>
      <c r="C2358" s="6">
        <v>45457</v>
      </c>
      <c r="D2358">
        <f>YEAR(Table1[[#This Row],[Join Date]])</f>
        <v>2024</v>
      </c>
      <c r="E2358" s="6" t="s">
        <v>48</v>
      </c>
      <c r="F2358" t="str">
        <f>IFERROR(YEAR(Table1[[#This Row],[Exit Date]]), " ")</f>
        <v xml:space="preserve"> </v>
      </c>
      <c r="G2358" t="str">
        <f>IFERROR((Table1[[#This Row],[Exit Year]]-Table1[[#This Row],[Join Year]])+1," ")</f>
        <v xml:space="preserve"> </v>
      </c>
      <c r="H2358" t="s">
        <v>48</v>
      </c>
      <c r="I2358" t="s">
        <v>11</v>
      </c>
      <c r="J2358" t="s">
        <v>12</v>
      </c>
      <c r="K2358">
        <v>40</v>
      </c>
      <c r="L2358" t="str">
        <f>IF(Table1[[#This Row],[Age]]&lt;30,"20-29",
IF(Table1[[#This Row],[Age]]&lt;40,"30-39",
IF(Table1[[#This Row],[Age]]&lt;50,"40-49",
IF(Table1[[#This Row],[Age]]&lt;60,"50-59","60+"))))</f>
        <v>40-49</v>
      </c>
      <c r="M2358" t="s">
        <v>20</v>
      </c>
      <c r="N2358" t="s">
        <v>17</v>
      </c>
    </row>
    <row r="2359" spans="1:14" x14ac:dyDescent="0.35">
      <c r="A2359">
        <v>2458</v>
      </c>
      <c r="B2359" t="s">
        <v>10</v>
      </c>
      <c r="C2359" s="6">
        <v>43304</v>
      </c>
      <c r="D2359">
        <f>YEAR(Table1[[#This Row],[Join Date]])</f>
        <v>2018</v>
      </c>
      <c r="E2359" s="6" t="s">
        <v>48</v>
      </c>
      <c r="F2359" t="str">
        <f>IFERROR(YEAR(Table1[[#This Row],[Exit Date]]), " ")</f>
        <v xml:space="preserve"> </v>
      </c>
      <c r="G2359" t="str">
        <f>IFERROR((Table1[[#This Row],[Exit Year]]-Table1[[#This Row],[Join Year]])+1," ")</f>
        <v xml:space="preserve"> </v>
      </c>
      <c r="H2359" t="s">
        <v>48</v>
      </c>
      <c r="I2359" t="s">
        <v>11</v>
      </c>
      <c r="J2359" t="s">
        <v>18</v>
      </c>
      <c r="K2359">
        <v>32</v>
      </c>
      <c r="L2359" t="str">
        <f>IF(Table1[[#This Row],[Age]]&lt;30,"20-29",
IF(Table1[[#This Row],[Age]]&lt;40,"30-39",
IF(Table1[[#This Row],[Age]]&lt;50,"40-49",
IF(Table1[[#This Row],[Age]]&lt;60,"50-59","60+"))))</f>
        <v>30-39</v>
      </c>
      <c r="M2359" t="s">
        <v>24</v>
      </c>
      <c r="N2359" t="s">
        <v>19</v>
      </c>
    </row>
    <row r="2360" spans="1:14" x14ac:dyDescent="0.35">
      <c r="A2360">
        <v>2459</v>
      </c>
      <c r="B2360" t="s">
        <v>15</v>
      </c>
      <c r="C2360" s="6">
        <v>44987</v>
      </c>
      <c r="D2360">
        <f>YEAR(Table1[[#This Row],[Join Date]])</f>
        <v>2023</v>
      </c>
      <c r="E2360" s="6" t="s">
        <v>48</v>
      </c>
      <c r="F2360" t="str">
        <f>IFERROR(YEAR(Table1[[#This Row],[Exit Date]]), " ")</f>
        <v xml:space="preserve"> </v>
      </c>
      <c r="G2360" t="str">
        <f>IFERROR((Table1[[#This Row],[Exit Year]]-Table1[[#This Row],[Join Year]])+1," ")</f>
        <v xml:space="preserve"> </v>
      </c>
      <c r="H2360" t="s">
        <v>48</v>
      </c>
      <c r="I2360" t="s">
        <v>11</v>
      </c>
      <c r="J2360" t="s">
        <v>12</v>
      </c>
      <c r="K2360">
        <v>50</v>
      </c>
      <c r="L2360" t="str">
        <f>IF(Table1[[#This Row],[Age]]&lt;30,"20-29",
IF(Table1[[#This Row],[Age]]&lt;40,"30-39",
IF(Table1[[#This Row],[Age]]&lt;50,"40-49",
IF(Table1[[#This Row],[Age]]&lt;60,"50-59","60+"))))</f>
        <v>50-59</v>
      </c>
      <c r="M2360" t="s">
        <v>13</v>
      </c>
      <c r="N2360" t="s">
        <v>21</v>
      </c>
    </row>
    <row r="2361" spans="1:14" x14ac:dyDescent="0.35">
      <c r="A2361">
        <v>2460</v>
      </c>
      <c r="B2361" t="s">
        <v>34</v>
      </c>
      <c r="C2361" s="6">
        <v>45326</v>
      </c>
      <c r="D2361">
        <f>YEAR(Table1[[#This Row],[Join Date]])</f>
        <v>2024</v>
      </c>
      <c r="E2361" s="6" t="s">
        <v>48</v>
      </c>
      <c r="F2361" t="str">
        <f>IFERROR(YEAR(Table1[[#This Row],[Exit Date]]), " ")</f>
        <v xml:space="preserve"> </v>
      </c>
      <c r="G2361" t="str">
        <f>IFERROR((Table1[[#This Row],[Exit Year]]-Table1[[#This Row],[Join Year]])+1," ")</f>
        <v xml:space="preserve"> </v>
      </c>
      <c r="H2361" t="s">
        <v>48</v>
      </c>
      <c r="I2361" t="s">
        <v>11</v>
      </c>
      <c r="J2361" t="s">
        <v>12</v>
      </c>
      <c r="K2361">
        <v>24</v>
      </c>
      <c r="L2361" t="str">
        <f>IF(Table1[[#This Row],[Age]]&lt;30,"20-29",
IF(Table1[[#This Row],[Age]]&lt;40,"30-39",
IF(Table1[[#This Row],[Age]]&lt;50,"40-49",
IF(Table1[[#This Row],[Age]]&lt;60,"50-59","60+"))))</f>
        <v>20-29</v>
      </c>
      <c r="M2361" t="s">
        <v>30</v>
      </c>
      <c r="N2361" t="s">
        <v>25</v>
      </c>
    </row>
    <row r="2362" spans="1:14" x14ac:dyDescent="0.35">
      <c r="A2362">
        <v>2461</v>
      </c>
      <c r="B2362" t="s">
        <v>36</v>
      </c>
      <c r="C2362" s="6">
        <v>45474</v>
      </c>
      <c r="D2362">
        <f>YEAR(Table1[[#This Row],[Join Date]])</f>
        <v>2024</v>
      </c>
      <c r="E2362" s="6" t="s">
        <v>48</v>
      </c>
      <c r="F2362" t="str">
        <f>IFERROR(YEAR(Table1[[#This Row],[Exit Date]]), " ")</f>
        <v xml:space="preserve"> </v>
      </c>
      <c r="G2362" t="str">
        <f>IFERROR((Table1[[#This Row],[Exit Year]]-Table1[[#This Row],[Join Year]])+1," ")</f>
        <v xml:space="preserve"> </v>
      </c>
      <c r="H2362" t="s">
        <v>48</v>
      </c>
      <c r="I2362" t="s">
        <v>11</v>
      </c>
      <c r="J2362" t="s">
        <v>18</v>
      </c>
      <c r="K2362">
        <v>36</v>
      </c>
      <c r="L2362" t="str">
        <f>IF(Table1[[#This Row],[Age]]&lt;30,"20-29",
IF(Table1[[#This Row],[Age]]&lt;40,"30-39",
IF(Table1[[#This Row],[Age]]&lt;50,"40-49",
IF(Table1[[#This Row],[Age]]&lt;60,"50-59","60+"))))</f>
        <v>30-39</v>
      </c>
      <c r="M2362" t="s">
        <v>13</v>
      </c>
      <c r="N2362" t="s">
        <v>35</v>
      </c>
    </row>
    <row r="2363" spans="1:14" x14ac:dyDescent="0.35">
      <c r="A2363">
        <v>2462</v>
      </c>
      <c r="B2363" t="s">
        <v>29</v>
      </c>
      <c r="C2363" s="6">
        <v>44227</v>
      </c>
      <c r="D2363">
        <f>YEAR(Table1[[#This Row],[Join Date]])</f>
        <v>2021</v>
      </c>
      <c r="E2363" s="6">
        <v>45322</v>
      </c>
      <c r="F2363">
        <f>IFERROR(YEAR(Table1[[#This Row],[Exit Date]]), " ")</f>
        <v>2024</v>
      </c>
      <c r="G2363">
        <f>IFERROR((Table1[[#This Row],[Exit Year]]-Table1[[#This Row],[Join Year]])+1," ")</f>
        <v>4</v>
      </c>
      <c r="H2363" t="s">
        <v>46</v>
      </c>
      <c r="I2363" t="s">
        <v>23</v>
      </c>
      <c r="J2363" t="s">
        <v>12</v>
      </c>
      <c r="K2363">
        <v>49</v>
      </c>
      <c r="L2363" t="str">
        <f>IF(Table1[[#This Row],[Age]]&lt;30,"20-29",
IF(Table1[[#This Row],[Age]]&lt;40,"30-39",
IF(Table1[[#This Row],[Age]]&lt;50,"40-49",
IF(Table1[[#This Row],[Age]]&lt;60,"50-59","60+"))))</f>
        <v>40-49</v>
      </c>
      <c r="M2363" t="s">
        <v>13</v>
      </c>
      <c r="N2363" t="s">
        <v>14</v>
      </c>
    </row>
    <row r="2364" spans="1:14" x14ac:dyDescent="0.35">
      <c r="A2364">
        <v>2463</v>
      </c>
      <c r="B2364" t="s">
        <v>10</v>
      </c>
      <c r="C2364" s="6">
        <v>43446</v>
      </c>
      <c r="D2364">
        <f>YEAR(Table1[[#This Row],[Join Date]])</f>
        <v>2018</v>
      </c>
      <c r="E2364" s="6">
        <v>43936</v>
      </c>
      <c r="F2364">
        <f>IFERROR(YEAR(Table1[[#This Row],[Exit Date]]), " ")</f>
        <v>2020</v>
      </c>
      <c r="G2364">
        <f>IFERROR((Table1[[#This Row],[Exit Year]]-Table1[[#This Row],[Join Year]])+1," ")</f>
        <v>3</v>
      </c>
      <c r="H2364" t="s">
        <v>38</v>
      </c>
      <c r="I2364" t="s">
        <v>23</v>
      </c>
      <c r="J2364" t="s">
        <v>18</v>
      </c>
      <c r="K2364">
        <v>43</v>
      </c>
      <c r="L2364" t="str">
        <f>IF(Table1[[#This Row],[Age]]&lt;30,"20-29",
IF(Table1[[#This Row],[Age]]&lt;40,"30-39",
IF(Table1[[#This Row],[Age]]&lt;50,"40-49",
IF(Table1[[#This Row],[Age]]&lt;60,"50-59","60+"))))</f>
        <v>40-49</v>
      </c>
      <c r="M2364" t="s">
        <v>16</v>
      </c>
      <c r="N2364" t="s">
        <v>19</v>
      </c>
    </row>
    <row r="2365" spans="1:14" x14ac:dyDescent="0.35">
      <c r="A2365">
        <v>2464</v>
      </c>
      <c r="B2365" t="s">
        <v>15</v>
      </c>
      <c r="C2365" s="6">
        <v>45314</v>
      </c>
      <c r="D2365">
        <f>YEAR(Table1[[#This Row],[Join Date]])</f>
        <v>2024</v>
      </c>
      <c r="E2365" s="6" t="s">
        <v>48</v>
      </c>
      <c r="F2365" t="str">
        <f>IFERROR(YEAR(Table1[[#This Row],[Exit Date]]), " ")</f>
        <v xml:space="preserve"> </v>
      </c>
      <c r="G2365" t="str">
        <f>IFERROR((Table1[[#This Row],[Exit Year]]-Table1[[#This Row],[Join Year]])+1," ")</f>
        <v xml:space="preserve"> </v>
      </c>
      <c r="H2365" t="s">
        <v>48</v>
      </c>
      <c r="I2365" t="s">
        <v>11</v>
      </c>
      <c r="J2365" t="s">
        <v>18</v>
      </c>
      <c r="K2365">
        <v>40</v>
      </c>
      <c r="L2365" t="str">
        <f>IF(Table1[[#This Row],[Age]]&lt;30,"20-29",
IF(Table1[[#This Row],[Age]]&lt;40,"30-39",
IF(Table1[[#This Row],[Age]]&lt;50,"40-49",
IF(Table1[[#This Row],[Age]]&lt;60,"50-59","60+"))))</f>
        <v>40-49</v>
      </c>
      <c r="M2365" t="s">
        <v>13</v>
      </c>
      <c r="N2365" t="s">
        <v>21</v>
      </c>
    </row>
    <row r="2366" spans="1:14" x14ac:dyDescent="0.35">
      <c r="A2366">
        <v>2465</v>
      </c>
      <c r="B2366" t="s">
        <v>15</v>
      </c>
      <c r="C2366" s="6">
        <v>43123</v>
      </c>
      <c r="D2366">
        <f>YEAR(Table1[[#This Row],[Join Date]])</f>
        <v>2018</v>
      </c>
      <c r="E2366" s="6" t="s">
        <v>48</v>
      </c>
      <c r="F2366" t="str">
        <f>IFERROR(YEAR(Table1[[#This Row],[Exit Date]]), " ")</f>
        <v xml:space="preserve"> </v>
      </c>
      <c r="G2366" t="str">
        <f>IFERROR((Table1[[#This Row],[Exit Year]]-Table1[[#This Row],[Join Year]])+1," ")</f>
        <v xml:space="preserve"> </v>
      </c>
      <c r="H2366" t="s">
        <v>48</v>
      </c>
      <c r="I2366" t="s">
        <v>11</v>
      </c>
      <c r="J2366" t="s">
        <v>12</v>
      </c>
      <c r="K2366">
        <v>42</v>
      </c>
      <c r="L2366" t="str">
        <f>IF(Table1[[#This Row],[Age]]&lt;30,"20-29",
IF(Table1[[#This Row],[Age]]&lt;40,"30-39",
IF(Table1[[#This Row],[Age]]&lt;50,"40-49",
IF(Table1[[#This Row],[Age]]&lt;60,"50-59","60+"))))</f>
        <v>40-49</v>
      </c>
      <c r="M2366" t="s">
        <v>20</v>
      </c>
      <c r="N2366" t="s">
        <v>37</v>
      </c>
    </row>
    <row r="2367" spans="1:14" x14ac:dyDescent="0.35">
      <c r="A2367">
        <v>2466</v>
      </c>
      <c r="B2367" t="s">
        <v>10</v>
      </c>
      <c r="C2367" s="6">
        <v>43717</v>
      </c>
      <c r="D2367">
        <f>YEAR(Table1[[#This Row],[Join Date]])</f>
        <v>2019</v>
      </c>
      <c r="E2367" s="6">
        <v>44677</v>
      </c>
      <c r="F2367">
        <f>IFERROR(YEAR(Table1[[#This Row],[Exit Date]]), " ")</f>
        <v>2022</v>
      </c>
      <c r="G2367">
        <f>IFERROR((Table1[[#This Row],[Exit Year]]-Table1[[#This Row],[Join Year]])+1," ")</f>
        <v>4</v>
      </c>
      <c r="H2367" t="s">
        <v>40</v>
      </c>
      <c r="I2367" t="s">
        <v>23</v>
      </c>
      <c r="J2367" t="s">
        <v>12</v>
      </c>
      <c r="K2367">
        <v>35</v>
      </c>
      <c r="L2367" t="str">
        <f>IF(Table1[[#This Row],[Age]]&lt;30,"20-29",
IF(Table1[[#This Row],[Age]]&lt;40,"30-39",
IF(Table1[[#This Row],[Age]]&lt;50,"40-49",
IF(Table1[[#This Row],[Age]]&lt;60,"50-59","60+"))))</f>
        <v>30-39</v>
      </c>
      <c r="M2367" t="s">
        <v>39</v>
      </c>
      <c r="N2367" t="s">
        <v>25</v>
      </c>
    </row>
    <row r="2368" spans="1:14" x14ac:dyDescent="0.35">
      <c r="A2368">
        <v>2467</v>
      </c>
      <c r="B2368" t="s">
        <v>29</v>
      </c>
      <c r="C2368" s="6">
        <v>43534</v>
      </c>
      <c r="D2368">
        <f>YEAR(Table1[[#This Row],[Join Date]])</f>
        <v>2019</v>
      </c>
      <c r="E2368" s="6">
        <v>44117</v>
      </c>
      <c r="F2368">
        <f>IFERROR(YEAR(Table1[[#This Row],[Exit Date]]), " ")</f>
        <v>2020</v>
      </c>
      <c r="G2368">
        <f>IFERROR((Table1[[#This Row],[Exit Year]]-Table1[[#This Row],[Join Year]])+1," ")</f>
        <v>2</v>
      </c>
      <c r="H2368" t="s">
        <v>46</v>
      </c>
      <c r="I2368" t="s">
        <v>23</v>
      </c>
      <c r="J2368" t="s">
        <v>12</v>
      </c>
      <c r="K2368">
        <v>31</v>
      </c>
      <c r="L2368" t="str">
        <f>IF(Table1[[#This Row],[Age]]&lt;30,"20-29",
IF(Table1[[#This Row],[Age]]&lt;40,"30-39",
IF(Table1[[#This Row],[Age]]&lt;50,"40-49",
IF(Table1[[#This Row],[Age]]&lt;60,"50-59","60+"))))</f>
        <v>30-39</v>
      </c>
      <c r="M2368" t="s">
        <v>13</v>
      </c>
      <c r="N2368" t="s">
        <v>35</v>
      </c>
    </row>
    <row r="2369" spans="1:14" x14ac:dyDescent="0.35">
      <c r="A2369">
        <v>2468</v>
      </c>
      <c r="B2369" t="s">
        <v>36</v>
      </c>
      <c r="C2369" s="6">
        <v>44619</v>
      </c>
      <c r="D2369">
        <f>YEAR(Table1[[#This Row],[Join Date]])</f>
        <v>2022</v>
      </c>
      <c r="E2369" s="6" t="s">
        <v>48</v>
      </c>
      <c r="F2369" t="str">
        <f>IFERROR(YEAR(Table1[[#This Row],[Exit Date]]), " ")</f>
        <v xml:space="preserve"> </v>
      </c>
      <c r="G2369" t="str">
        <f>IFERROR((Table1[[#This Row],[Exit Year]]-Table1[[#This Row],[Join Year]])+1," ")</f>
        <v xml:space="preserve"> </v>
      </c>
      <c r="H2369" t="s">
        <v>48</v>
      </c>
      <c r="I2369" t="s">
        <v>11</v>
      </c>
      <c r="J2369" t="s">
        <v>18</v>
      </c>
      <c r="K2369">
        <v>51</v>
      </c>
      <c r="L2369" t="str">
        <f>IF(Table1[[#This Row],[Age]]&lt;30,"20-29",
IF(Table1[[#This Row],[Age]]&lt;40,"30-39",
IF(Table1[[#This Row],[Age]]&lt;50,"40-49",
IF(Table1[[#This Row],[Age]]&lt;60,"50-59","60+"))))</f>
        <v>50-59</v>
      </c>
      <c r="M2369" t="s">
        <v>16</v>
      </c>
      <c r="N2369" t="s">
        <v>19</v>
      </c>
    </row>
    <row r="2370" spans="1:14" x14ac:dyDescent="0.35">
      <c r="A2370">
        <v>2469</v>
      </c>
      <c r="B2370" t="s">
        <v>10</v>
      </c>
      <c r="C2370" s="6">
        <v>45485</v>
      </c>
      <c r="D2370">
        <f>YEAR(Table1[[#This Row],[Join Date]])</f>
        <v>2024</v>
      </c>
      <c r="E2370" s="6" t="s">
        <v>48</v>
      </c>
      <c r="F2370" t="str">
        <f>IFERROR(YEAR(Table1[[#This Row],[Exit Date]]), " ")</f>
        <v xml:space="preserve"> </v>
      </c>
      <c r="G2370" t="str">
        <f>IFERROR((Table1[[#This Row],[Exit Year]]-Table1[[#This Row],[Join Year]])+1," ")</f>
        <v xml:space="preserve"> </v>
      </c>
      <c r="H2370" t="s">
        <v>48</v>
      </c>
      <c r="I2370" t="s">
        <v>11</v>
      </c>
      <c r="J2370" t="s">
        <v>18</v>
      </c>
      <c r="K2370">
        <v>48</v>
      </c>
      <c r="L2370" t="str">
        <f>IF(Table1[[#This Row],[Age]]&lt;30,"20-29",
IF(Table1[[#This Row],[Age]]&lt;40,"30-39",
IF(Table1[[#This Row],[Age]]&lt;50,"40-49",
IF(Table1[[#This Row],[Age]]&lt;60,"50-59","60+"))))</f>
        <v>40-49</v>
      </c>
      <c r="M2370" t="s">
        <v>16</v>
      </c>
      <c r="N2370" t="s">
        <v>21</v>
      </c>
    </row>
    <row r="2371" spans="1:14" x14ac:dyDescent="0.35">
      <c r="A2371">
        <v>2470</v>
      </c>
      <c r="B2371" t="s">
        <v>29</v>
      </c>
      <c r="C2371" s="6">
        <v>43588</v>
      </c>
      <c r="D2371">
        <f>YEAR(Table1[[#This Row],[Join Date]])</f>
        <v>2019</v>
      </c>
      <c r="E2371" s="6">
        <v>44896</v>
      </c>
      <c r="F2371">
        <f>IFERROR(YEAR(Table1[[#This Row],[Exit Date]]), " ")</f>
        <v>2022</v>
      </c>
      <c r="G2371">
        <f>IFERROR((Table1[[#This Row],[Exit Year]]-Table1[[#This Row],[Join Year]])+1," ")</f>
        <v>4</v>
      </c>
      <c r="H2371" t="s">
        <v>41</v>
      </c>
      <c r="I2371" t="s">
        <v>23</v>
      </c>
      <c r="J2371" t="s">
        <v>12</v>
      </c>
      <c r="K2371">
        <v>41</v>
      </c>
      <c r="L2371" t="str">
        <f>IF(Table1[[#This Row],[Age]]&lt;30,"20-29",
IF(Table1[[#This Row],[Age]]&lt;40,"30-39",
IF(Table1[[#This Row],[Age]]&lt;50,"40-49",
IF(Table1[[#This Row],[Age]]&lt;60,"50-59","60+"))))</f>
        <v>40-49</v>
      </c>
      <c r="M2371" t="s">
        <v>20</v>
      </c>
      <c r="N2371" t="s">
        <v>25</v>
      </c>
    </row>
    <row r="2372" spans="1:14" x14ac:dyDescent="0.35">
      <c r="A2372">
        <v>2471</v>
      </c>
      <c r="B2372" t="s">
        <v>36</v>
      </c>
      <c r="C2372" s="6">
        <v>44250</v>
      </c>
      <c r="D2372">
        <f>YEAR(Table1[[#This Row],[Join Date]])</f>
        <v>2021</v>
      </c>
      <c r="E2372" s="6">
        <v>45392</v>
      </c>
      <c r="F2372">
        <f>IFERROR(YEAR(Table1[[#This Row],[Exit Date]]), " ")</f>
        <v>2024</v>
      </c>
      <c r="G2372">
        <f>IFERROR((Table1[[#This Row],[Exit Year]]-Table1[[#This Row],[Join Year]])+1," ")</f>
        <v>4</v>
      </c>
      <c r="H2372" t="s">
        <v>46</v>
      </c>
      <c r="I2372" t="s">
        <v>23</v>
      </c>
      <c r="J2372" t="s">
        <v>18</v>
      </c>
      <c r="K2372">
        <v>35</v>
      </c>
      <c r="L2372" t="str">
        <f>IF(Table1[[#This Row],[Age]]&lt;30,"20-29",
IF(Table1[[#This Row],[Age]]&lt;40,"30-39",
IF(Table1[[#This Row],[Age]]&lt;50,"40-49",
IF(Table1[[#This Row],[Age]]&lt;60,"50-59","60+"))))</f>
        <v>30-39</v>
      </c>
      <c r="M2372" t="s">
        <v>24</v>
      </c>
      <c r="N2372" t="s">
        <v>28</v>
      </c>
    </row>
    <row r="2373" spans="1:14" x14ac:dyDescent="0.35">
      <c r="A2373">
        <v>2472</v>
      </c>
      <c r="B2373" t="s">
        <v>26</v>
      </c>
      <c r="C2373" s="6">
        <v>45244</v>
      </c>
      <c r="D2373">
        <f>YEAR(Table1[[#This Row],[Join Date]])</f>
        <v>2023</v>
      </c>
      <c r="E2373" s="6">
        <v>45446</v>
      </c>
      <c r="F2373">
        <f>IFERROR(YEAR(Table1[[#This Row],[Exit Date]]), " ")</f>
        <v>2024</v>
      </c>
      <c r="G2373">
        <f>IFERROR((Table1[[#This Row],[Exit Year]]-Table1[[#This Row],[Join Year]])+1," ")</f>
        <v>2</v>
      </c>
      <c r="H2373" t="s">
        <v>40</v>
      </c>
      <c r="I2373" t="s">
        <v>23</v>
      </c>
      <c r="J2373" t="s">
        <v>18</v>
      </c>
      <c r="K2373">
        <v>24</v>
      </c>
      <c r="L2373" t="str">
        <f>IF(Table1[[#This Row],[Age]]&lt;30,"20-29",
IF(Table1[[#This Row],[Age]]&lt;40,"30-39",
IF(Table1[[#This Row],[Age]]&lt;50,"40-49",
IF(Table1[[#This Row],[Age]]&lt;60,"50-59","60+"))))</f>
        <v>20-29</v>
      </c>
      <c r="M2373" t="s">
        <v>13</v>
      </c>
      <c r="N2373" t="s">
        <v>31</v>
      </c>
    </row>
    <row r="2374" spans="1:14" x14ac:dyDescent="0.35">
      <c r="A2374">
        <v>2473</v>
      </c>
      <c r="B2374" t="s">
        <v>15</v>
      </c>
      <c r="C2374" s="6">
        <v>45256</v>
      </c>
      <c r="D2374">
        <f>YEAR(Table1[[#This Row],[Join Date]])</f>
        <v>2023</v>
      </c>
      <c r="E2374" s="6" t="s">
        <v>48</v>
      </c>
      <c r="F2374" t="str">
        <f>IFERROR(YEAR(Table1[[#This Row],[Exit Date]]), " ")</f>
        <v xml:space="preserve"> </v>
      </c>
      <c r="G2374" t="str">
        <f>IFERROR((Table1[[#This Row],[Exit Year]]-Table1[[#This Row],[Join Year]])+1," ")</f>
        <v xml:space="preserve"> </v>
      </c>
      <c r="H2374" t="s">
        <v>48</v>
      </c>
      <c r="I2374" t="s">
        <v>11</v>
      </c>
      <c r="J2374" t="s">
        <v>12</v>
      </c>
      <c r="K2374">
        <v>41</v>
      </c>
      <c r="L2374" t="str">
        <f>IF(Table1[[#This Row],[Age]]&lt;30,"20-29",
IF(Table1[[#This Row],[Age]]&lt;40,"30-39",
IF(Table1[[#This Row],[Age]]&lt;50,"40-49",
IF(Table1[[#This Row],[Age]]&lt;60,"50-59","60+"))))</f>
        <v>40-49</v>
      </c>
      <c r="M2374" t="s">
        <v>30</v>
      </c>
      <c r="N2374" t="s">
        <v>32</v>
      </c>
    </row>
    <row r="2375" spans="1:14" x14ac:dyDescent="0.35">
      <c r="A2375">
        <v>2474</v>
      </c>
      <c r="B2375" t="s">
        <v>26</v>
      </c>
      <c r="C2375" s="6">
        <v>45465</v>
      </c>
      <c r="D2375">
        <f>YEAR(Table1[[#This Row],[Join Date]])</f>
        <v>2024</v>
      </c>
      <c r="E2375" s="6" t="s">
        <v>48</v>
      </c>
      <c r="F2375" t="str">
        <f>IFERROR(YEAR(Table1[[#This Row],[Exit Date]]), " ")</f>
        <v xml:space="preserve"> </v>
      </c>
      <c r="G2375" t="str">
        <f>IFERROR((Table1[[#This Row],[Exit Year]]-Table1[[#This Row],[Join Year]])+1," ")</f>
        <v xml:space="preserve"> </v>
      </c>
      <c r="H2375" t="s">
        <v>48</v>
      </c>
      <c r="I2375" t="s">
        <v>11</v>
      </c>
      <c r="J2375" t="s">
        <v>12</v>
      </c>
      <c r="K2375">
        <v>40</v>
      </c>
      <c r="L2375" t="str">
        <f>IF(Table1[[#This Row],[Age]]&lt;30,"20-29",
IF(Table1[[#This Row],[Age]]&lt;40,"30-39",
IF(Table1[[#This Row],[Age]]&lt;50,"40-49",
IF(Table1[[#This Row],[Age]]&lt;60,"50-59","60+"))))</f>
        <v>40-49</v>
      </c>
      <c r="M2375" t="s">
        <v>13</v>
      </c>
      <c r="N2375" t="s">
        <v>33</v>
      </c>
    </row>
    <row r="2376" spans="1:14" x14ac:dyDescent="0.35">
      <c r="A2376">
        <v>2475</v>
      </c>
      <c r="B2376" t="s">
        <v>10</v>
      </c>
      <c r="C2376" s="6">
        <v>43597</v>
      </c>
      <c r="D2376">
        <f>YEAR(Table1[[#This Row],[Join Date]])</f>
        <v>2019</v>
      </c>
      <c r="E2376" s="6" t="s">
        <v>48</v>
      </c>
      <c r="F2376" t="str">
        <f>IFERROR(YEAR(Table1[[#This Row],[Exit Date]]), " ")</f>
        <v xml:space="preserve"> </v>
      </c>
      <c r="G2376" t="str">
        <f>IFERROR((Table1[[#This Row],[Exit Year]]-Table1[[#This Row],[Join Year]])+1," ")</f>
        <v xml:space="preserve"> </v>
      </c>
      <c r="H2376" t="s">
        <v>48</v>
      </c>
      <c r="I2376" t="s">
        <v>11</v>
      </c>
      <c r="J2376" t="s">
        <v>12</v>
      </c>
      <c r="K2376">
        <v>48</v>
      </c>
      <c r="L2376" t="str">
        <f>IF(Table1[[#This Row],[Age]]&lt;30,"20-29",
IF(Table1[[#This Row],[Age]]&lt;40,"30-39",
IF(Table1[[#This Row],[Age]]&lt;50,"40-49",
IF(Table1[[#This Row],[Age]]&lt;60,"50-59","60+"))))</f>
        <v>40-49</v>
      </c>
      <c r="M2376" t="s">
        <v>13</v>
      </c>
      <c r="N2376" t="s">
        <v>35</v>
      </c>
    </row>
    <row r="2377" spans="1:14" x14ac:dyDescent="0.35">
      <c r="A2377">
        <v>2476</v>
      </c>
      <c r="B2377" t="s">
        <v>15</v>
      </c>
      <c r="C2377" s="6">
        <v>44866</v>
      </c>
      <c r="D2377">
        <f>YEAR(Table1[[#This Row],[Join Date]])</f>
        <v>2022</v>
      </c>
      <c r="E2377" s="6" t="s">
        <v>48</v>
      </c>
      <c r="F2377" t="str">
        <f>IFERROR(YEAR(Table1[[#This Row],[Exit Date]]), " ")</f>
        <v xml:space="preserve"> </v>
      </c>
      <c r="G2377" t="str">
        <f>IFERROR((Table1[[#This Row],[Exit Year]]-Table1[[#This Row],[Join Year]])+1," ")</f>
        <v xml:space="preserve"> </v>
      </c>
      <c r="H2377" t="s">
        <v>48</v>
      </c>
      <c r="I2377" t="s">
        <v>11</v>
      </c>
      <c r="J2377" t="s">
        <v>12</v>
      </c>
      <c r="K2377">
        <v>52</v>
      </c>
      <c r="L2377" t="str">
        <f>IF(Table1[[#This Row],[Age]]&lt;30,"20-29",
IF(Table1[[#This Row],[Age]]&lt;40,"30-39",
IF(Table1[[#This Row],[Age]]&lt;50,"40-49",
IF(Table1[[#This Row],[Age]]&lt;60,"50-59","60+"))))</f>
        <v>50-59</v>
      </c>
      <c r="M2377" t="s">
        <v>16</v>
      </c>
      <c r="N2377" t="s">
        <v>37</v>
      </c>
    </row>
    <row r="2378" spans="1:14" x14ac:dyDescent="0.35">
      <c r="A2378">
        <v>2477</v>
      </c>
      <c r="B2378" t="s">
        <v>34</v>
      </c>
      <c r="C2378" s="6">
        <v>44006</v>
      </c>
      <c r="D2378">
        <f>YEAR(Table1[[#This Row],[Join Date]])</f>
        <v>2020</v>
      </c>
      <c r="E2378" s="6">
        <v>44463</v>
      </c>
      <c r="F2378">
        <f>IFERROR(YEAR(Table1[[#This Row],[Exit Date]]), " ")</f>
        <v>2021</v>
      </c>
      <c r="G2378">
        <f>IFERROR((Table1[[#This Row],[Exit Year]]-Table1[[#This Row],[Join Year]])+1," ")</f>
        <v>2</v>
      </c>
      <c r="H2378" t="s">
        <v>46</v>
      </c>
      <c r="I2378" t="s">
        <v>23</v>
      </c>
      <c r="J2378" t="s">
        <v>18</v>
      </c>
      <c r="K2378">
        <v>33</v>
      </c>
      <c r="L2378" t="str">
        <f>IF(Table1[[#This Row],[Age]]&lt;30,"20-29",
IF(Table1[[#This Row],[Age]]&lt;40,"30-39",
IF(Table1[[#This Row],[Age]]&lt;50,"40-49",
IF(Table1[[#This Row],[Age]]&lt;60,"50-59","60+"))))</f>
        <v>30-39</v>
      </c>
      <c r="M2378" t="s">
        <v>13</v>
      </c>
      <c r="N2378" t="s">
        <v>19</v>
      </c>
    </row>
    <row r="2379" spans="1:14" x14ac:dyDescent="0.35">
      <c r="A2379">
        <v>2478</v>
      </c>
      <c r="B2379" t="s">
        <v>26</v>
      </c>
      <c r="C2379" s="6">
        <v>45095</v>
      </c>
      <c r="D2379">
        <f>YEAR(Table1[[#This Row],[Join Date]])</f>
        <v>2023</v>
      </c>
      <c r="E2379" s="6" t="s">
        <v>48</v>
      </c>
      <c r="F2379" t="str">
        <f>IFERROR(YEAR(Table1[[#This Row],[Exit Date]]), " ")</f>
        <v xml:space="preserve"> </v>
      </c>
      <c r="G2379" t="str">
        <f>IFERROR((Table1[[#This Row],[Exit Year]]-Table1[[#This Row],[Join Year]])+1," ")</f>
        <v xml:space="preserve"> </v>
      </c>
      <c r="H2379" t="s">
        <v>48</v>
      </c>
      <c r="I2379" t="s">
        <v>11</v>
      </c>
      <c r="J2379" t="s">
        <v>18</v>
      </c>
      <c r="K2379">
        <v>51</v>
      </c>
      <c r="L2379" t="str">
        <f>IF(Table1[[#This Row],[Age]]&lt;30,"20-29",
IF(Table1[[#This Row],[Age]]&lt;40,"30-39",
IF(Table1[[#This Row],[Age]]&lt;50,"40-49",
IF(Table1[[#This Row],[Age]]&lt;60,"50-59","60+"))))</f>
        <v>50-59</v>
      </c>
      <c r="M2379" t="s">
        <v>20</v>
      </c>
      <c r="N2379" t="s">
        <v>25</v>
      </c>
    </row>
    <row r="2380" spans="1:14" x14ac:dyDescent="0.35">
      <c r="A2380">
        <v>2479</v>
      </c>
      <c r="B2380" t="s">
        <v>10</v>
      </c>
      <c r="C2380" s="6">
        <v>44360</v>
      </c>
      <c r="D2380">
        <f>YEAR(Table1[[#This Row],[Join Date]])</f>
        <v>2021</v>
      </c>
      <c r="E2380" s="6">
        <v>44755</v>
      </c>
      <c r="F2380">
        <f>IFERROR(YEAR(Table1[[#This Row],[Exit Date]]), " ")</f>
        <v>2022</v>
      </c>
      <c r="G2380">
        <f>IFERROR((Table1[[#This Row],[Exit Year]]-Table1[[#This Row],[Join Year]])+1," ")</f>
        <v>2</v>
      </c>
      <c r="H2380" t="s">
        <v>38</v>
      </c>
      <c r="I2380" t="s">
        <v>23</v>
      </c>
      <c r="J2380" t="s">
        <v>18</v>
      </c>
      <c r="K2380">
        <v>46</v>
      </c>
      <c r="L2380" t="str">
        <f>IF(Table1[[#This Row],[Age]]&lt;30,"20-29",
IF(Table1[[#This Row],[Age]]&lt;40,"30-39",
IF(Table1[[#This Row],[Age]]&lt;50,"40-49",
IF(Table1[[#This Row],[Age]]&lt;60,"50-59","60+"))))</f>
        <v>40-49</v>
      </c>
      <c r="M2380" t="s">
        <v>39</v>
      </c>
      <c r="N2380" t="s">
        <v>35</v>
      </c>
    </row>
    <row r="2381" spans="1:14" x14ac:dyDescent="0.35">
      <c r="A2381">
        <v>2480</v>
      </c>
      <c r="B2381" t="s">
        <v>26</v>
      </c>
      <c r="C2381" s="6">
        <v>43419</v>
      </c>
      <c r="D2381">
        <f>YEAR(Table1[[#This Row],[Join Date]])</f>
        <v>2018</v>
      </c>
      <c r="E2381" s="6">
        <v>44303</v>
      </c>
      <c r="F2381">
        <f>IFERROR(YEAR(Table1[[#This Row],[Exit Date]]), " ")</f>
        <v>2021</v>
      </c>
      <c r="G2381">
        <f>IFERROR((Table1[[#This Row],[Exit Year]]-Table1[[#This Row],[Join Year]])+1," ")</f>
        <v>4</v>
      </c>
      <c r="H2381" t="s">
        <v>22</v>
      </c>
      <c r="I2381" t="s">
        <v>23</v>
      </c>
      <c r="J2381" t="s">
        <v>12</v>
      </c>
      <c r="K2381">
        <v>53</v>
      </c>
      <c r="L2381" t="str">
        <f>IF(Table1[[#This Row],[Age]]&lt;30,"20-29",
IF(Table1[[#This Row],[Age]]&lt;40,"30-39",
IF(Table1[[#This Row],[Age]]&lt;50,"40-49",
IF(Table1[[#This Row],[Age]]&lt;60,"50-59","60+"))))</f>
        <v>50-59</v>
      </c>
      <c r="M2381" t="s">
        <v>13</v>
      </c>
      <c r="N2381" t="s">
        <v>17</v>
      </c>
    </row>
    <row r="2382" spans="1:14" x14ac:dyDescent="0.35">
      <c r="A2382">
        <v>2481</v>
      </c>
      <c r="B2382" t="s">
        <v>36</v>
      </c>
      <c r="C2382" s="6">
        <v>44249</v>
      </c>
      <c r="D2382">
        <f>YEAR(Table1[[#This Row],[Join Date]])</f>
        <v>2021</v>
      </c>
      <c r="E2382" s="6" t="s">
        <v>48</v>
      </c>
      <c r="F2382" t="str">
        <f>IFERROR(YEAR(Table1[[#This Row],[Exit Date]]), " ")</f>
        <v xml:space="preserve"> </v>
      </c>
      <c r="G2382" t="str">
        <f>IFERROR((Table1[[#This Row],[Exit Year]]-Table1[[#This Row],[Join Year]])+1," ")</f>
        <v xml:space="preserve"> </v>
      </c>
      <c r="H2382" t="s">
        <v>48</v>
      </c>
      <c r="I2382" t="s">
        <v>11</v>
      </c>
      <c r="J2382" t="s">
        <v>18</v>
      </c>
      <c r="K2382">
        <v>35</v>
      </c>
      <c r="L2382" t="str">
        <f>IF(Table1[[#This Row],[Age]]&lt;30,"20-29",
IF(Table1[[#This Row],[Age]]&lt;40,"30-39",
IF(Table1[[#This Row],[Age]]&lt;50,"40-49",
IF(Table1[[#This Row],[Age]]&lt;60,"50-59","60+"))))</f>
        <v>30-39</v>
      </c>
      <c r="M2382" t="s">
        <v>16</v>
      </c>
      <c r="N2382" t="s">
        <v>19</v>
      </c>
    </row>
    <row r="2383" spans="1:14" x14ac:dyDescent="0.35">
      <c r="A2383">
        <v>2482</v>
      </c>
      <c r="B2383" t="s">
        <v>10</v>
      </c>
      <c r="C2383" s="6">
        <v>45533</v>
      </c>
      <c r="D2383">
        <f>YEAR(Table1[[#This Row],[Join Date]])</f>
        <v>2024</v>
      </c>
      <c r="E2383" s="6" t="s">
        <v>48</v>
      </c>
      <c r="F2383" t="str">
        <f>IFERROR(YEAR(Table1[[#This Row],[Exit Date]]), " ")</f>
        <v xml:space="preserve"> </v>
      </c>
      <c r="G2383" t="str">
        <f>IFERROR((Table1[[#This Row],[Exit Year]]-Table1[[#This Row],[Join Year]])+1," ")</f>
        <v xml:space="preserve"> </v>
      </c>
      <c r="H2383" t="s">
        <v>48</v>
      </c>
      <c r="I2383" t="s">
        <v>11</v>
      </c>
      <c r="J2383" t="s">
        <v>18</v>
      </c>
      <c r="K2383">
        <v>32</v>
      </c>
      <c r="L2383" t="str">
        <f>IF(Table1[[#This Row],[Age]]&lt;30,"20-29",
IF(Table1[[#This Row],[Age]]&lt;40,"30-39",
IF(Table1[[#This Row],[Age]]&lt;50,"40-49",
IF(Table1[[#This Row],[Age]]&lt;60,"50-59","60+"))))</f>
        <v>30-39</v>
      </c>
      <c r="M2383" t="s">
        <v>16</v>
      </c>
      <c r="N2383" t="s">
        <v>21</v>
      </c>
    </row>
    <row r="2384" spans="1:14" x14ac:dyDescent="0.35">
      <c r="A2384">
        <v>2483</v>
      </c>
      <c r="B2384" t="s">
        <v>36</v>
      </c>
      <c r="C2384" s="6">
        <v>44377</v>
      </c>
      <c r="D2384">
        <f>YEAR(Table1[[#This Row],[Join Date]])</f>
        <v>2021</v>
      </c>
      <c r="E2384" s="6" t="s">
        <v>48</v>
      </c>
      <c r="F2384" t="str">
        <f>IFERROR(YEAR(Table1[[#This Row],[Exit Date]]), " ")</f>
        <v xml:space="preserve"> </v>
      </c>
      <c r="G2384" t="str">
        <f>IFERROR((Table1[[#This Row],[Exit Year]]-Table1[[#This Row],[Join Year]])+1," ")</f>
        <v xml:space="preserve"> </v>
      </c>
      <c r="H2384" t="s">
        <v>48</v>
      </c>
      <c r="I2384" t="s">
        <v>11</v>
      </c>
      <c r="J2384" t="s">
        <v>12</v>
      </c>
      <c r="K2384">
        <v>46</v>
      </c>
      <c r="L2384" t="str">
        <f>IF(Table1[[#This Row],[Age]]&lt;30,"20-29",
IF(Table1[[#This Row],[Age]]&lt;40,"30-39",
IF(Table1[[#This Row],[Age]]&lt;50,"40-49",
IF(Table1[[#This Row],[Age]]&lt;60,"50-59","60+"))))</f>
        <v>40-49</v>
      </c>
      <c r="M2384" t="s">
        <v>20</v>
      </c>
      <c r="N2384" t="s">
        <v>25</v>
      </c>
    </row>
    <row r="2385" spans="1:14" x14ac:dyDescent="0.35">
      <c r="A2385">
        <v>2484</v>
      </c>
      <c r="B2385" t="s">
        <v>10</v>
      </c>
      <c r="C2385" s="6">
        <v>44088</v>
      </c>
      <c r="D2385">
        <f>YEAR(Table1[[#This Row],[Join Date]])</f>
        <v>2020</v>
      </c>
      <c r="E2385" s="6" t="s">
        <v>48</v>
      </c>
      <c r="F2385" t="str">
        <f>IFERROR(YEAR(Table1[[#This Row],[Exit Date]]), " ")</f>
        <v xml:space="preserve"> </v>
      </c>
      <c r="G2385" t="str">
        <f>IFERROR((Table1[[#This Row],[Exit Year]]-Table1[[#This Row],[Join Year]])+1," ")</f>
        <v xml:space="preserve"> </v>
      </c>
      <c r="H2385" t="s">
        <v>48</v>
      </c>
      <c r="I2385" t="s">
        <v>11</v>
      </c>
      <c r="J2385" t="s">
        <v>18</v>
      </c>
      <c r="K2385">
        <v>50</v>
      </c>
      <c r="L2385" t="str">
        <f>IF(Table1[[#This Row],[Age]]&lt;30,"20-29",
IF(Table1[[#This Row],[Age]]&lt;40,"30-39",
IF(Table1[[#This Row],[Age]]&lt;50,"40-49",
IF(Table1[[#This Row],[Age]]&lt;60,"50-59","60+"))))</f>
        <v>50-59</v>
      </c>
      <c r="M2385" t="s">
        <v>24</v>
      </c>
      <c r="N2385" t="s">
        <v>35</v>
      </c>
    </row>
    <row r="2386" spans="1:14" x14ac:dyDescent="0.35">
      <c r="A2386">
        <v>2485</v>
      </c>
      <c r="B2386" t="s">
        <v>26</v>
      </c>
      <c r="C2386" s="6">
        <v>43373</v>
      </c>
      <c r="D2386">
        <f>YEAR(Table1[[#This Row],[Join Date]])</f>
        <v>2018</v>
      </c>
      <c r="E2386" s="6">
        <v>44825</v>
      </c>
      <c r="F2386">
        <f>IFERROR(YEAR(Table1[[#This Row],[Exit Date]]), " ")</f>
        <v>2022</v>
      </c>
      <c r="G2386">
        <f>IFERROR((Table1[[#This Row],[Exit Year]]-Table1[[#This Row],[Join Year]])+1," ")</f>
        <v>5</v>
      </c>
      <c r="H2386" t="s">
        <v>27</v>
      </c>
      <c r="I2386" t="s">
        <v>23</v>
      </c>
      <c r="J2386" t="s">
        <v>18</v>
      </c>
      <c r="K2386">
        <v>63</v>
      </c>
      <c r="L2386" t="str">
        <f>IF(Table1[[#This Row],[Age]]&lt;30,"20-29",
IF(Table1[[#This Row],[Age]]&lt;40,"30-39",
IF(Table1[[#This Row],[Age]]&lt;50,"40-49",
IF(Table1[[#This Row],[Age]]&lt;60,"50-59","60+"))))</f>
        <v>60+</v>
      </c>
      <c r="M2386" t="s">
        <v>13</v>
      </c>
      <c r="N2386" t="s">
        <v>14</v>
      </c>
    </row>
    <row r="2387" spans="1:14" x14ac:dyDescent="0.35">
      <c r="A2387">
        <v>2486</v>
      </c>
      <c r="B2387" t="s">
        <v>26</v>
      </c>
      <c r="C2387" s="6">
        <v>43314</v>
      </c>
      <c r="D2387">
        <f>YEAR(Table1[[#This Row],[Join Date]])</f>
        <v>2018</v>
      </c>
      <c r="E2387" s="6" t="s">
        <v>48</v>
      </c>
      <c r="F2387" t="str">
        <f>IFERROR(YEAR(Table1[[#This Row],[Exit Date]]), " ")</f>
        <v xml:space="preserve"> </v>
      </c>
      <c r="G2387" t="str">
        <f>IFERROR((Table1[[#This Row],[Exit Year]]-Table1[[#This Row],[Join Year]])+1," ")</f>
        <v xml:space="preserve"> </v>
      </c>
      <c r="H2387" t="s">
        <v>48</v>
      </c>
      <c r="I2387" t="s">
        <v>11</v>
      </c>
      <c r="J2387" t="s">
        <v>18</v>
      </c>
      <c r="K2387">
        <v>29</v>
      </c>
      <c r="L2387" t="str">
        <f>IF(Table1[[#This Row],[Age]]&lt;30,"20-29",
IF(Table1[[#This Row],[Age]]&lt;40,"30-39",
IF(Table1[[#This Row],[Age]]&lt;50,"40-49",
IF(Table1[[#This Row],[Age]]&lt;60,"50-59","60+"))))</f>
        <v>20-29</v>
      </c>
      <c r="M2387" t="s">
        <v>30</v>
      </c>
      <c r="N2387" t="s">
        <v>19</v>
      </c>
    </row>
    <row r="2388" spans="1:14" x14ac:dyDescent="0.35">
      <c r="A2388">
        <v>2487</v>
      </c>
      <c r="B2388" t="s">
        <v>26</v>
      </c>
      <c r="C2388" s="6">
        <v>44418</v>
      </c>
      <c r="D2388">
        <f>YEAR(Table1[[#This Row],[Join Date]])</f>
        <v>2021</v>
      </c>
      <c r="E2388" s="6">
        <v>45628</v>
      </c>
      <c r="F2388">
        <f>IFERROR(YEAR(Table1[[#This Row],[Exit Date]]), " ")</f>
        <v>2024</v>
      </c>
      <c r="G2388">
        <f>IFERROR((Table1[[#This Row],[Exit Year]]-Table1[[#This Row],[Join Year]])+1," ")</f>
        <v>4</v>
      </c>
      <c r="H2388" t="s">
        <v>22</v>
      </c>
      <c r="I2388" t="s">
        <v>23</v>
      </c>
      <c r="J2388" t="s">
        <v>12</v>
      </c>
      <c r="K2388">
        <v>27</v>
      </c>
      <c r="L2388" t="str">
        <f>IF(Table1[[#This Row],[Age]]&lt;30,"20-29",
IF(Table1[[#This Row],[Age]]&lt;40,"30-39",
IF(Table1[[#This Row],[Age]]&lt;50,"40-49",
IF(Table1[[#This Row],[Age]]&lt;60,"50-59","60+"))))</f>
        <v>20-29</v>
      </c>
      <c r="M2388" t="s">
        <v>13</v>
      </c>
      <c r="N2388" t="s">
        <v>21</v>
      </c>
    </row>
    <row r="2389" spans="1:14" x14ac:dyDescent="0.35">
      <c r="A2389">
        <v>2488</v>
      </c>
      <c r="B2389" t="s">
        <v>34</v>
      </c>
      <c r="C2389" s="6">
        <v>44324</v>
      </c>
      <c r="D2389">
        <f>YEAR(Table1[[#This Row],[Join Date]])</f>
        <v>2021</v>
      </c>
      <c r="E2389" s="6">
        <v>45076</v>
      </c>
      <c r="F2389">
        <f>IFERROR(YEAR(Table1[[#This Row],[Exit Date]]), " ")</f>
        <v>2023</v>
      </c>
      <c r="G2389">
        <f>IFERROR((Table1[[#This Row],[Exit Year]]-Table1[[#This Row],[Join Year]])+1," ")</f>
        <v>3</v>
      </c>
      <c r="H2389" t="s">
        <v>40</v>
      </c>
      <c r="I2389" t="s">
        <v>23</v>
      </c>
      <c r="J2389" t="s">
        <v>12</v>
      </c>
      <c r="K2389">
        <v>31</v>
      </c>
      <c r="L2389" t="str">
        <f>IF(Table1[[#This Row],[Age]]&lt;30,"20-29",
IF(Table1[[#This Row],[Age]]&lt;40,"30-39",
IF(Table1[[#This Row],[Age]]&lt;50,"40-49",
IF(Table1[[#This Row],[Age]]&lt;60,"50-59","60+"))))</f>
        <v>30-39</v>
      </c>
      <c r="M2389" t="s">
        <v>13</v>
      </c>
      <c r="N2389" t="s">
        <v>37</v>
      </c>
    </row>
    <row r="2390" spans="1:14" x14ac:dyDescent="0.35">
      <c r="A2390">
        <v>2489</v>
      </c>
      <c r="B2390" t="s">
        <v>10</v>
      </c>
      <c r="C2390" s="6">
        <v>43513</v>
      </c>
      <c r="D2390">
        <f>YEAR(Table1[[#This Row],[Join Date]])</f>
        <v>2019</v>
      </c>
      <c r="E2390" s="6">
        <v>44923</v>
      </c>
      <c r="F2390">
        <f>IFERROR(YEAR(Table1[[#This Row],[Exit Date]]), " ")</f>
        <v>2022</v>
      </c>
      <c r="G2390">
        <f>IFERROR((Table1[[#This Row],[Exit Year]]-Table1[[#This Row],[Join Year]])+1," ")</f>
        <v>4</v>
      </c>
      <c r="H2390" t="s">
        <v>38</v>
      </c>
      <c r="I2390" t="s">
        <v>23</v>
      </c>
      <c r="J2390" t="s">
        <v>18</v>
      </c>
      <c r="K2390">
        <v>24</v>
      </c>
      <c r="L2390" t="str">
        <f>IF(Table1[[#This Row],[Age]]&lt;30,"20-29",
IF(Table1[[#This Row],[Age]]&lt;40,"30-39",
IF(Table1[[#This Row],[Age]]&lt;50,"40-49",
IF(Table1[[#This Row],[Age]]&lt;60,"50-59","60+"))))</f>
        <v>20-29</v>
      </c>
      <c r="M2390" t="s">
        <v>16</v>
      </c>
      <c r="N2390" t="s">
        <v>25</v>
      </c>
    </row>
    <row r="2391" spans="1:14" x14ac:dyDescent="0.35">
      <c r="A2391">
        <v>2490</v>
      </c>
      <c r="B2391" t="s">
        <v>36</v>
      </c>
      <c r="C2391" s="6">
        <v>44180</v>
      </c>
      <c r="D2391">
        <f>YEAR(Table1[[#This Row],[Join Date]])</f>
        <v>2020</v>
      </c>
      <c r="E2391" s="6" t="s">
        <v>48</v>
      </c>
      <c r="F2391" t="str">
        <f>IFERROR(YEAR(Table1[[#This Row],[Exit Date]]), " ")</f>
        <v xml:space="preserve"> </v>
      </c>
      <c r="G2391" t="str">
        <f>IFERROR((Table1[[#This Row],[Exit Year]]-Table1[[#This Row],[Join Year]])+1," ")</f>
        <v xml:space="preserve"> </v>
      </c>
      <c r="H2391" t="s">
        <v>48</v>
      </c>
      <c r="I2391" t="s">
        <v>11</v>
      </c>
      <c r="J2391" t="s">
        <v>18</v>
      </c>
      <c r="K2391">
        <v>37</v>
      </c>
      <c r="L2391" t="str">
        <f>IF(Table1[[#This Row],[Age]]&lt;30,"20-29",
IF(Table1[[#This Row],[Age]]&lt;40,"30-39",
IF(Table1[[#This Row],[Age]]&lt;50,"40-49",
IF(Table1[[#This Row],[Age]]&lt;60,"50-59","60+"))))</f>
        <v>30-39</v>
      </c>
      <c r="M2391" t="s">
        <v>13</v>
      </c>
      <c r="N2391" t="s">
        <v>35</v>
      </c>
    </row>
    <row r="2392" spans="1:14" x14ac:dyDescent="0.35">
      <c r="A2392">
        <v>2491</v>
      </c>
      <c r="B2392" t="s">
        <v>34</v>
      </c>
      <c r="C2392" s="6">
        <v>44099</v>
      </c>
      <c r="D2392">
        <f>YEAR(Table1[[#This Row],[Join Date]])</f>
        <v>2020</v>
      </c>
      <c r="E2392" s="6" t="s">
        <v>48</v>
      </c>
      <c r="F2392" t="str">
        <f>IFERROR(YEAR(Table1[[#This Row],[Exit Date]]), " ")</f>
        <v xml:space="preserve"> </v>
      </c>
      <c r="G2392" t="str">
        <f>IFERROR((Table1[[#This Row],[Exit Year]]-Table1[[#This Row],[Join Year]])+1," ")</f>
        <v xml:space="preserve"> </v>
      </c>
      <c r="H2392" t="s">
        <v>48</v>
      </c>
      <c r="I2392" t="s">
        <v>11</v>
      </c>
      <c r="J2392" t="s">
        <v>12</v>
      </c>
      <c r="K2392">
        <v>23</v>
      </c>
      <c r="L2392" t="str">
        <f>IF(Table1[[#This Row],[Age]]&lt;30,"20-29",
IF(Table1[[#This Row],[Age]]&lt;40,"30-39",
IF(Table1[[#This Row],[Age]]&lt;50,"40-49",
IF(Table1[[#This Row],[Age]]&lt;60,"50-59","60+"))))</f>
        <v>20-29</v>
      </c>
      <c r="M2392" t="s">
        <v>20</v>
      </c>
      <c r="N2392" t="s">
        <v>14</v>
      </c>
    </row>
    <row r="2393" spans="1:14" x14ac:dyDescent="0.35">
      <c r="A2393">
        <v>2492</v>
      </c>
      <c r="B2393" t="s">
        <v>34</v>
      </c>
      <c r="C2393" s="6">
        <v>45632</v>
      </c>
      <c r="D2393">
        <f>YEAR(Table1[[#This Row],[Join Date]])</f>
        <v>2024</v>
      </c>
      <c r="E2393" s="6" t="s">
        <v>48</v>
      </c>
      <c r="F2393" t="str">
        <f>IFERROR(YEAR(Table1[[#This Row],[Exit Date]]), " ")</f>
        <v xml:space="preserve"> </v>
      </c>
      <c r="G2393" t="str">
        <f>IFERROR((Table1[[#This Row],[Exit Year]]-Table1[[#This Row],[Join Year]])+1," ")</f>
        <v xml:space="preserve"> </v>
      </c>
      <c r="H2393" t="s">
        <v>48</v>
      </c>
      <c r="I2393" t="s">
        <v>11</v>
      </c>
      <c r="J2393" t="s">
        <v>18</v>
      </c>
      <c r="K2393">
        <v>31</v>
      </c>
      <c r="L2393" t="str">
        <f>IF(Table1[[#This Row],[Age]]&lt;30,"20-29",
IF(Table1[[#This Row],[Age]]&lt;40,"30-39",
IF(Table1[[#This Row],[Age]]&lt;50,"40-49",
IF(Table1[[#This Row],[Age]]&lt;60,"50-59","60+"))))</f>
        <v>30-39</v>
      </c>
      <c r="M2393" t="s">
        <v>44</v>
      </c>
      <c r="N2393" t="s">
        <v>17</v>
      </c>
    </row>
    <row r="2394" spans="1:14" x14ac:dyDescent="0.35">
      <c r="A2394">
        <v>2493</v>
      </c>
      <c r="B2394" t="s">
        <v>36</v>
      </c>
      <c r="C2394" s="6">
        <v>45294</v>
      </c>
      <c r="D2394">
        <f>YEAR(Table1[[#This Row],[Join Date]])</f>
        <v>2024</v>
      </c>
      <c r="E2394" s="6" t="s">
        <v>48</v>
      </c>
      <c r="F2394" t="str">
        <f>IFERROR(YEAR(Table1[[#This Row],[Exit Date]]), " ")</f>
        <v xml:space="preserve"> </v>
      </c>
      <c r="G2394" t="str">
        <f>IFERROR((Table1[[#This Row],[Exit Year]]-Table1[[#This Row],[Join Year]])+1," ")</f>
        <v xml:space="preserve"> </v>
      </c>
      <c r="H2394" t="s">
        <v>48</v>
      </c>
      <c r="I2394" t="s">
        <v>11</v>
      </c>
      <c r="J2394" t="s">
        <v>18</v>
      </c>
      <c r="K2394">
        <v>52</v>
      </c>
      <c r="L2394" t="str">
        <f>IF(Table1[[#This Row],[Age]]&lt;30,"20-29",
IF(Table1[[#This Row],[Age]]&lt;40,"30-39",
IF(Table1[[#This Row],[Age]]&lt;50,"40-49",
IF(Table1[[#This Row],[Age]]&lt;60,"50-59","60+"))))</f>
        <v>50-59</v>
      </c>
      <c r="M2394" t="s">
        <v>13</v>
      </c>
      <c r="N2394" t="s">
        <v>19</v>
      </c>
    </row>
    <row r="2395" spans="1:14" x14ac:dyDescent="0.35">
      <c r="A2395">
        <v>2494</v>
      </c>
      <c r="B2395" t="s">
        <v>26</v>
      </c>
      <c r="C2395" s="6">
        <v>44590</v>
      </c>
      <c r="D2395">
        <f>YEAR(Table1[[#This Row],[Join Date]])</f>
        <v>2022</v>
      </c>
      <c r="E2395" s="6" t="s">
        <v>48</v>
      </c>
      <c r="F2395" t="str">
        <f>IFERROR(YEAR(Table1[[#This Row],[Exit Date]]), " ")</f>
        <v xml:space="preserve"> </v>
      </c>
      <c r="G2395" t="str">
        <f>IFERROR((Table1[[#This Row],[Exit Year]]-Table1[[#This Row],[Join Year]])+1," ")</f>
        <v xml:space="preserve"> </v>
      </c>
      <c r="H2395" t="s">
        <v>48</v>
      </c>
      <c r="I2395" t="s">
        <v>11</v>
      </c>
      <c r="J2395" t="s">
        <v>18</v>
      </c>
      <c r="K2395">
        <v>25</v>
      </c>
      <c r="L2395" t="str">
        <f>IF(Table1[[#This Row],[Age]]&lt;30,"20-29",
IF(Table1[[#This Row],[Age]]&lt;40,"30-39",
IF(Table1[[#This Row],[Age]]&lt;50,"40-49",
IF(Table1[[#This Row],[Age]]&lt;60,"50-59","60+"))))</f>
        <v>20-29</v>
      </c>
      <c r="M2395" t="s">
        <v>16</v>
      </c>
      <c r="N2395" t="s">
        <v>21</v>
      </c>
    </row>
    <row r="2396" spans="1:14" x14ac:dyDescent="0.35">
      <c r="A2396">
        <v>2495</v>
      </c>
      <c r="B2396" t="s">
        <v>15</v>
      </c>
      <c r="C2396" s="6">
        <v>45215</v>
      </c>
      <c r="D2396">
        <f>YEAR(Table1[[#This Row],[Join Date]])</f>
        <v>2023</v>
      </c>
      <c r="E2396" s="6" t="s">
        <v>48</v>
      </c>
      <c r="F2396" t="str">
        <f>IFERROR(YEAR(Table1[[#This Row],[Exit Date]]), " ")</f>
        <v xml:space="preserve"> </v>
      </c>
      <c r="G2396" t="str">
        <f>IFERROR((Table1[[#This Row],[Exit Year]]-Table1[[#This Row],[Join Year]])+1," ")</f>
        <v xml:space="preserve"> </v>
      </c>
      <c r="H2396" t="s">
        <v>48</v>
      </c>
      <c r="I2396" t="s">
        <v>11</v>
      </c>
      <c r="J2396" t="s">
        <v>12</v>
      </c>
      <c r="K2396">
        <v>46</v>
      </c>
      <c r="L2396" t="str">
        <f>IF(Table1[[#This Row],[Age]]&lt;30,"20-29",
IF(Table1[[#This Row],[Age]]&lt;40,"30-39",
IF(Table1[[#This Row],[Age]]&lt;50,"40-49",
IF(Table1[[#This Row],[Age]]&lt;60,"50-59","60+"))))</f>
        <v>40-49</v>
      </c>
      <c r="M2396" t="s">
        <v>16</v>
      </c>
      <c r="N2396" t="s">
        <v>25</v>
      </c>
    </row>
    <row r="2397" spans="1:14" x14ac:dyDescent="0.35">
      <c r="A2397">
        <v>2496</v>
      </c>
      <c r="B2397" t="s">
        <v>15</v>
      </c>
      <c r="C2397" s="6">
        <v>43624</v>
      </c>
      <c r="D2397">
        <f>YEAR(Table1[[#This Row],[Join Date]])</f>
        <v>2019</v>
      </c>
      <c r="E2397" s="6">
        <v>44228</v>
      </c>
      <c r="F2397">
        <f>IFERROR(YEAR(Table1[[#This Row],[Exit Date]]), " ")</f>
        <v>2021</v>
      </c>
      <c r="G2397">
        <f>IFERROR((Table1[[#This Row],[Exit Year]]-Table1[[#This Row],[Join Year]])+1," ")</f>
        <v>3</v>
      </c>
      <c r="H2397" t="s">
        <v>41</v>
      </c>
      <c r="I2397" t="s">
        <v>23</v>
      </c>
      <c r="J2397" t="s">
        <v>12</v>
      </c>
      <c r="K2397">
        <v>24</v>
      </c>
      <c r="L2397" t="str">
        <f>IF(Table1[[#This Row],[Age]]&lt;30,"20-29",
IF(Table1[[#This Row],[Age]]&lt;40,"30-39",
IF(Table1[[#This Row],[Age]]&lt;50,"40-49",
IF(Table1[[#This Row],[Age]]&lt;60,"50-59","60+"))))</f>
        <v>20-29</v>
      </c>
      <c r="M2397" t="s">
        <v>20</v>
      </c>
      <c r="N2397" t="s">
        <v>28</v>
      </c>
    </row>
    <row r="2398" spans="1:14" x14ac:dyDescent="0.35">
      <c r="A2398">
        <v>2497</v>
      </c>
      <c r="B2398" t="s">
        <v>15</v>
      </c>
      <c r="C2398" s="6">
        <v>44514</v>
      </c>
      <c r="D2398">
        <f>YEAR(Table1[[#This Row],[Join Date]])</f>
        <v>2021</v>
      </c>
      <c r="E2398" s="6">
        <v>45529</v>
      </c>
      <c r="F2398">
        <f>IFERROR(YEAR(Table1[[#This Row],[Exit Date]]), " ")</f>
        <v>2024</v>
      </c>
      <c r="G2398">
        <f>IFERROR((Table1[[#This Row],[Exit Year]]-Table1[[#This Row],[Join Year]])+1," ")</f>
        <v>4</v>
      </c>
      <c r="H2398" t="s">
        <v>41</v>
      </c>
      <c r="I2398" t="s">
        <v>23</v>
      </c>
      <c r="J2398" t="s">
        <v>18</v>
      </c>
      <c r="K2398">
        <v>38</v>
      </c>
      <c r="L2398" t="str">
        <f>IF(Table1[[#This Row],[Age]]&lt;30,"20-29",
IF(Table1[[#This Row],[Age]]&lt;40,"30-39",
IF(Table1[[#This Row],[Age]]&lt;50,"40-49",
IF(Table1[[#This Row],[Age]]&lt;60,"50-59","60+"))))</f>
        <v>30-39</v>
      </c>
      <c r="M2398" t="s">
        <v>24</v>
      </c>
      <c r="N2398" t="s">
        <v>31</v>
      </c>
    </row>
    <row r="2399" spans="1:14" x14ac:dyDescent="0.35">
      <c r="A2399">
        <v>2498</v>
      </c>
      <c r="B2399" t="s">
        <v>29</v>
      </c>
      <c r="C2399" s="6">
        <v>43700</v>
      </c>
      <c r="D2399">
        <f>YEAR(Table1[[#This Row],[Join Date]])</f>
        <v>2019</v>
      </c>
      <c r="E2399" s="6" t="s">
        <v>48</v>
      </c>
      <c r="F2399" t="str">
        <f>IFERROR(YEAR(Table1[[#This Row],[Exit Date]]), " ")</f>
        <v xml:space="preserve"> </v>
      </c>
      <c r="G2399" t="str">
        <f>IFERROR((Table1[[#This Row],[Exit Year]]-Table1[[#This Row],[Join Year]])+1," ")</f>
        <v xml:space="preserve"> </v>
      </c>
      <c r="H2399" t="s">
        <v>48</v>
      </c>
      <c r="I2399" t="s">
        <v>11</v>
      </c>
      <c r="J2399" t="s">
        <v>18</v>
      </c>
      <c r="K2399">
        <v>49</v>
      </c>
      <c r="L2399" t="str">
        <f>IF(Table1[[#This Row],[Age]]&lt;30,"20-29",
IF(Table1[[#This Row],[Age]]&lt;40,"30-39",
IF(Table1[[#This Row],[Age]]&lt;50,"40-49",
IF(Table1[[#This Row],[Age]]&lt;60,"50-59","60+"))))</f>
        <v>40-49</v>
      </c>
      <c r="M2399" t="s">
        <v>13</v>
      </c>
      <c r="N2399" t="s">
        <v>21</v>
      </c>
    </row>
    <row r="2400" spans="1:14" x14ac:dyDescent="0.35">
      <c r="A2400">
        <v>2499</v>
      </c>
      <c r="B2400" t="s">
        <v>34</v>
      </c>
      <c r="C2400" s="6">
        <v>45540</v>
      </c>
      <c r="D2400">
        <f>YEAR(Table1[[#This Row],[Join Date]])</f>
        <v>2024</v>
      </c>
      <c r="E2400" s="6" t="s">
        <v>48</v>
      </c>
      <c r="F2400" t="str">
        <f>IFERROR(YEAR(Table1[[#This Row],[Exit Date]]), " ")</f>
        <v xml:space="preserve"> </v>
      </c>
      <c r="G2400" t="str">
        <f>IFERROR((Table1[[#This Row],[Exit Year]]-Table1[[#This Row],[Join Year]])+1," ")</f>
        <v xml:space="preserve"> </v>
      </c>
      <c r="H2400" t="s">
        <v>48</v>
      </c>
      <c r="I2400" t="s">
        <v>11</v>
      </c>
      <c r="J2400" t="s">
        <v>18</v>
      </c>
      <c r="K2400">
        <v>31</v>
      </c>
      <c r="L2400" t="str">
        <f>IF(Table1[[#This Row],[Age]]&lt;30,"20-29",
IF(Table1[[#This Row],[Age]]&lt;40,"30-39",
IF(Table1[[#This Row],[Age]]&lt;50,"40-49",
IF(Table1[[#This Row],[Age]]&lt;60,"50-59","60+"))))</f>
        <v>30-39</v>
      </c>
      <c r="M2400" t="s">
        <v>30</v>
      </c>
      <c r="N2400" t="s">
        <v>14</v>
      </c>
    </row>
    <row r="2401" spans="1:14" x14ac:dyDescent="0.35">
      <c r="A2401">
        <v>2500</v>
      </c>
      <c r="B2401" t="s">
        <v>10</v>
      </c>
      <c r="C2401" s="6">
        <v>43297</v>
      </c>
      <c r="D2401">
        <f>YEAR(Table1[[#This Row],[Join Date]])</f>
        <v>2018</v>
      </c>
      <c r="E2401" s="6">
        <v>44682</v>
      </c>
      <c r="F2401">
        <f>IFERROR(YEAR(Table1[[#This Row],[Exit Date]]), " ")</f>
        <v>2022</v>
      </c>
      <c r="G2401">
        <f>IFERROR((Table1[[#This Row],[Exit Year]]-Table1[[#This Row],[Join Year]])+1," ")</f>
        <v>5</v>
      </c>
      <c r="H2401" t="s">
        <v>40</v>
      </c>
      <c r="I2401" t="s">
        <v>23</v>
      </c>
      <c r="J2401" t="s">
        <v>12</v>
      </c>
      <c r="K2401">
        <v>51</v>
      </c>
      <c r="L2401" t="str">
        <f>IF(Table1[[#This Row],[Age]]&lt;30,"20-29",
IF(Table1[[#This Row],[Age]]&lt;40,"30-39",
IF(Table1[[#This Row],[Age]]&lt;50,"40-49",
IF(Table1[[#This Row],[Age]]&lt;60,"50-59","60+"))))</f>
        <v>50-59</v>
      </c>
      <c r="M2401" t="s">
        <v>13</v>
      </c>
      <c r="N24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5EC4-BF02-449A-8BE0-A8C7114B467F}">
  <dimension ref="A1:O65"/>
  <sheetViews>
    <sheetView zoomScale="115" zoomScaleNormal="115" workbookViewId="0">
      <selection activeCell="A25" sqref="A25"/>
    </sheetView>
  </sheetViews>
  <sheetFormatPr defaultRowHeight="14.5" x14ac:dyDescent="0.35"/>
  <cols>
    <col min="1" max="1" width="16.08984375" bestFit="1" customWidth="1"/>
    <col min="2" max="2" width="19.6328125" bestFit="1" customWidth="1"/>
    <col min="4" max="4" width="11.7265625" customWidth="1"/>
    <col min="5" max="5" width="13.453125" bestFit="1" customWidth="1"/>
    <col min="6" max="6" width="12.6328125" bestFit="1" customWidth="1"/>
    <col min="7" max="7" width="19.6328125" bestFit="1" customWidth="1"/>
    <col min="8" max="8" width="5.1796875" bestFit="1" customWidth="1"/>
    <col min="9" max="9" width="16.08984375" bestFit="1" customWidth="1"/>
    <col min="10" max="10" width="19.6328125" bestFit="1" customWidth="1"/>
    <col min="11" max="11" width="11.90625" customWidth="1"/>
    <col min="13" max="13" width="16.08984375" bestFit="1" customWidth="1"/>
    <col min="14" max="14" width="15.81640625" bestFit="1" customWidth="1"/>
    <col min="15" max="15" width="6.26953125" bestFit="1" customWidth="1"/>
    <col min="16" max="16" width="10.7265625" bestFit="1" customWidth="1"/>
    <col min="17" max="32" width="16.1796875" bestFit="1" customWidth="1"/>
    <col min="33" max="33" width="10.7265625" bestFit="1" customWidth="1"/>
    <col min="34" max="34" width="12" bestFit="1" customWidth="1"/>
    <col min="35" max="35" width="14.81640625" bestFit="1" customWidth="1"/>
    <col min="36" max="36" width="12" bestFit="1" customWidth="1"/>
    <col min="37" max="37" width="14.81640625" bestFit="1" customWidth="1"/>
    <col min="38" max="38" width="12" bestFit="1" customWidth="1"/>
    <col min="39" max="39" width="14.81640625" bestFit="1" customWidth="1"/>
    <col min="40" max="40" width="12" bestFit="1" customWidth="1"/>
    <col min="41" max="41" width="14.81640625" bestFit="1" customWidth="1"/>
    <col min="42" max="42" width="12" bestFit="1" customWidth="1"/>
    <col min="43" max="43" width="14.81640625" bestFit="1" customWidth="1"/>
    <col min="44" max="44" width="12" bestFit="1" customWidth="1"/>
    <col min="45" max="45" width="14.81640625" bestFit="1" customWidth="1"/>
    <col min="46" max="46" width="12" bestFit="1" customWidth="1"/>
    <col min="47" max="47" width="14.81640625" bestFit="1" customWidth="1"/>
    <col min="48" max="48" width="12" bestFit="1" customWidth="1"/>
    <col min="49" max="49" width="14.81640625" bestFit="1" customWidth="1"/>
    <col min="50" max="50" width="12" bestFit="1" customWidth="1"/>
    <col min="51" max="51" width="14.81640625" bestFit="1" customWidth="1"/>
    <col min="52" max="53" width="10.7265625" bestFit="1" customWidth="1"/>
    <col min="54" max="63" width="10.26953125" bestFit="1" customWidth="1"/>
    <col min="64" max="64" width="10.7265625" bestFit="1" customWidth="1"/>
  </cols>
  <sheetData>
    <row r="1" spans="1:13" x14ac:dyDescent="0.35">
      <c r="D1" t="s">
        <v>69</v>
      </c>
    </row>
    <row r="2" spans="1:13" x14ac:dyDescent="0.35">
      <c r="A2" t="s">
        <v>53</v>
      </c>
      <c r="D2">
        <v>2400</v>
      </c>
      <c r="I2" s="7" t="s">
        <v>52</v>
      </c>
      <c r="J2" t="s">
        <v>69</v>
      </c>
    </row>
    <row r="3" spans="1:13" x14ac:dyDescent="0.35">
      <c r="I3" s="8" t="s">
        <v>31</v>
      </c>
      <c r="J3">
        <v>87</v>
      </c>
      <c r="K3" s="8" t="s">
        <v>31</v>
      </c>
      <c r="L3">
        <f>IFERROR(GETPIVOTDATA("Employee ID",$I$2,"Country","Angola"),0)</f>
        <v>87</v>
      </c>
    </row>
    <row r="4" spans="1:13" x14ac:dyDescent="0.35">
      <c r="I4" s="8" t="s">
        <v>37</v>
      </c>
      <c r="J4">
        <v>190</v>
      </c>
      <c r="K4" s="8" t="s">
        <v>37</v>
      </c>
      <c r="L4">
        <f>IFERROR(GETPIVOTDATA("Employee ID",$I$2,"Country","Côte-d'Ivoire"),0)</f>
        <v>190</v>
      </c>
    </row>
    <row r="5" spans="1:13" x14ac:dyDescent="0.35">
      <c r="I5" s="8" t="s">
        <v>14</v>
      </c>
      <c r="J5">
        <v>185</v>
      </c>
      <c r="K5" s="8" t="s">
        <v>14</v>
      </c>
      <c r="L5">
        <f>IFERROR(GETPIVOTDATA("Employee ID",$I$2,"Country","Ghana"),0)</f>
        <v>185</v>
      </c>
    </row>
    <row r="6" spans="1:13" x14ac:dyDescent="0.35">
      <c r="A6" t="e">
        <f>_xlfn.XLOOKUP(A2,D2:D8,E2:E8)</f>
        <v>#N/A</v>
      </c>
      <c r="I6" s="8" t="s">
        <v>21</v>
      </c>
      <c r="J6">
        <v>307</v>
      </c>
      <c r="K6" s="8" t="s">
        <v>21</v>
      </c>
      <c r="L6">
        <f>IFERROR(GETPIVOTDATA("Employee ID",$I$2,"Country","Kenya"),0)</f>
        <v>307</v>
      </c>
    </row>
    <row r="7" spans="1:13" x14ac:dyDescent="0.35">
      <c r="I7" s="8" t="s">
        <v>28</v>
      </c>
      <c r="J7">
        <v>87</v>
      </c>
      <c r="K7" s="8" t="s">
        <v>28</v>
      </c>
      <c r="L7">
        <f>IFERROR(GETPIVOTDATA("Employee ID",$I$2,"Country","Liberia"),0)</f>
        <v>87</v>
      </c>
    </row>
    <row r="8" spans="1:13" x14ac:dyDescent="0.35">
      <c r="F8" s="7" t="s">
        <v>52</v>
      </c>
      <c r="G8" t="s">
        <v>69</v>
      </c>
      <c r="I8" s="8" t="s">
        <v>25</v>
      </c>
      <c r="J8">
        <v>396</v>
      </c>
      <c r="K8" s="8" t="s">
        <v>25</v>
      </c>
      <c r="L8">
        <f>IFERROR(GETPIVOTDATA("Employee ID",$I$2,"Country","Mozambique"),0)</f>
        <v>396</v>
      </c>
    </row>
    <row r="9" spans="1:13" x14ac:dyDescent="0.35">
      <c r="F9" s="8" t="s">
        <v>11</v>
      </c>
      <c r="G9">
        <v>1488</v>
      </c>
      <c r="H9">
        <f>GETPIVOTDATA("Employee ID",$F$8,"Status","Active")</f>
        <v>1488</v>
      </c>
      <c r="I9" s="8" t="s">
        <v>19</v>
      </c>
      <c r="J9">
        <v>390</v>
      </c>
      <c r="K9" s="8" t="s">
        <v>19</v>
      </c>
      <c r="L9">
        <f>IFERROR(GETPIVOTDATA("Employee ID",$I$2,"Country","Namibia"),0)</f>
        <v>390</v>
      </c>
    </row>
    <row r="10" spans="1:13" x14ac:dyDescent="0.35">
      <c r="A10" s="7" t="s">
        <v>52</v>
      </c>
      <c r="B10" t="s">
        <v>69</v>
      </c>
      <c r="F10" s="8" t="s">
        <v>23</v>
      </c>
      <c r="G10">
        <v>912</v>
      </c>
      <c r="H10">
        <f>GETPIVOTDATA("Employee ID",$F$8,"Status","Exited")</f>
        <v>912</v>
      </c>
      <c r="I10" s="8" t="s">
        <v>17</v>
      </c>
      <c r="J10">
        <v>184</v>
      </c>
      <c r="K10" s="8" t="s">
        <v>17</v>
      </c>
      <c r="L10">
        <f>IFERROR(GETPIVOTDATA("Employee ID",$I$2,"Country","Nigeria"),0)</f>
        <v>184</v>
      </c>
    </row>
    <row r="11" spans="1:13" x14ac:dyDescent="0.35">
      <c r="A11" s="8" t="s">
        <v>15</v>
      </c>
      <c r="B11">
        <v>576</v>
      </c>
      <c r="I11" s="8" t="s">
        <v>32</v>
      </c>
      <c r="J11">
        <v>86</v>
      </c>
      <c r="K11" s="8" t="s">
        <v>32</v>
      </c>
      <c r="L11">
        <f>IFERROR(GETPIVOTDATA("Employee ID",$I$2,"Country","South Africa"),0)</f>
        <v>86</v>
      </c>
    </row>
    <row r="12" spans="1:13" x14ac:dyDescent="0.35">
      <c r="A12" s="8" t="s">
        <v>29</v>
      </c>
      <c r="B12">
        <v>240</v>
      </c>
      <c r="I12" s="8" t="s">
        <v>33</v>
      </c>
      <c r="J12">
        <v>86</v>
      </c>
      <c r="K12" s="8" t="s">
        <v>33</v>
      </c>
      <c r="L12">
        <f>IFERROR(GETPIVOTDATA("Employee ID",$I$2,"Country","Tanzania"),0)</f>
        <v>86</v>
      </c>
    </row>
    <row r="13" spans="1:13" x14ac:dyDescent="0.35">
      <c r="A13" s="8" t="s">
        <v>36</v>
      </c>
      <c r="B13">
        <v>336</v>
      </c>
      <c r="I13" s="8" t="s">
        <v>35</v>
      </c>
      <c r="J13">
        <v>402</v>
      </c>
      <c r="K13" s="8" t="s">
        <v>35</v>
      </c>
      <c r="L13">
        <f>IFERROR(GETPIVOTDATA("Employee ID",$I$2,"Country","Togo"),0)</f>
        <v>402</v>
      </c>
    </row>
    <row r="14" spans="1:13" x14ac:dyDescent="0.35">
      <c r="A14" s="8" t="s">
        <v>10</v>
      </c>
      <c r="B14">
        <v>528</v>
      </c>
      <c r="E14" s="7" t="s">
        <v>52</v>
      </c>
      <c r="F14" t="s">
        <v>69</v>
      </c>
      <c r="M14" t="s">
        <v>55</v>
      </c>
    </row>
    <row r="15" spans="1:13" x14ac:dyDescent="0.35">
      <c r="A15" s="8" t="s">
        <v>26</v>
      </c>
      <c r="B15">
        <v>432</v>
      </c>
      <c r="E15" s="8" t="s">
        <v>12</v>
      </c>
      <c r="F15">
        <v>1224</v>
      </c>
      <c r="G15" t="str">
        <f>E15</f>
        <v>Female</v>
      </c>
      <c r="H15">
        <f>GETPIVOTDATA("Employee ID",$E$14,"Gender","Female")</f>
        <v>1224</v>
      </c>
      <c r="M15" s="10">
        <v>3.3684210526315788</v>
      </c>
    </row>
    <row r="16" spans="1:13" x14ac:dyDescent="0.35">
      <c r="A16" s="8" t="s">
        <v>34</v>
      </c>
      <c r="B16">
        <v>288</v>
      </c>
      <c r="E16" s="8" t="s">
        <v>18</v>
      </c>
      <c r="F16">
        <v>1176</v>
      </c>
      <c r="G16" t="str">
        <f>E16</f>
        <v>Male</v>
      </c>
      <c r="H16">
        <f>GETPIVOTDATA("Employee ID",$E$14,"Gender","Male")</f>
        <v>1176</v>
      </c>
    </row>
    <row r="17" spans="1:15" x14ac:dyDescent="0.35">
      <c r="A17" s="8" t="s">
        <v>53</v>
      </c>
      <c r="B17">
        <v>2400</v>
      </c>
      <c r="G17" t="s">
        <v>70</v>
      </c>
      <c r="H17">
        <f>H15+H16</f>
        <v>2400</v>
      </c>
    </row>
    <row r="18" spans="1:15" x14ac:dyDescent="0.35">
      <c r="E18" s="7" t="s">
        <v>52</v>
      </c>
      <c r="F18" t="s">
        <v>69</v>
      </c>
      <c r="M18" s="7" t="s">
        <v>3</v>
      </c>
      <c r="N18" t="s">
        <v>51</v>
      </c>
    </row>
    <row r="19" spans="1:15" x14ac:dyDescent="0.35">
      <c r="E19" s="8" t="s">
        <v>30</v>
      </c>
      <c r="F19">
        <v>70</v>
      </c>
      <c r="I19" t="s">
        <v>71</v>
      </c>
      <c r="J19" s="11">
        <f>(H10/B30)</f>
        <v>0.38</v>
      </c>
    </row>
    <row r="20" spans="1:15" x14ac:dyDescent="0.35">
      <c r="E20" s="8" t="s">
        <v>39</v>
      </c>
      <c r="F20">
        <v>111</v>
      </c>
      <c r="M20" s="7" t="s">
        <v>68</v>
      </c>
      <c r="N20" s="7" t="s">
        <v>56</v>
      </c>
    </row>
    <row r="21" spans="1:15" x14ac:dyDescent="0.35">
      <c r="A21">
        <f>_xlfn.XLOOKUP(A2,A11:A17,B11:B17)</f>
        <v>2400</v>
      </c>
      <c r="E21" s="8" t="s">
        <v>44</v>
      </c>
      <c r="F21">
        <v>101</v>
      </c>
      <c r="M21" s="7" t="s">
        <v>52</v>
      </c>
      <c r="N21" t="s">
        <v>11</v>
      </c>
      <c r="O21" t="s">
        <v>23</v>
      </c>
    </row>
    <row r="22" spans="1:15" x14ac:dyDescent="0.35">
      <c r="E22" s="8" t="s">
        <v>24</v>
      </c>
      <c r="F22">
        <v>185</v>
      </c>
      <c r="M22" s="8" t="s">
        <v>15</v>
      </c>
      <c r="N22">
        <v>432</v>
      </c>
      <c r="O22">
        <v>144</v>
      </c>
    </row>
    <row r="23" spans="1:15" x14ac:dyDescent="0.35">
      <c r="A23" s="7" t="s">
        <v>52</v>
      </c>
      <c r="B23" t="s">
        <v>69</v>
      </c>
      <c r="E23" s="8" t="s">
        <v>16</v>
      </c>
      <c r="F23">
        <v>554</v>
      </c>
      <c r="M23" s="8" t="s">
        <v>29</v>
      </c>
      <c r="N23">
        <v>96</v>
      </c>
      <c r="O23">
        <v>144</v>
      </c>
    </row>
    <row r="24" spans="1:15" x14ac:dyDescent="0.35">
      <c r="A24" s="8" t="s">
        <v>15</v>
      </c>
      <c r="B24">
        <v>576</v>
      </c>
      <c r="E24" s="8" t="s">
        <v>42</v>
      </c>
      <c r="F24">
        <v>87</v>
      </c>
      <c r="M24" s="8" t="s">
        <v>36</v>
      </c>
      <c r="N24">
        <v>288</v>
      </c>
      <c r="O24">
        <v>48</v>
      </c>
    </row>
    <row r="25" spans="1:15" x14ac:dyDescent="0.35">
      <c r="A25" s="8" t="s">
        <v>29</v>
      </c>
      <c r="B25">
        <v>240</v>
      </c>
      <c r="E25" s="8" t="s">
        <v>13</v>
      </c>
      <c r="F25">
        <v>923</v>
      </c>
      <c r="M25" s="8" t="s">
        <v>10</v>
      </c>
      <c r="N25">
        <v>288</v>
      </c>
      <c r="O25">
        <v>240</v>
      </c>
    </row>
    <row r="26" spans="1:15" x14ac:dyDescent="0.35">
      <c r="A26" s="8" t="s">
        <v>36</v>
      </c>
      <c r="B26">
        <v>336</v>
      </c>
      <c r="E26" s="8" t="s">
        <v>20</v>
      </c>
      <c r="F26">
        <v>369</v>
      </c>
      <c r="I26" s="7" t="s">
        <v>52</v>
      </c>
      <c r="J26" t="s">
        <v>69</v>
      </c>
      <c r="M26" s="8" t="s">
        <v>26</v>
      </c>
      <c r="N26">
        <v>192</v>
      </c>
      <c r="O26">
        <v>240</v>
      </c>
    </row>
    <row r="27" spans="1:15" x14ac:dyDescent="0.35">
      <c r="A27" s="8" t="s">
        <v>10</v>
      </c>
      <c r="B27">
        <v>528</v>
      </c>
      <c r="E27" s="8" t="s">
        <v>53</v>
      </c>
      <c r="F27">
        <v>2400</v>
      </c>
      <c r="I27" s="8" t="s">
        <v>22</v>
      </c>
      <c r="J27">
        <v>120</v>
      </c>
      <c r="M27" s="8" t="s">
        <v>34</v>
      </c>
      <c r="N27">
        <v>192</v>
      </c>
      <c r="O27">
        <v>96</v>
      </c>
    </row>
    <row r="28" spans="1:15" x14ac:dyDescent="0.35">
      <c r="A28" s="8" t="s">
        <v>26</v>
      </c>
      <c r="B28">
        <v>432</v>
      </c>
      <c r="I28" s="8" t="s">
        <v>40</v>
      </c>
      <c r="J28">
        <v>192</v>
      </c>
    </row>
    <row r="29" spans="1:15" x14ac:dyDescent="0.35">
      <c r="A29" s="8" t="s">
        <v>34</v>
      </c>
      <c r="B29">
        <v>288</v>
      </c>
      <c r="I29" s="8" t="s">
        <v>46</v>
      </c>
      <c r="J29">
        <v>225</v>
      </c>
    </row>
    <row r="30" spans="1:15" x14ac:dyDescent="0.35">
      <c r="A30" s="8" t="s">
        <v>70</v>
      </c>
      <c r="B30">
        <f>SUM(B24:B29)</f>
        <v>2400</v>
      </c>
      <c r="E30" s="7" t="s">
        <v>52</v>
      </c>
      <c r="F30" t="s">
        <v>69</v>
      </c>
      <c r="I30" s="8" t="s">
        <v>48</v>
      </c>
      <c r="J30">
        <v>1488</v>
      </c>
    </row>
    <row r="31" spans="1:15" x14ac:dyDescent="0.35">
      <c r="E31" s="8" t="s">
        <v>31</v>
      </c>
      <c r="F31">
        <v>87</v>
      </c>
      <c r="I31" s="8" t="s">
        <v>43</v>
      </c>
      <c r="J31">
        <v>36</v>
      </c>
      <c r="M31" s="7" t="s">
        <v>52</v>
      </c>
      <c r="N31" t="s">
        <v>69</v>
      </c>
    </row>
    <row r="32" spans="1:15" x14ac:dyDescent="0.35">
      <c r="E32" s="8" t="s">
        <v>37</v>
      </c>
      <c r="F32">
        <v>190</v>
      </c>
      <c r="I32" s="8" t="s">
        <v>41</v>
      </c>
      <c r="J32">
        <v>132</v>
      </c>
      <c r="M32" s="8" t="s">
        <v>57</v>
      </c>
      <c r="N32">
        <v>384</v>
      </c>
    </row>
    <row r="33" spans="5:14" x14ac:dyDescent="0.35">
      <c r="E33" s="8" t="s">
        <v>14</v>
      </c>
      <c r="F33">
        <v>185</v>
      </c>
      <c r="I33" s="8" t="s">
        <v>27</v>
      </c>
      <c r="J33">
        <v>63</v>
      </c>
      <c r="M33" s="9" t="s">
        <v>64</v>
      </c>
      <c r="N33">
        <v>48</v>
      </c>
    </row>
    <row r="34" spans="5:14" x14ac:dyDescent="0.35">
      <c r="E34" s="8" t="s">
        <v>21</v>
      </c>
      <c r="F34">
        <v>307</v>
      </c>
      <c r="I34" s="8" t="s">
        <v>38</v>
      </c>
      <c r="J34">
        <v>144</v>
      </c>
      <c r="M34" s="9" t="s">
        <v>65</v>
      </c>
      <c r="N34">
        <v>192</v>
      </c>
    </row>
    <row r="35" spans="5:14" x14ac:dyDescent="0.35">
      <c r="E35" s="8" t="s">
        <v>28</v>
      </c>
      <c r="F35">
        <v>87</v>
      </c>
      <c r="I35" s="8" t="s">
        <v>53</v>
      </c>
      <c r="J35">
        <v>2400</v>
      </c>
      <c r="M35" s="9" t="s">
        <v>66</v>
      </c>
      <c r="N35">
        <v>144</v>
      </c>
    </row>
    <row r="36" spans="5:14" x14ac:dyDescent="0.35">
      <c r="E36" s="8" t="s">
        <v>25</v>
      </c>
      <c r="F36">
        <v>396</v>
      </c>
      <c r="M36" s="8" t="s">
        <v>58</v>
      </c>
      <c r="N36">
        <v>384</v>
      </c>
    </row>
    <row r="37" spans="5:14" x14ac:dyDescent="0.35">
      <c r="E37" s="8" t="s">
        <v>19</v>
      </c>
      <c r="F37">
        <v>390</v>
      </c>
      <c r="M37" s="9" t="s">
        <v>64</v>
      </c>
      <c r="N37">
        <v>144</v>
      </c>
    </row>
    <row r="38" spans="5:14" x14ac:dyDescent="0.35">
      <c r="E38" s="8" t="s">
        <v>17</v>
      </c>
      <c r="F38">
        <v>184</v>
      </c>
      <c r="M38" s="9" t="s">
        <v>67</v>
      </c>
      <c r="N38">
        <v>144</v>
      </c>
    </row>
    <row r="39" spans="5:14" x14ac:dyDescent="0.35">
      <c r="E39" s="8" t="s">
        <v>32</v>
      </c>
      <c r="F39">
        <v>86</v>
      </c>
      <c r="M39" s="9" t="s">
        <v>65</v>
      </c>
      <c r="N39">
        <v>96</v>
      </c>
    </row>
    <row r="40" spans="5:14" x14ac:dyDescent="0.35">
      <c r="E40" s="8" t="s">
        <v>33</v>
      </c>
      <c r="F40">
        <v>86</v>
      </c>
      <c r="M40" s="8" t="s">
        <v>59</v>
      </c>
      <c r="N40">
        <v>240</v>
      </c>
    </row>
    <row r="41" spans="5:14" x14ac:dyDescent="0.35">
      <c r="E41" s="8" t="s">
        <v>35</v>
      </c>
      <c r="F41">
        <v>402</v>
      </c>
      <c r="M41" s="9" t="s">
        <v>67</v>
      </c>
      <c r="N41">
        <v>48</v>
      </c>
    </row>
    <row r="42" spans="5:14" x14ac:dyDescent="0.35">
      <c r="M42" s="9" t="s">
        <v>65</v>
      </c>
      <c r="N42">
        <v>96</v>
      </c>
    </row>
    <row r="43" spans="5:14" x14ac:dyDescent="0.35">
      <c r="M43" s="9" t="s">
        <v>66</v>
      </c>
      <c r="N43">
        <v>96</v>
      </c>
    </row>
    <row r="44" spans="5:14" x14ac:dyDescent="0.35">
      <c r="M44" s="8" t="s">
        <v>60</v>
      </c>
      <c r="N44">
        <v>432</v>
      </c>
    </row>
    <row r="45" spans="5:14" x14ac:dyDescent="0.35">
      <c r="M45" s="9" t="s">
        <v>64</v>
      </c>
      <c r="N45">
        <v>144</v>
      </c>
    </row>
    <row r="46" spans="5:14" x14ac:dyDescent="0.35">
      <c r="M46" s="9" t="s">
        <v>67</v>
      </c>
      <c r="N46">
        <v>144</v>
      </c>
    </row>
    <row r="47" spans="5:14" x14ac:dyDescent="0.35">
      <c r="M47" s="9" t="s">
        <v>65</v>
      </c>
      <c r="N47">
        <v>96</v>
      </c>
    </row>
    <row r="48" spans="5:14" x14ac:dyDescent="0.35">
      <c r="M48" s="9" t="s">
        <v>66</v>
      </c>
      <c r="N48">
        <v>48</v>
      </c>
    </row>
    <row r="49" spans="6:14" x14ac:dyDescent="0.35">
      <c r="M49" s="8" t="s">
        <v>61</v>
      </c>
      <c r="N49">
        <v>192</v>
      </c>
    </row>
    <row r="50" spans="6:14" x14ac:dyDescent="0.35">
      <c r="F50" s="7" t="s">
        <v>69</v>
      </c>
      <c r="G50" s="7" t="s">
        <v>56</v>
      </c>
      <c r="M50" s="9" t="s">
        <v>64</v>
      </c>
      <c r="N50">
        <v>96</v>
      </c>
    </row>
    <row r="51" spans="6:14" x14ac:dyDescent="0.35">
      <c r="F51" s="7" t="s">
        <v>52</v>
      </c>
      <c r="G51" t="s">
        <v>12</v>
      </c>
      <c r="H51" t="s">
        <v>18</v>
      </c>
      <c r="M51" s="9" t="s">
        <v>65</v>
      </c>
      <c r="N51">
        <v>48</v>
      </c>
    </row>
    <row r="52" spans="6:14" x14ac:dyDescent="0.35">
      <c r="F52" s="8" t="s">
        <v>15</v>
      </c>
      <c r="G52">
        <v>297</v>
      </c>
      <c r="H52">
        <v>279</v>
      </c>
      <c r="M52" s="9" t="s">
        <v>66</v>
      </c>
      <c r="N52">
        <v>48</v>
      </c>
    </row>
    <row r="53" spans="6:14" x14ac:dyDescent="0.35">
      <c r="F53" s="8" t="s">
        <v>29</v>
      </c>
      <c r="G53">
        <v>140</v>
      </c>
      <c r="H53">
        <v>100</v>
      </c>
      <c r="M53" s="8" t="s">
        <v>62</v>
      </c>
      <c r="N53">
        <v>288</v>
      </c>
    </row>
    <row r="54" spans="6:14" x14ac:dyDescent="0.35">
      <c r="F54" s="8" t="s">
        <v>36</v>
      </c>
      <c r="G54">
        <v>161</v>
      </c>
      <c r="H54">
        <v>175</v>
      </c>
      <c r="M54" s="9" t="s">
        <v>64</v>
      </c>
      <c r="N54">
        <v>48</v>
      </c>
    </row>
    <row r="55" spans="6:14" x14ac:dyDescent="0.35">
      <c r="F55" s="8" t="s">
        <v>10</v>
      </c>
      <c r="G55">
        <v>252</v>
      </c>
      <c r="H55">
        <v>276</v>
      </c>
      <c r="M55" s="9" t="s">
        <v>67</v>
      </c>
      <c r="N55">
        <v>96</v>
      </c>
    </row>
    <row r="56" spans="6:14" x14ac:dyDescent="0.35">
      <c r="F56" s="8" t="s">
        <v>26</v>
      </c>
      <c r="G56">
        <v>223</v>
      </c>
      <c r="H56">
        <v>209</v>
      </c>
      <c r="M56" s="9" t="s">
        <v>66</v>
      </c>
      <c r="N56">
        <v>144</v>
      </c>
    </row>
    <row r="57" spans="6:14" x14ac:dyDescent="0.35">
      <c r="F57" s="8" t="s">
        <v>34</v>
      </c>
      <c r="G57">
        <v>151</v>
      </c>
      <c r="H57">
        <v>137</v>
      </c>
      <c r="M57" s="8" t="s">
        <v>63</v>
      </c>
      <c r="N57">
        <v>480</v>
      </c>
    </row>
    <row r="58" spans="6:14" x14ac:dyDescent="0.35">
      <c r="M58" s="9" t="s">
        <v>64</v>
      </c>
      <c r="N58">
        <v>144</v>
      </c>
    </row>
    <row r="59" spans="6:14" x14ac:dyDescent="0.35">
      <c r="G59" t="str">
        <f>G51</f>
        <v>Female</v>
      </c>
      <c r="H59" t="str">
        <f>H51</f>
        <v>Male</v>
      </c>
      <c r="M59" s="9" t="s">
        <v>67</v>
      </c>
      <c r="N59">
        <v>96</v>
      </c>
    </row>
    <row r="60" spans="6:14" x14ac:dyDescent="0.35">
      <c r="F60" t="str">
        <f>F52</f>
        <v>Customer Support</v>
      </c>
      <c r="G60">
        <f>G52</f>
        <v>297</v>
      </c>
      <c r="H60">
        <f>H52</f>
        <v>279</v>
      </c>
      <c r="M60" s="9" t="s">
        <v>65</v>
      </c>
      <c r="N60">
        <v>192</v>
      </c>
    </row>
    <row r="61" spans="6:14" x14ac:dyDescent="0.35">
      <c r="F61" t="str">
        <f t="shared" ref="F61:H61" si="0">F53</f>
        <v>Finance</v>
      </c>
      <c r="G61">
        <f t="shared" si="0"/>
        <v>140</v>
      </c>
      <c r="H61">
        <f t="shared" si="0"/>
        <v>100</v>
      </c>
      <c r="M61" s="9" t="s">
        <v>66</v>
      </c>
      <c r="N61">
        <v>48</v>
      </c>
    </row>
    <row r="62" spans="6:14" x14ac:dyDescent="0.35">
      <c r="F62" t="str">
        <f t="shared" ref="F62:H62" si="1">F54</f>
        <v>HR</v>
      </c>
      <c r="G62">
        <f t="shared" si="1"/>
        <v>161</v>
      </c>
      <c r="H62">
        <f t="shared" si="1"/>
        <v>175</v>
      </c>
    </row>
    <row r="63" spans="6:14" x14ac:dyDescent="0.35">
      <c r="F63" t="str">
        <f t="shared" ref="F63:H63" si="2">F55</f>
        <v>IT</v>
      </c>
      <c r="G63">
        <f t="shared" si="2"/>
        <v>252</v>
      </c>
      <c r="H63">
        <f t="shared" si="2"/>
        <v>276</v>
      </c>
    </row>
    <row r="64" spans="6:14" x14ac:dyDescent="0.35">
      <c r="F64" t="str">
        <f t="shared" ref="F64:H64" si="3">F56</f>
        <v>Marketing</v>
      </c>
      <c r="G64">
        <f t="shared" si="3"/>
        <v>223</v>
      </c>
      <c r="H64">
        <f t="shared" si="3"/>
        <v>209</v>
      </c>
    </row>
    <row r="65" spans="6:8" x14ac:dyDescent="0.35">
      <c r="F65" t="str">
        <f t="shared" ref="F65:H65" si="4">F57</f>
        <v>Sales</v>
      </c>
      <c r="G65">
        <f t="shared" si="4"/>
        <v>151</v>
      </c>
      <c r="H65">
        <f t="shared" si="4"/>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C038-CF32-4432-8451-FD2481AD5098}">
  <dimension ref="A1"/>
  <sheetViews>
    <sheetView tabSelected="1" zoomScale="87" zoomScaleNormal="87" workbookViewId="0">
      <selection activeCell="Y22" sqref="Y22"/>
    </sheetView>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748A5C48-C13C-45C2-8C81-557545984D96}">
  <ds:schemaRefs/>
</ds:datastoreItem>
</file>

<file path=customXml/itemProps2.xml><?xml version="1.0" encoding="utf-8"?>
<ds:datastoreItem xmlns:ds="http://schemas.openxmlformats.org/officeDocument/2006/customXml" ds:itemID="{3BCC1016-1BC2-4CBD-BC5D-EFD3A4E40E73}">
  <ds:schemaRefs/>
</ds:datastoreItem>
</file>

<file path=customXml/itemProps3.xml><?xml version="1.0" encoding="utf-8"?>
<ds:datastoreItem xmlns:ds="http://schemas.openxmlformats.org/officeDocument/2006/customXml" ds:itemID="{2A20763F-6A64-45C1-9E69-914DCA986328}">
  <ds:schemaRefs/>
</ds:datastoreItem>
</file>

<file path=customXml/itemProps4.xml><?xml version="1.0" encoding="utf-8"?>
<ds:datastoreItem xmlns:ds="http://schemas.openxmlformats.org/officeDocument/2006/customXml" ds:itemID="{6FB38506-E109-4FB0-8664-C69F0E1CF889}">
  <ds:schemaRefs/>
</ds:datastoreItem>
</file>

<file path=customXml/itemProps5.xml><?xml version="1.0" encoding="utf-8"?>
<ds:datastoreItem xmlns:ds="http://schemas.openxmlformats.org/officeDocument/2006/customXml" ds:itemID="{0F54D795-EA2B-468B-B00F-4C39637313F5}">
  <ds:schemaRefs/>
</ds:datastoreItem>
</file>

<file path=customXml/itemProps6.xml><?xml version="1.0" encoding="utf-8"?>
<ds:datastoreItem xmlns:ds="http://schemas.openxmlformats.org/officeDocument/2006/customXml" ds:itemID="{4CAC898A-3BAF-41CF-ACCF-BD80B49A96A7}">
  <ds:schemaRefs/>
</ds:datastoreItem>
</file>

<file path=customXml/itemProps7.xml><?xml version="1.0" encoding="utf-8"?>
<ds:datastoreItem xmlns:ds="http://schemas.openxmlformats.org/officeDocument/2006/customXml" ds:itemID="{EC2EC2A1-A84A-4E82-B2A2-E87CCFA04BF5}">
  <ds:schemaRefs/>
</ds:datastoreItem>
</file>

<file path=customXml/itemProps8.xml><?xml version="1.0" encoding="utf-8"?>
<ds:datastoreItem xmlns:ds="http://schemas.openxmlformats.org/officeDocument/2006/customXml" ds:itemID="{994794E5-1310-42C9-8E7D-894AAED3C304}">
  <ds:schemaRefs/>
</ds:datastoreItem>
</file>

<file path=customXml/itemProps9.xml><?xml version="1.0" encoding="utf-8"?>
<ds:datastoreItem xmlns:ds="http://schemas.openxmlformats.org/officeDocument/2006/customXml" ds:itemID="{8DEC9564-58AA-4FDA-86E0-55C5618EB715}">
  <ds:schemaRefs/>
</ds:datastoreItem>
</file>

<file path=customXml/itemProps10.xml><?xml version="1.0" encoding="utf-8"?>
<ds:datastoreItem xmlns:ds="http://schemas.openxmlformats.org/officeDocument/2006/customXml" ds:itemID="{AFF8FAA0-0640-452D-82C0-5AA67BDBA734}">
  <ds:schemaRefs/>
</ds:datastoreItem>
</file>

<file path=customXml/itemProps11.xml><?xml version="1.0" encoding="utf-8"?>
<ds:datastoreItem xmlns:ds="http://schemas.openxmlformats.org/officeDocument/2006/customXml" ds:itemID="{D857FFA3-5CB3-4AA8-A862-107A2E0C79A7}">
  <ds:schemaRefs/>
</ds:datastoreItem>
</file>

<file path=customXml/itemProps12.xml><?xml version="1.0" encoding="utf-8"?>
<ds:datastoreItem xmlns:ds="http://schemas.openxmlformats.org/officeDocument/2006/customXml" ds:itemID="{92B7D961-77DE-4800-9BBB-C1B693758425}">
  <ds:schemaRefs/>
</ds:datastoreItem>
</file>

<file path=customXml/itemProps13.xml><?xml version="1.0" encoding="utf-8"?>
<ds:datastoreItem xmlns:ds="http://schemas.openxmlformats.org/officeDocument/2006/customXml" ds:itemID="{B9D126FA-82C4-43A9-ACC4-90A7E425E126}">
  <ds:schemaRefs/>
</ds:datastoreItem>
</file>

<file path=customXml/itemProps14.xml><?xml version="1.0" encoding="utf-8"?>
<ds:datastoreItem xmlns:ds="http://schemas.openxmlformats.org/officeDocument/2006/customXml" ds:itemID="{F3A6E753-54C8-4B51-9C34-B475F0E8DBF6}">
  <ds:schemaRefs/>
</ds:datastoreItem>
</file>

<file path=customXml/itemProps15.xml><?xml version="1.0" encoding="utf-8"?>
<ds:datastoreItem xmlns:ds="http://schemas.openxmlformats.org/officeDocument/2006/customXml" ds:itemID="{10F762CC-4FCA-47E5-8A7F-3EDCAA093BD5}">
  <ds:schemaRefs/>
</ds:datastoreItem>
</file>

<file path=customXml/itemProps16.xml><?xml version="1.0" encoding="utf-8"?>
<ds:datastoreItem xmlns:ds="http://schemas.openxmlformats.org/officeDocument/2006/customXml" ds:itemID="{A7915327-D237-411B-9D49-4626BCAD76F9}">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Challenge</vt: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Quacoe Frimpong</dc:creator>
  <cp:lastModifiedBy>Abubakar Toyeeb</cp:lastModifiedBy>
  <dcterms:created xsi:type="dcterms:W3CDTF">2025-06-25T18:02:34Z</dcterms:created>
  <dcterms:modified xsi:type="dcterms:W3CDTF">2026-07-04T07:01:20Z</dcterms:modified>
</cp:coreProperties>
</file>